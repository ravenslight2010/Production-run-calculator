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917DEF61-EE63-4B52-BEDA-2564719A5E25}" xr6:coauthVersionLast="47" xr6:coauthVersionMax="47" xr10:uidLastSave="{00000000-0000-0000-0000-000000000000}"/>
  <bookViews>
    <workbookView xWindow="50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3" i="1"/>
  <c r="G14" i="1"/>
  <c r="G15" i="1"/>
  <c r="G16" i="1"/>
  <c r="G17" i="1"/>
  <c r="G13" i="1"/>
  <c r="F14" i="1"/>
  <c r="F15" i="1"/>
  <c r="F16" i="1"/>
  <c r="F17" i="1"/>
  <c r="F13" i="1"/>
  <c r="E14" i="1"/>
  <c r="E15" i="1"/>
  <c r="E16" i="1"/>
  <c r="E17" i="1"/>
  <c r="E13" i="1"/>
  <c r="D14" i="1"/>
  <c r="D15" i="1"/>
  <c r="D16" i="1"/>
  <c r="D17" i="1"/>
  <c r="D13" i="1"/>
  <c r="C17" i="1"/>
</calcChain>
</file>

<file path=xl/sharedStrings.xml><?xml version="1.0" encoding="utf-8"?>
<sst xmlns="http://schemas.openxmlformats.org/spreadsheetml/2006/main" count="36" uniqueCount="30">
  <si>
    <t>MATERIALS</t>
  </si>
  <si>
    <t>Stand up mixer</t>
  </si>
  <si>
    <t>Sauce Barrel</t>
  </si>
  <si>
    <t>Weigh Containers &amp; Utensils</t>
  </si>
  <si>
    <t xml:space="preserve">Scale </t>
  </si>
  <si>
    <t>All Ingredients are to be weighed, not measured in cups</t>
  </si>
  <si>
    <t>ALWAYS TARE ALL CONTAINERS PRIOR TO WEIGHING INGREDIENTS</t>
  </si>
  <si>
    <t>Single Batch</t>
  </si>
  <si>
    <t>LBS.</t>
  </si>
  <si>
    <t>Water</t>
  </si>
  <si>
    <t>TOTAL WEIGHT</t>
  </si>
  <si>
    <t>2. Turn air on slowly till mixer starts spinning</t>
  </si>
  <si>
    <t xml:space="preserve">5. Drill sauce barrel 15 min or until thoroughly mixed and ingredients are dispersed evenly  </t>
  </si>
  <si>
    <t>6. Have a supervisor check the consistency.</t>
  </si>
  <si>
    <t>1. Add water to sauce barrel</t>
  </si>
  <si>
    <t>7. If supervisor determines sauce is too thick add 5 pounds of water at a time until desired consistency is reached.</t>
  </si>
  <si>
    <t>SWEET CHILI SAUCE PROCEDURE</t>
  </si>
  <si>
    <t>UFI Sweet Chili Powder</t>
  </si>
  <si>
    <t>White Vinegar</t>
  </si>
  <si>
    <t>3. Add white vinegar to the sauce barrel</t>
  </si>
  <si>
    <t>4. Gradually add a whole bag (50 lbs) of sweet chili powder to the sauce barrel while mixing with sifter</t>
  </si>
  <si>
    <t>Ultrasperse</t>
  </si>
  <si>
    <t>1 Bag</t>
  </si>
  <si>
    <t>4 Bags</t>
  </si>
  <si>
    <t>NOTE: 1 BAG OF SWEET CHILI SAUCE MIX MAKES 30 CASES OF PIZZAS.</t>
  </si>
  <si>
    <t>08/27/2026 Rev. 3</t>
  </si>
  <si>
    <t>5 Bags</t>
  </si>
  <si>
    <t>6 Bags</t>
  </si>
  <si>
    <t>3 Bags</t>
  </si>
  <si>
    <t>2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</si>
</sst>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wrapText="1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5" fillId="0" borderId="0" xfId="0" applyFont="1" applyAlignment="1">
      <alignment horizontal="left" wrapText="1"/>
    </xf>
    <xf numFmtId="14" fontId="0" fillId="2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2" fontId="0" fillId="5" borderId="1" xfId="0" applyNumberForma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31"/>
  <sheetViews>
    <sheetView tabSelected="1" workbookViewId="0">
      <selection activeCell="N14" sqref="N14"/>
    </sheetView>
  </sheetViews>
  <sheetFormatPr defaultRowHeight="15" x14ac:dyDescent="0.25"/>
  <cols>
    <col min="1" max="1" width="7" customWidth="1"/>
    <col min="2" max="2" width="24.140625" customWidth="1"/>
    <col min="3" max="3" width="7.28515625" customWidth="1"/>
    <col min="4" max="4" width="8.42578125" customWidth="1"/>
    <col min="5" max="5" width="9.140625" customWidth="1"/>
    <col min="6" max="7" width="9" customWidth="1"/>
    <col min="8" max="8" width="8.5703125" customWidth="1"/>
    <col min="9" max="9" width="8.7109375" customWidth="1"/>
  </cols>
  <sheetData>
    <row r="1" spans="2:9" ht="21" x14ac:dyDescent="0.35">
      <c r="B1" s="27" t="s">
        <v>16</v>
      </c>
      <c r="C1" s="27"/>
      <c r="D1" s="27"/>
      <c r="E1" s="27"/>
      <c r="F1" s="26" t="s">
        <v>25</v>
      </c>
      <c r="G1" s="26"/>
    </row>
    <row r="2" spans="2:9" x14ac:dyDescent="0.25">
      <c r="B2" s="1"/>
    </row>
    <row r="3" spans="2:9" x14ac:dyDescent="0.25">
      <c r="B3" s="1" t="s">
        <v>0</v>
      </c>
      <c r="F3" s="2"/>
    </row>
    <row r="4" spans="2:9" x14ac:dyDescent="0.25">
      <c r="B4" t="s">
        <v>1</v>
      </c>
      <c r="C4" s="3"/>
      <c r="F4" s="2"/>
    </row>
    <row r="5" spans="2:9" x14ac:dyDescent="0.25">
      <c r="B5" t="s">
        <v>2</v>
      </c>
      <c r="C5" s="3"/>
      <c r="F5" s="2"/>
    </row>
    <row r="6" spans="2:9" x14ac:dyDescent="0.25">
      <c r="B6" t="s">
        <v>3</v>
      </c>
      <c r="C6" s="3"/>
      <c r="F6" s="2"/>
    </row>
    <row r="7" spans="2:9" x14ac:dyDescent="0.25">
      <c r="B7" t="s">
        <v>4</v>
      </c>
      <c r="C7" s="3"/>
      <c r="F7" s="2"/>
    </row>
    <row r="8" spans="2:9" x14ac:dyDescent="0.25">
      <c r="B8" s="1"/>
      <c r="G8" s="2"/>
    </row>
    <row r="9" spans="2:9" x14ac:dyDescent="0.25">
      <c r="B9" s="4" t="s">
        <v>5</v>
      </c>
      <c r="G9" s="2"/>
    </row>
    <row r="10" spans="2:9" ht="15.75" thickBot="1" x14ac:dyDescent="0.3">
      <c r="B10" t="s">
        <v>6</v>
      </c>
      <c r="G10" s="2"/>
    </row>
    <row r="11" spans="2:9" ht="15.75" thickBot="1" x14ac:dyDescent="0.3">
      <c r="C11" s="9" t="s">
        <v>22</v>
      </c>
      <c r="D11" s="9" t="s">
        <v>29</v>
      </c>
      <c r="E11" s="9" t="s">
        <v>28</v>
      </c>
      <c r="F11" s="10" t="s">
        <v>23</v>
      </c>
      <c r="G11" s="10" t="s">
        <v>26</v>
      </c>
      <c r="H11" s="10" t="s">
        <v>27</v>
      </c>
      <c r="I11" s="2"/>
    </row>
    <row r="12" spans="2:9" ht="15.75" thickBot="1" x14ac:dyDescent="0.3">
      <c r="B12" s="11" t="s">
        <v>7</v>
      </c>
      <c r="C12" s="12" t="s">
        <v>8</v>
      </c>
      <c r="D12" s="12" t="s">
        <v>8</v>
      </c>
      <c r="E12" s="12" t="s">
        <v>8</v>
      </c>
      <c r="F12" s="13" t="s">
        <v>8</v>
      </c>
      <c r="G12" s="13" t="s">
        <v>8</v>
      </c>
      <c r="H12" s="13" t="s">
        <v>8</v>
      </c>
    </row>
    <row r="13" spans="2:9" x14ac:dyDescent="0.25">
      <c r="B13" s="14" t="s">
        <v>17</v>
      </c>
      <c r="C13" s="19">
        <v>50</v>
      </c>
      <c r="D13" s="18">
        <f>C13*2</f>
        <v>100</v>
      </c>
      <c r="E13" s="18">
        <f>C13*3</f>
        <v>150</v>
      </c>
      <c r="F13" s="18">
        <f>C13*4</f>
        <v>200</v>
      </c>
      <c r="G13" s="18">
        <f>C13*5</f>
        <v>250</v>
      </c>
      <c r="H13" s="18">
        <f>C13*6</f>
        <v>300</v>
      </c>
    </row>
    <row r="14" spans="2:9" x14ac:dyDescent="0.25">
      <c r="B14" s="15" t="s">
        <v>9</v>
      </c>
      <c r="C14" s="20">
        <v>43.5</v>
      </c>
      <c r="D14" s="28">
        <f t="shared" ref="D14:D17" si="0">C14*2</f>
        <v>87</v>
      </c>
      <c r="E14" s="28">
        <f t="shared" ref="E14:E17" si="1">C14*3</f>
        <v>130.5</v>
      </c>
      <c r="F14" s="28">
        <f t="shared" ref="F14:F17" si="2">C14*4</f>
        <v>174</v>
      </c>
      <c r="G14" s="28">
        <f t="shared" ref="G14:G17" si="3">C14*5</f>
        <v>217.5</v>
      </c>
      <c r="H14" s="28">
        <f t="shared" ref="H14:H17" si="4">C14*6</f>
        <v>261</v>
      </c>
    </row>
    <row r="15" spans="2:9" x14ac:dyDescent="0.25">
      <c r="B15" s="16" t="s">
        <v>18</v>
      </c>
      <c r="C15" s="21">
        <v>0.48</v>
      </c>
      <c r="D15" s="18">
        <f t="shared" si="0"/>
        <v>0.96</v>
      </c>
      <c r="E15" s="18">
        <f t="shared" si="1"/>
        <v>1.44</v>
      </c>
      <c r="F15" s="18">
        <f t="shared" si="2"/>
        <v>1.92</v>
      </c>
      <c r="G15" s="18">
        <f t="shared" si="3"/>
        <v>2.4</v>
      </c>
      <c r="H15" s="18">
        <f t="shared" si="4"/>
        <v>2.88</v>
      </c>
    </row>
    <row r="16" spans="2:9" ht="15.75" thickBot="1" x14ac:dyDescent="0.3">
      <c r="B16" s="17" t="s">
        <v>21</v>
      </c>
      <c r="C16" s="22">
        <v>1.65</v>
      </c>
      <c r="D16" s="31">
        <f t="shared" si="0"/>
        <v>3.3</v>
      </c>
      <c r="E16" s="31">
        <f t="shared" si="1"/>
        <v>4.9499999999999993</v>
      </c>
      <c r="F16" s="31">
        <f t="shared" si="2"/>
        <v>6.6</v>
      </c>
      <c r="G16" s="31">
        <f t="shared" si="3"/>
        <v>8.25</v>
      </c>
      <c r="H16" s="31">
        <f t="shared" si="4"/>
        <v>9.8999999999999986</v>
      </c>
    </row>
    <row r="17" spans="2:8" ht="15.75" thickBot="1" x14ac:dyDescent="0.3">
      <c r="B17" s="29" t="s">
        <v>10</v>
      </c>
      <c r="C17" s="30">
        <f>SUM(C13:C16)</f>
        <v>95.63000000000001</v>
      </c>
      <c r="D17" s="32">
        <f t="shared" si="0"/>
        <v>191.26000000000002</v>
      </c>
      <c r="E17" s="33">
        <f t="shared" si="1"/>
        <v>286.89000000000004</v>
      </c>
      <c r="F17" s="33">
        <f t="shared" si="2"/>
        <v>382.52000000000004</v>
      </c>
      <c r="G17" s="33">
        <f t="shared" si="3"/>
        <v>478.15000000000003</v>
      </c>
      <c r="H17" s="33">
        <f t="shared" si="4"/>
        <v>573.78000000000009</v>
      </c>
    </row>
    <row r="18" spans="2:8" x14ac:dyDescent="0.25">
      <c r="B18" s="25"/>
      <c r="C18" s="25"/>
      <c r="D18" s="25"/>
    </row>
    <row r="19" spans="2:8" ht="17.25" x14ac:dyDescent="0.3">
      <c r="B19" s="34" t="s">
        <v>24</v>
      </c>
      <c r="C19" s="34"/>
      <c r="D19" s="34"/>
      <c r="E19" s="34"/>
      <c r="F19" s="34"/>
      <c r="G19" s="34"/>
      <c r="H19" s="34"/>
    </row>
    <row r="20" spans="2:8" x14ac:dyDescent="0.25">
      <c r="B20" s="25"/>
      <c r="C20" s="25"/>
      <c r="D20" s="25"/>
    </row>
    <row r="21" spans="2:8" x14ac:dyDescent="0.25">
      <c r="B21" s="5"/>
      <c r="C21" s="5"/>
      <c r="D21" s="5"/>
    </row>
    <row r="22" spans="2:8" x14ac:dyDescent="0.25">
      <c r="B22" s="6" t="s">
        <v>7</v>
      </c>
    </row>
    <row r="23" spans="2:8" x14ac:dyDescent="0.25">
      <c r="B23" t="s">
        <v>14</v>
      </c>
    </row>
    <row r="24" spans="2:8" x14ac:dyDescent="0.25">
      <c r="B24" t="s">
        <v>11</v>
      </c>
    </row>
    <row r="25" spans="2:8" x14ac:dyDescent="0.25">
      <c r="B25" s="7" t="s">
        <v>19</v>
      </c>
      <c r="C25" s="7"/>
      <c r="D25" s="7"/>
      <c r="E25" s="7"/>
      <c r="F25" s="7"/>
    </row>
    <row r="26" spans="2:8" x14ac:dyDescent="0.25">
      <c r="B26" s="7" t="s">
        <v>20</v>
      </c>
      <c r="C26" s="7"/>
      <c r="D26" s="7"/>
      <c r="E26" s="7"/>
      <c r="F26" s="7"/>
      <c r="G26" s="7"/>
    </row>
    <row r="27" spans="2:8" ht="15" customHeight="1" x14ac:dyDescent="0.25">
      <c r="B27" s="24" t="s">
        <v>12</v>
      </c>
      <c r="C27" s="24"/>
      <c r="D27" s="24"/>
      <c r="E27" s="24"/>
      <c r="F27" s="24"/>
      <c r="G27" s="24"/>
      <c r="H27" s="24"/>
    </row>
    <row r="28" spans="2:8" x14ac:dyDescent="0.25">
      <c r="B28" t="s">
        <v>13</v>
      </c>
    </row>
    <row r="29" spans="2:8" ht="15" customHeight="1" x14ac:dyDescent="0.25">
      <c r="B29" s="23" t="s">
        <v>15</v>
      </c>
      <c r="C29" s="23"/>
      <c r="D29" s="23"/>
      <c r="E29" s="23"/>
      <c r="F29" s="23"/>
    </row>
    <row r="30" spans="2:8" x14ac:dyDescent="0.25">
      <c r="B30" s="23"/>
      <c r="C30" s="23"/>
      <c r="D30" s="23"/>
      <c r="E30" s="23"/>
      <c r="F30" s="23"/>
    </row>
    <row r="31" spans="2:8" x14ac:dyDescent="0.25">
      <c r="B31" s="8"/>
      <c r="C31" s="8"/>
      <c r="D31" s="8"/>
      <c r="E31" s="8"/>
      <c r="F31" s="8"/>
    </row>
  </sheetData>
  <mergeCells count="7">
    <mergeCell ref="B29:F30"/>
    <mergeCell ref="B27:H27"/>
    <mergeCell ref="B18:D18"/>
    <mergeCell ref="B20:D20"/>
    <mergeCell ref="F1:G1"/>
    <mergeCell ref="B1:E1"/>
    <mergeCell ref="B19:H19"/>
  </mergeCells>
  <phoneticPr fontId="6" type="noConversion"/>
  <pageMargins left="0" right="0" top="0" bottom="0" header="0" footer="0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2026-08-27T13:29:05Z</cp:lastPrinted>
  <dcterms:created xsi:type="dcterms:W3CDTF">2018-02-01T18:28:02Z</dcterms:created>
  <dcterms:modified xsi:type="dcterms:W3CDTF">2026-08-27T13:29:27Z</dcterms:modified>
</cp:coreProperties>
</file>