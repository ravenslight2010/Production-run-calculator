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Not Producing Yet\"/>
    </mc:Choice>
  </mc:AlternateContent>
  <xr:revisionPtr revIDLastSave="0" documentId="13_ncr:1_{B1D9DFB1-8B4F-47E7-9C16-D9766FE277B1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OZ" sheetId="1" r:id="rId1"/>
  </sheets>
  <definedNames>
    <definedName name="_xlnm.Print_Area" localSheetId="0">OZ!$B$1:$C$55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1" l="1"/>
  <c r="C39" i="1"/>
  <c r="C29" i="1"/>
  <c r="C19" i="1"/>
  <c r="C10" i="1"/>
</calcChain>
</file>

<file path=xl/sharedStrings.xml><?xml version="1.0" encoding="utf-8"?>
<sst xmlns="http://schemas.openxmlformats.org/spreadsheetml/2006/main" count="55" uniqueCount="30">
  <si>
    <t>TARGET WEIGHT</t>
  </si>
  <si>
    <t>WEIGHT SPEC RANGE</t>
  </si>
  <si>
    <t>Applicator - Tomatoes</t>
  </si>
  <si>
    <t>08/12/26  Rev. 01</t>
  </si>
  <si>
    <t xml:space="preserve">9" El Primo Pizzas </t>
  </si>
  <si>
    <t>CARNE ASADA</t>
  </si>
  <si>
    <t>Parbake Crust (9" Masa recipe - 9" Dies)</t>
  </si>
  <si>
    <r>
      <rPr>
        <b/>
        <sz val="11"/>
        <rFont val="Calibri"/>
        <family val="2"/>
        <scheme val="minor"/>
      </rPr>
      <t>Applicator - El Primo Cheese Mix</t>
    </r>
    <r>
      <rPr>
        <sz val="11"/>
        <rFont val="Calibri"/>
        <family val="2"/>
        <scheme val="minor"/>
      </rPr>
      <t xml:space="preserve">
0.9 White Cheese, 0.4 Cotija Grated Cheese</t>
    </r>
  </si>
  <si>
    <t>Quemada Salsa Roja (MegaMex)</t>
  </si>
  <si>
    <t>Applicator - FR Red Onion Strips</t>
  </si>
  <si>
    <t>18.00 - 18.50</t>
  </si>
  <si>
    <t>BARBACOA</t>
  </si>
  <si>
    <t>Quemada Salsa Verde (MegaMex)</t>
  </si>
  <si>
    <r>
      <t xml:space="preserve">Applicator - Barbacoa Cheese Mix
</t>
    </r>
    <r>
      <rPr>
        <sz val="11"/>
        <rFont val="Calibri"/>
        <family val="2"/>
        <scheme val="minor"/>
      </rPr>
      <t>1.85 Beef Barbacoa, 1.5 Whole Mozzarella, 0.002 Cilantro</t>
    </r>
  </si>
  <si>
    <t>17.10 - 17.60</t>
  </si>
  <si>
    <t>AL PASTOR</t>
  </si>
  <si>
    <t>Al Pastor (Legacy)</t>
  </si>
  <si>
    <t xml:space="preserve">Applicator - Pineapple </t>
  </si>
  <si>
    <t>STREET CORN</t>
  </si>
  <si>
    <t>Street Corn Sauce (Made in House)</t>
  </si>
  <si>
    <t>Applicator - Roasted Corn</t>
  </si>
  <si>
    <t>CARNITAS</t>
  </si>
  <si>
    <t>Salsa (Legacy)</t>
  </si>
  <si>
    <r>
      <rPr>
        <b/>
        <sz val="11"/>
        <rFont val="Calibri"/>
        <family val="2"/>
        <scheme val="minor"/>
      </rPr>
      <t>Applicator - Carnitas Cheese Mix</t>
    </r>
    <r>
      <rPr>
        <sz val="11"/>
        <rFont val="Calibri"/>
        <family val="2"/>
        <scheme val="minor"/>
      </rPr>
      <t xml:space="preserve">
2.0 Pork Carnitas, 1.25 Whole Mozzarella,                                                                                                             
0.002 Cilantro</t>
    </r>
  </si>
  <si>
    <r>
      <t xml:space="preserve">Applicator - Al Pastor Cheese Mix
</t>
    </r>
    <r>
      <rPr>
        <sz val="11"/>
        <rFont val="Calibri"/>
        <family val="2"/>
        <scheme val="minor"/>
      </rPr>
      <t>2.0 Pork Al Pastor, 2.1 Whole Mozzarella, 0.002 Cilantro</t>
    </r>
  </si>
  <si>
    <t>19.05 - 19.55</t>
  </si>
  <si>
    <r>
      <rPr>
        <b/>
        <sz val="11"/>
        <rFont val="Calibri"/>
        <family val="2"/>
        <scheme val="minor"/>
      </rPr>
      <t>Applicator - Street Corn Cheese Mix</t>
    </r>
    <r>
      <rPr>
        <sz val="11"/>
        <rFont val="Calibri"/>
        <family val="2"/>
        <scheme val="minor"/>
      </rPr>
      <t xml:space="preserve">
0.9 Whole Milk Mozzarella, 0.002 Cilantro                                                                                                   </t>
    </r>
  </si>
  <si>
    <t>16.30 - 16.80</t>
  </si>
  <si>
    <r>
      <rPr>
        <b/>
        <sz val="11"/>
        <rFont val="Calibri"/>
        <family val="2"/>
        <scheme val="minor"/>
      </rPr>
      <t>Applicator - Carnitas Cheese Mix</t>
    </r>
    <r>
      <rPr>
        <sz val="11"/>
        <rFont val="Calibri"/>
        <family val="2"/>
        <scheme val="minor"/>
      </rPr>
      <t xml:space="preserve">
1.7 Whole Mozzarella, 1.65 Pork Carnitas,                                                                                                            
0.002 Cilantro</t>
    </r>
  </si>
  <si>
    <t>18.05 - 18.60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</si>
</sst>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1" applyFont="1"/>
    <xf numFmtId="0" fontId="3" fillId="0" borderId="1" xfId="1" applyFont="1" applyBorder="1"/>
    <xf numFmtId="164" fontId="3" fillId="0" borderId="2" xfId="1" applyNumberFormat="1" applyFont="1" applyBorder="1" applyAlignment="1">
      <alignment horizontal="left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2" fontId="4" fillId="2" borderId="3" xfId="1" applyNumberFormat="1" applyFont="1" applyFill="1" applyBorder="1" applyAlignment="1">
      <alignment horizontal="left" vertical="center"/>
    </xf>
    <xf numFmtId="0" fontId="3" fillId="2" borderId="1" xfId="1" applyFont="1" applyFill="1" applyBorder="1"/>
    <xf numFmtId="0" fontId="2" fillId="0" borderId="0" xfId="0" applyFont="1"/>
    <xf numFmtId="0" fontId="4" fillId="2" borderId="1" xfId="0" applyFont="1" applyFill="1" applyBorder="1"/>
    <xf numFmtId="0" fontId="3" fillId="2" borderId="1" xfId="1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2" xfId="1" applyFont="1" applyFill="1" applyBorder="1" applyAlignment="1">
      <alignment horizontal="left"/>
    </xf>
    <xf numFmtId="0" fontId="4" fillId="0" borderId="1" xfId="1" applyFont="1" applyBorder="1" applyAlignment="1">
      <alignment horizontal="left" wrapText="1"/>
    </xf>
    <xf numFmtId="0" fontId="3" fillId="3" borderId="1" xfId="1" applyFont="1" applyFill="1" applyBorder="1"/>
    <xf numFmtId="4" fontId="3" fillId="3" borderId="3" xfId="1" applyNumberFormat="1" applyFont="1" applyFill="1" applyBorder="1" applyAlignment="1">
      <alignment horizontal="left"/>
    </xf>
    <xf numFmtId="2" fontId="3" fillId="3" borderId="4" xfId="1" applyNumberFormat="1" applyFont="1" applyFill="1" applyBorder="1" applyAlignment="1">
      <alignment horizontal="left"/>
    </xf>
    <xf numFmtId="0" fontId="3" fillId="0" borderId="2" xfId="1" applyFont="1" applyBorder="1" applyAlignment="1">
      <alignment horizontal="left"/>
    </xf>
    <xf numFmtId="2" fontId="3" fillId="0" borderId="0" xfId="1" applyNumberFormat="1" applyFont="1" applyAlignment="1">
      <alignment horizontal="left"/>
    </xf>
    <xf numFmtId="0" fontId="3" fillId="2" borderId="2" xfId="1" applyFont="1" applyFill="1" applyBorder="1" applyAlignment="1">
      <alignment horizontal="left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B483D9"/>
      <color rgb="FFFF99CC"/>
      <color rgb="FFFF3300"/>
      <color rgb="FF00FF00"/>
      <color rgb="FF66FFFF"/>
      <color rgb="FFCCECFF"/>
      <color rgb="FFFF6699"/>
      <color rgb="FF9C5BCD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4"/>
  <sheetViews>
    <sheetView tabSelected="1" topLeftCell="A37" zoomScale="110" zoomScaleNormal="110" workbookViewId="0">
      <selection activeCell="F61" sqref="F61"/>
    </sheetView>
  </sheetViews>
  <sheetFormatPr defaultRowHeight="15" x14ac:dyDescent="0.25"/>
  <cols>
    <col min="1" max="1" width="8.28515625" style="8" customWidth="1"/>
    <col min="2" max="2" width="54.85546875" style="8" customWidth="1"/>
    <col min="3" max="3" width="33.28515625" style="8" customWidth="1"/>
    <col min="4" max="4" width="18" style="8" customWidth="1"/>
    <col min="5" max="5" width="20.140625" style="8" customWidth="1"/>
    <col min="6" max="6" width="17.85546875" style="8" bestFit="1" customWidth="1"/>
    <col min="7" max="7" width="13.140625" style="8" bestFit="1" customWidth="1"/>
    <col min="8" max="8" width="14" style="8" bestFit="1" customWidth="1"/>
    <col min="9" max="9" width="16.7109375" style="8" bestFit="1" customWidth="1"/>
    <col min="10" max="12" width="9" style="8" bestFit="1" customWidth="1"/>
    <col min="13" max="13" width="13.28515625" style="8" bestFit="1" customWidth="1"/>
    <col min="14" max="14" width="5.5703125" style="8" bestFit="1" customWidth="1"/>
    <col min="15" max="15" width="8.85546875" style="8" bestFit="1" customWidth="1"/>
    <col min="16" max="16" width="5.5703125" style="8" bestFit="1" customWidth="1"/>
    <col min="17" max="17" width="10.140625" style="8" bestFit="1" customWidth="1"/>
    <col min="18" max="18" width="5.5703125" style="8" bestFit="1" customWidth="1"/>
    <col min="19" max="19" width="15.85546875" style="8" bestFit="1" customWidth="1"/>
    <col min="20" max="20" width="5.5703125" style="8" bestFit="1" customWidth="1"/>
    <col min="21" max="16384" width="9.140625" style="8"/>
  </cols>
  <sheetData>
    <row r="2" spans="2:3" ht="15.75" thickBot="1" x14ac:dyDescent="0.3">
      <c r="B2" s="11" t="s">
        <v>3</v>
      </c>
    </row>
    <row r="3" spans="2:3" x14ac:dyDescent="0.25">
      <c r="B3" s="2" t="s">
        <v>4</v>
      </c>
      <c r="C3" s="12" t="s">
        <v>5</v>
      </c>
    </row>
    <row r="4" spans="2:3" x14ac:dyDescent="0.25">
      <c r="B4" s="9" t="s">
        <v>6</v>
      </c>
      <c r="C4" s="5">
        <v>9.25</v>
      </c>
    </row>
    <row r="5" spans="2:3" x14ac:dyDescent="0.25">
      <c r="B5" s="4" t="s">
        <v>8</v>
      </c>
      <c r="C5" s="5">
        <v>2.75</v>
      </c>
    </row>
    <row r="6" spans="2:3" ht="30" customHeight="1" x14ac:dyDescent="0.25">
      <c r="B6" s="13" t="s">
        <v>7</v>
      </c>
      <c r="C6" s="5">
        <v>1.3</v>
      </c>
    </row>
    <row r="7" spans="2:3" x14ac:dyDescent="0.25">
      <c r="B7" s="10" t="s">
        <v>9</v>
      </c>
      <c r="C7" s="5">
        <v>0.7</v>
      </c>
    </row>
    <row r="8" spans="2:3" x14ac:dyDescent="0.25">
      <c r="B8" s="10" t="s">
        <v>2</v>
      </c>
      <c r="C8" s="5">
        <v>1</v>
      </c>
    </row>
    <row r="9" spans="2:3" ht="45" customHeight="1" x14ac:dyDescent="0.25">
      <c r="B9" s="13" t="s">
        <v>23</v>
      </c>
      <c r="C9" s="6">
        <v>3.2519999999999998</v>
      </c>
    </row>
    <row r="10" spans="2:3" x14ac:dyDescent="0.25">
      <c r="B10" s="14" t="s">
        <v>0</v>
      </c>
      <c r="C10" s="15">
        <f>SUM(C4:C9)</f>
        <v>18.251999999999999</v>
      </c>
    </row>
    <row r="11" spans="2:3" ht="15.75" thickBot="1" x14ac:dyDescent="0.3">
      <c r="B11" s="14" t="s">
        <v>1</v>
      </c>
      <c r="C11" s="16" t="s">
        <v>10</v>
      </c>
    </row>
    <row r="12" spans="2:3" ht="15.75" thickBot="1" x14ac:dyDescent="0.3"/>
    <row r="13" spans="2:3" x14ac:dyDescent="0.25">
      <c r="B13" s="2" t="s">
        <v>4</v>
      </c>
      <c r="C13" s="12" t="s">
        <v>11</v>
      </c>
    </row>
    <row r="14" spans="2:3" x14ac:dyDescent="0.25">
      <c r="B14" s="9" t="s">
        <v>6</v>
      </c>
      <c r="C14" s="5">
        <v>9.25</v>
      </c>
    </row>
    <row r="15" spans="2:3" x14ac:dyDescent="0.25">
      <c r="B15" s="4" t="s">
        <v>12</v>
      </c>
      <c r="C15" s="5">
        <v>2.75</v>
      </c>
    </row>
    <row r="16" spans="2:3" ht="30" x14ac:dyDescent="0.25">
      <c r="B16" s="13" t="s">
        <v>7</v>
      </c>
      <c r="C16" s="5">
        <v>1.3</v>
      </c>
    </row>
    <row r="17" spans="2:3" x14ac:dyDescent="0.25">
      <c r="B17" s="10" t="s">
        <v>9</v>
      </c>
      <c r="C17" s="6">
        <v>0.7</v>
      </c>
    </row>
    <row r="18" spans="2:3" ht="30" x14ac:dyDescent="0.25">
      <c r="B18" s="10" t="s">
        <v>13</v>
      </c>
      <c r="C18" s="6">
        <v>3.35</v>
      </c>
    </row>
    <row r="19" spans="2:3" x14ac:dyDescent="0.25">
      <c r="B19" s="14" t="s">
        <v>0</v>
      </c>
      <c r="C19" s="15">
        <f>SUM(C14:C18)</f>
        <v>17.350000000000001</v>
      </c>
    </row>
    <row r="20" spans="2:3" ht="15.75" thickBot="1" x14ac:dyDescent="0.3">
      <c r="B20" s="14" t="s">
        <v>1</v>
      </c>
      <c r="C20" s="16" t="s">
        <v>14</v>
      </c>
    </row>
    <row r="21" spans="2:3" ht="15.75" thickBot="1" x14ac:dyDescent="0.3"/>
    <row r="22" spans="2:3" x14ac:dyDescent="0.25">
      <c r="B22" s="2" t="s">
        <v>4</v>
      </c>
      <c r="C22" s="17" t="s">
        <v>15</v>
      </c>
    </row>
    <row r="23" spans="2:3" x14ac:dyDescent="0.25">
      <c r="B23" s="9" t="s">
        <v>6</v>
      </c>
      <c r="C23" s="5">
        <v>9.25</v>
      </c>
    </row>
    <row r="24" spans="2:3" x14ac:dyDescent="0.25">
      <c r="B24" s="4" t="s">
        <v>16</v>
      </c>
      <c r="C24" s="5">
        <v>2.75</v>
      </c>
    </row>
    <row r="25" spans="2:3" ht="30" x14ac:dyDescent="0.25">
      <c r="B25" s="13" t="s">
        <v>7</v>
      </c>
      <c r="C25" s="5">
        <v>1.3</v>
      </c>
    </row>
    <row r="26" spans="2:3" x14ac:dyDescent="0.25">
      <c r="B26" s="10" t="s">
        <v>9</v>
      </c>
      <c r="C26" s="6">
        <v>0.7</v>
      </c>
    </row>
    <row r="27" spans="2:3" x14ac:dyDescent="0.25">
      <c r="B27" s="7" t="s">
        <v>17</v>
      </c>
      <c r="C27" s="5">
        <v>1.2</v>
      </c>
    </row>
    <row r="28" spans="2:3" ht="30" x14ac:dyDescent="0.25">
      <c r="B28" s="10" t="s">
        <v>24</v>
      </c>
      <c r="C28" s="5">
        <v>4.1020000000000003</v>
      </c>
    </row>
    <row r="29" spans="2:3" x14ac:dyDescent="0.25">
      <c r="B29" s="14" t="s">
        <v>0</v>
      </c>
      <c r="C29" s="15">
        <f>SUM(C23:C28)</f>
        <v>19.302</v>
      </c>
    </row>
    <row r="30" spans="2:3" ht="15.75" thickBot="1" x14ac:dyDescent="0.3">
      <c r="B30" s="14" t="s">
        <v>1</v>
      </c>
      <c r="C30" s="16" t="s">
        <v>25</v>
      </c>
    </row>
    <row r="31" spans="2:3" ht="15.75" thickBot="1" x14ac:dyDescent="0.3"/>
    <row r="32" spans="2:3" x14ac:dyDescent="0.25">
      <c r="B32" s="2" t="s">
        <v>4</v>
      </c>
      <c r="C32" s="19" t="s">
        <v>18</v>
      </c>
    </row>
    <row r="33" spans="2:3" x14ac:dyDescent="0.25">
      <c r="B33" s="9" t="s">
        <v>6</v>
      </c>
      <c r="C33" s="5">
        <v>9.25</v>
      </c>
    </row>
    <row r="34" spans="2:3" x14ac:dyDescent="0.25">
      <c r="B34" s="4" t="s">
        <v>19</v>
      </c>
      <c r="C34" s="5">
        <v>2.4</v>
      </c>
    </row>
    <row r="35" spans="2:3" ht="30" x14ac:dyDescent="0.25">
      <c r="B35" s="13" t="s">
        <v>7</v>
      </c>
      <c r="C35" s="5">
        <v>1.3</v>
      </c>
    </row>
    <row r="36" spans="2:3" x14ac:dyDescent="0.25">
      <c r="B36" s="10" t="s">
        <v>9</v>
      </c>
      <c r="C36" s="6">
        <v>0.7</v>
      </c>
    </row>
    <row r="37" spans="2:3" x14ac:dyDescent="0.25">
      <c r="B37" s="10" t="s">
        <v>20</v>
      </c>
      <c r="C37" s="6">
        <v>2</v>
      </c>
    </row>
    <row r="38" spans="2:3" ht="30" x14ac:dyDescent="0.25">
      <c r="B38" s="13" t="s">
        <v>26</v>
      </c>
      <c r="C38" s="5">
        <v>0.90200000000000002</v>
      </c>
    </row>
    <row r="39" spans="2:3" x14ac:dyDescent="0.25">
      <c r="B39" s="14" t="s">
        <v>0</v>
      </c>
      <c r="C39" s="15">
        <f>SUM(C33:C38)</f>
        <v>16.552</v>
      </c>
    </row>
    <row r="40" spans="2:3" ht="15.75" thickBot="1" x14ac:dyDescent="0.3">
      <c r="B40" s="14" t="s">
        <v>1</v>
      </c>
      <c r="C40" s="16" t="s">
        <v>27</v>
      </c>
    </row>
    <row r="41" spans="2:3" x14ac:dyDescent="0.25">
      <c r="B41" s="1"/>
      <c r="C41" s="18"/>
    </row>
    <row r="42" spans="2:3" x14ac:dyDescent="0.25">
      <c r="B42" s="1"/>
      <c r="C42" s="18"/>
    </row>
    <row r="43" spans="2:3" x14ac:dyDescent="0.25">
      <c r="B43" s="1"/>
      <c r="C43" s="18"/>
    </row>
    <row r="44" spans="2:3" x14ac:dyDescent="0.25">
      <c r="B44" s="1"/>
      <c r="C44" s="18"/>
    </row>
    <row r="45" spans="2:3" ht="15.75" thickBot="1" x14ac:dyDescent="0.3">
      <c r="B45" s="11" t="s">
        <v>3</v>
      </c>
      <c r="C45" s="18"/>
    </row>
    <row r="46" spans="2:3" x14ac:dyDescent="0.25">
      <c r="B46" s="2" t="s">
        <v>4</v>
      </c>
      <c r="C46" s="3" t="s">
        <v>21</v>
      </c>
    </row>
    <row r="47" spans="2:3" x14ac:dyDescent="0.25">
      <c r="B47" s="9" t="s">
        <v>6</v>
      </c>
      <c r="C47" s="5">
        <v>9.25</v>
      </c>
    </row>
    <row r="48" spans="2:3" x14ac:dyDescent="0.25">
      <c r="B48" s="4" t="s">
        <v>22</v>
      </c>
      <c r="C48" s="5">
        <v>3.75</v>
      </c>
    </row>
    <row r="49" spans="2:3" ht="30" x14ac:dyDescent="0.25">
      <c r="B49" s="13" t="s">
        <v>7</v>
      </c>
      <c r="C49" s="5">
        <v>1.3</v>
      </c>
    </row>
    <row r="50" spans="2:3" x14ac:dyDescent="0.25">
      <c r="B50" s="10" t="s">
        <v>9</v>
      </c>
      <c r="C50" s="6">
        <v>0.7</v>
      </c>
    </row>
    <row r="51" spans="2:3" ht="45" x14ac:dyDescent="0.25">
      <c r="B51" s="13" t="s">
        <v>28</v>
      </c>
      <c r="C51" s="6">
        <v>3.3519999999999999</v>
      </c>
    </row>
    <row r="52" spans="2:3" x14ac:dyDescent="0.25">
      <c r="B52" s="14" t="s">
        <v>0</v>
      </c>
      <c r="C52" s="15">
        <f>SUM(C47:C51)</f>
        <v>18.352</v>
      </c>
    </row>
    <row r="53" spans="2:3" ht="15.75" thickBot="1" x14ac:dyDescent="0.3">
      <c r="B53" s="14" t="s">
        <v>1</v>
      </c>
      <c r="C53" s="16" t="s">
        <v>29</v>
      </c>
    </row>
    <row r="54" spans="2:3" x14ac:dyDescent="0.25">
      <c r="B54" s="1"/>
      <c r="C54" s="18"/>
    </row>
  </sheetData>
  <pageMargins left="0.5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OZ</vt:lpstr>
      <vt:lpstr>OZ!Print_Area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2026-08-13T15:04:29Z</cp:lastPrinted>
  <dcterms:created xsi:type="dcterms:W3CDTF">2016-04-25T14:01:26Z</dcterms:created>
  <dcterms:modified xsi:type="dcterms:W3CDTF">2026-08-13T20:38:08Z</dcterms:modified>
</cp:coreProperties>
</file>