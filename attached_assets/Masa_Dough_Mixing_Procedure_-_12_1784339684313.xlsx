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40B309B9-3225-44C4-9692-F19B77FC6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Sheet1!$B$5:$G$15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4" i="1"/>
  <c r="E13" i="1"/>
  <c r="E12" i="1"/>
  <c r="E11" i="1"/>
  <c r="E10" i="1"/>
  <c r="E9" i="1"/>
  <c r="E8" i="1"/>
  <c r="E7" i="1"/>
  <c r="E6" i="1"/>
  <c r="E15" i="1"/>
  <c r="D15" i="1"/>
  <c r="E39" i="1" s="1"/>
</calcChain>
</file>

<file path=xl/sharedStrings.xml><?xml version="1.0" encoding="utf-8"?>
<sst xmlns="http://schemas.openxmlformats.org/spreadsheetml/2006/main" count="41" uniqueCount="40">
  <si>
    <t>MASA DOUGH MIXING PROCEDURE</t>
  </si>
  <si>
    <t>This recipe used for Hannaford and Lucia SOB pizzas</t>
  </si>
  <si>
    <t>LBS.</t>
  </si>
  <si>
    <t xml:space="preserve">ADM WHEAT FLOUR </t>
  </si>
  <si>
    <t xml:space="preserve">WATER  </t>
  </si>
  <si>
    <t>MASA FLOUR</t>
  </si>
  <si>
    <t>SUGAR</t>
  </si>
  <si>
    <t>CORN OIL</t>
  </si>
  <si>
    <t>BAKING POWDER</t>
  </si>
  <si>
    <t>YEAST</t>
  </si>
  <si>
    <t>SEA SALT</t>
  </si>
  <si>
    <t>Total</t>
  </si>
  <si>
    <t>All Ingredients are to be weighed, not measured in cups</t>
  </si>
  <si>
    <t>1. SET WATER TO 121 LBS &amp; TEMP TO 115</t>
  </si>
  <si>
    <t>2. SET MIXER LOW TO 260 TIME, 75 SPIRAL RPM &amp; -8 BOWL RPM</t>
  </si>
  <si>
    <t>3. SET MIXER HIGH TO 165 TIME, 240 SPIRAL RPM &amp; 20 BOWL RPM</t>
  </si>
  <si>
    <t>4. REMOVE OUTER LAYER OF 4 - 50 LB BAGS OF ADM WHEAT FLOUR, OPEN AND ADD TO MIXING BOWL</t>
  </si>
  <si>
    <t xml:space="preserve">5. REMOVE OUTER LAYER OF 1 - 50 LB BAGS MASA FLOUR, OPEN AND MEASURE AND  ADD 25 LBS TO MIXING BOWL </t>
  </si>
  <si>
    <t>6. MEASURE AND ADD 7.5 LBS OF SUGAR</t>
  </si>
  <si>
    <t>9. MEASURE AND ADD 2.5 LB OF SEA SALT</t>
  </si>
  <si>
    <t>Scale must be set on oz. (not ozt.) prior to weighing out dough balls</t>
  </si>
  <si>
    <t>OZ.</t>
  </si>
  <si>
    <t>YIELD</t>
  </si>
  <si>
    <t>PER TRAY</t>
  </si>
  <si>
    <t>Hannaford &amp; Lucia Craft SOB Masa</t>
  </si>
  <si>
    <t>Acceptable range on dougballs is -0.1oz/+0.25</t>
  </si>
  <si>
    <t>*Trays must be oiled piror to doughballs being placed on them</t>
  </si>
  <si>
    <t>7. SIFT, MEASURE AND ADD 6.25 LB OF BAKING POWDER</t>
  </si>
  <si>
    <t>8. ADD 3 LBS FRESH COMPRESSED YEAST *KEEP SEPERATE FROM OTHER INGREDIENTS*</t>
  </si>
  <si>
    <t xml:space="preserve">*10 min after dough is divided, check temp and adust water temp and mixer high to get </t>
  </si>
  <si>
    <t>doughballs around 95-100°</t>
  </si>
  <si>
    <t>01/14/25 Rev 12</t>
  </si>
  <si>
    <t xml:space="preserve">10. MEASURE AND ADD 1.75 LBS OF DOUGH CONDITIONER </t>
  </si>
  <si>
    <r>
      <t xml:space="preserve">DOUGH CONDITIONER </t>
    </r>
    <r>
      <rPr>
        <b/>
        <sz val="11"/>
        <color theme="1"/>
        <rFont val="Calibri"/>
        <family val="2"/>
        <scheme val="minor"/>
      </rPr>
      <t>UFI-U1420</t>
    </r>
  </si>
  <si>
    <t>11. MEASURE AND ADD 6.25 LBS OF CORN OIL</t>
  </si>
  <si>
    <t>12. PLACE BOWL INTO MIXER AND LOCK IT IN</t>
  </si>
  <si>
    <t>13. CLOSE MIXING BOWL LID</t>
  </si>
  <si>
    <t>14. START MIXER</t>
  </si>
  <si>
    <t>15. ADD WATER</t>
  </si>
  <si>
    <t>16. WITH 30SEC OR LESS LEFT ON HIGH, DRIZZLE OIL INTO THE BOWL NEAR THE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</si>
</sst>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3" xfId="0" applyFont="1" applyBorder="1" applyAlignment="1">
      <alignment horizontal="left" indent="4"/>
    </xf>
    <xf numFmtId="2" fontId="4" fillId="2" borderId="6" xfId="0" applyNumberFormat="1" applyFont="1" applyFill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2" borderId="9" xfId="0" applyNumberFormat="1" applyFont="1" applyFill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1" xfId="0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2" borderId="10" xfId="0" applyFont="1" applyFill="1" applyBorder="1" applyAlignment="1">
      <alignment horizontal="right"/>
    </xf>
    <xf numFmtId="0" fontId="4" fillId="2" borderId="11" xfId="0" applyFont="1" applyFill="1" applyBorder="1" applyAlignment="1">
      <alignment horizontal="right"/>
    </xf>
    <xf numFmtId="2" fontId="0" fillId="0" borderId="3" xfId="0" applyNumberFormat="1" applyBorder="1"/>
    <xf numFmtId="0" fontId="4" fillId="0" borderId="14" xfId="0" applyFont="1" applyBorder="1" applyAlignment="1">
      <alignment horizontal="right"/>
    </xf>
    <xf numFmtId="2" fontId="4" fillId="3" borderId="17" xfId="0" applyNumberFormat="1" applyFont="1" applyFill="1" applyBorder="1" applyAlignment="1">
      <alignment horizontal="right"/>
    </xf>
    <xf numFmtId="1" fontId="0" fillId="0" borderId="0" xfId="0" applyNumberFormat="1"/>
    <xf numFmtId="0" fontId="0" fillId="2" borderId="7" xfId="0" applyFill="1" applyBorder="1"/>
    <xf numFmtId="0" fontId="0" fillId="2" borderId="8" xfId="0" applyFill="1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2" xfId="0" applyBorder="1"/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0" borderId="18" xfId="0" applyBorder="1"/>
    <xf numFmtId="164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5"/>
  <sheetViews>
    <sheetView tabSelected="1" workbookViewId="0">
      <selection activeCell="F16" sqref="F16"/>
    </sheetView>
  </sheetViews>
  <sheetFormatPr defaultRowHeight="15" x14ac:dyDescent="0.25"/>
  <cols>
    <col min="2" max="2" width="29" customWidth="1"/>
    <col min="3" max="3" width="9.7109375" bestFit="1" customWidth="1"/>
    <col min="4" max="4" width="12" hidden="1" customWidth="1"/>
    <col min="5" max="5" width="8.5703125" hidden="1" customWidth="1"/>
    <col min="6" max="6" width="10.28515625" customWidth="1"/>
    <col min="7" max="7" width="7.5703125" customWidth="1"/>
    <col min="8" max="8" width="10.710937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0</v>
      </c>
    </row>
    <row r="3" spans="2:9" ht="21" x14ac:dyDescent="0.35">
      <c r="B3" s="1"/>
      <c r="C3" s="1"/>
      <c r="F3" s="2" t="s">
        <v>31</v>
      </c>
      <c r="I3" s="2"/>
    </row>
    <row r="4" spans="2:9" ht="21.75" thickBot="1" x14ac:dyDescent="0.4">
      <c r="B4" s="3" t="s">
        <v>1</v>
      </c>
      <c r="C4" s="1"/>
      <c r="G4" s="2"/>
      <c r="I4" s="2"/>
    </row>
    <row r="5" spans="2:9" ht="15" customHeight="1" x14ac:dyDescent="0.25">
      <c r="B5" s="33"/>
      <c r="C5" s="34"/>
      <c r="D5" s="4" t="s">
        <v>2</v>
      </c>
      <c r="F5" s="39"/>
    </row>
    <row r="6" spans="2:9" x14ac:dyDescent="0.25">
      <c r="B6" s="37" t="s">
        <v>3</v>
      </c>
      <c r="C6" s="38"/>
      <c r="D6" s="5">
        <v>200</v>
      </c>
      <c r="E6">
        <f>D6/30</f>
        <v>6.666666666666667</v>
      </c>
      <c r="F6" s="40">
        <v>200</v>
      </c>
      <c r="G6" s="26"/>
    </row>
    <row r="7" spans="2:9" x14ac:dyDescent="0.25">
      <c r="B7" s="29" t="s">
        <v>4</v>
      </c>
      <c r="C7" s="30"/>
      <c r="D7" s="6">
        <v>121</v>
      </c>
      <c r="E7">
        <f t="shared" ref="E7:E14" si="0">D7/30</f>
        <v>4.0333333333333332</v>
      </c>
      <c r="F7" s="40">
        <v>121</v>
      </c>
      <c r="G7" s="26"/>
    </row>
    <row r="8" spans="2:9" x14ac:dyDescent="0.25">
      <c r="B8" s="27" t="s">
        <v>5</v>
      </c>
      <c r="C8" s="28"/>
      <c r="D8" s="7">
        <v>25</v>
      </c>
      <c r="E8">
        <f t="shared" si="0"/>
        <v>0.83333333333333337</v>
      </c>
      <c r="F8" s="40">
        <v>25</v>
      </c>
      <c r="G8" s="26"/>
    </row>
    <row r="9" spans="2:9" x14ac:dyDescent="0.25">
      <c r="B9" s="29" t="s">
        <v>6</v>
      </c>
      <c r="C9" s="30"/>
      <c r="D9" s="6">
        <v>7.5</v>
      </c>
      <c r="E9">
        <f t="shared" si="0"/>
        <v>0.25</v>
      </c>
      <c r="F9" s="40">
        <v>7.5</v>
      </c>
      <c r="G9" s="26"/>
    </row>
    <row r="10" spans="2:9" x14ac:dyDescent="0.25">
      <c r="B10" s="27" t="s">
        <v>7</v>
      </c>
      <c r="C10" s="28"/>
      <c r="D10" s="7">
        <v>6.25</v>
      </c>
      <c r="E10">
        <f t="shared" si="0"/>
        <v>0.20833333333333334</v>
      </c>
      <c r="F10" s="40">
        <v>6.25</v>
      </c>
      <c r="G10" s="26"/>
    </row>
    <row r="11" spans="2:9" x14ac:dyDescent="0.25">
      <c r="B11" s="29" t="s">
        <v>8</v>
      </c>
      <c r="C11" s="30"/>
      <c r="D11" s="6">
        <v>6.25</v>
      </c>
      <c r="E11">
        <f t="shared" si="0"/>
        <v>0.20833333333333334</v>
      </c>
      <c r="F11" s="40">
        <v>6.25</v>
      </c>
      <c r="G11" s="26"/>
    </row>
    <row r="12" spans="2:9" x14ac:dyDescent="0.25">
      <c r="B12" s="27" t="s">
        <v>9</v>
      </c>
      <c r="C12" s="28"/>
      <c r="D12" s="7">
        <v>3</v>
      </c>
      <c r="E12">
        <f t="shared" si="0"/>
        <v>0.1</v>
      </c>
      <c r="F12" s="40">
        <v>3</v>
      </c>
      <c r="G12" s="26"/>
    </row>
    <row r="13" spans="2:9" x14ac:dyDescent="0.25">
      <c r="B13" s="31" t="s">
        <v>10</v>
      </c>
      <c r="C13" s="32"/>
      <c r="D13" s="24">
        <v>2.5</v>
      </c>
      <c r="E13">
        <f t="shared" si="0"/>
        <v>8.3333333333333329E-2</v>
      </c>
      <c r="F13" s="40">
        <v>2.5</v>
      </c>
      <c r="G13" s="26"/>
    </row>
    <row r="14" spans="2:9" ht="15.75" thickBot="1" x14ac:dyDescent="0.3">
      <c r="B14" s="35" t="s">
        <v>33</v>
      </c>
      <c r="C14" s="36"/>
      <c r="D14" s="25">
        <v>1.75</v>
      </c>
      <c r="E14">
        <f t="shared" si="0"/>
        <v>5.8333333333333334E-2</v>
      </c>
      <c r="F14" s="40">
        <v>1.75</v>
      </c>
      <c r="G14" s="26"/>
    </row>
    <row r="15" spans="2:9" ht="15.75" thickBot="1" x14ac:dyDescent="0.3">
      <c r="B15" s="33" t="s">
        <v>11</v>
      </c>
      <c r="C15" s="34"/>
      <c r="D15" s="23">
        <f>SUM(D6:D14)</f>
        <v>373.25</v>
      </c>
      <c r="E15">
        <f>SUM(E6:E14)</f>
        <v>12.441666666666668</v>
      </c>
      <c r="F15" s="40">
        <f>SUM(F6:F14)</f>
        <v>373.25</v>
      </c>
    </row>
    <row r="17" spans="2:2" x14ac:dyDescent="0.25">
      <c r="B17" s="8"/>
    </row>
    <row r="18" spans="2:2" x14ac:dyDescent="0.25">
      <c r="B18" s="3" t="s">
        <v>12</v>
      </c>
    </row>
    <row r="19" spans="2:2" x14ac:dyDescent="0.25">
      <c r="B19" t="s">
        <v>13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16</v>
      </c>
    </row>
    <row r="23" spans="2:2" x14ac:dyDescent="0.25">
      <c r="B23" t="s">
        <v>17</v>
      </c>
    </row>
    <row r="24" spans="2:2" x14ac:dyDescent="0.25">
      <c r="B24" s="9" t="s">
        <v>18</v>
      </c>
    </row>
    <row r="25" spans="2:2" x14ac:dyDescent="0.25">
      <c r="B25" s="9" t="s">
        <v>27</v>
      </c>
    </row>
    <row r="26" spans="2:2" x14ac:dyDescent="0.25">
      <c r="B26" t="s">
        <v>28</v>
      </c>
    </row>
    <row r="27" spans="2:2" x14ac:dyDescent="0.25">
      <c r="B27" s="9" t="s">
        <v>19</v>
      </c>
    </row>
    <row r="28" spans="2:2" x14ac:dyDescent="0.25">
      <c r="B28" s="9" t="s">
        <v>32</v>
      </c>
    </row>
    <row r="29" spans="2:2" x14ac:dyDescent="0.25">
      <c r="B29" s="9" t="s">
        <v>34</v>
      </c>
    </row>
    <row r="30" spans="2:2" x14ac:dyDescent="0.25">
      <c r="B30" t="s">
        <v>35</v>
      </c>
    </row>
    <row r="31" spans="2:2" x14ac:dyDescent="0.25">
      <c r="B31" t="s">
        <v>36</v>
      </c>
    </row>
    <row r="32" spans="2:2" x14ac:dyDescent="0.25">
      <c r="B32" t="s">
        <v>37</v>
      </c>
    </row>
    <row r="33" spans="1:8" x14ac:dyDescent="0.25">
      <c r="B33" t="s">
        <v>38</v>
      </c>
    </row>
    <row r="34" spans="1:8" x14ac:dyDescent="0.25">
      <c r="B34" t="s">
        <v>39</v>
      </c>
    </row>
    <row r="35" spans="1:8" x14ac:dyDescent="0.25">
      <c r="B35" s="8"/>
    </row>
    <row r="36" spans="1:8" x14ac:dyDescent="0.25">
      <c r="B36" s="3" t="s">
        <v>20</v>
      </c>
    </row>
    <row r="37" spans="1:8" ht="15.75" thickBot="1" x14ac:dyDescent="0.3">
      <c r="B37" s="8"/>
      <c r="G37" s="12"/>
      <c r="H37" s="12"/>
    </row>
    <row r="38" spans="1:8" ht="15.75" thickBot="1" x14ac:dyDescent="0.3">
      <c r="A38" s="19"/>
      <c r="B38" s="20"/>
      <c r="C38" s="10" t="s">
        <v>21</v>
      </c>
      <c r="D38" s="10" t="s">
        <v>2</v>
      </c>
      <c r="E38" s="10" t="s">
        <v>22</v>
      </c>
      <c r="F38" s="11" t="s">
        <v>23</v>
      </c>
      <c r="G38" s="16"/>
      <c r="H38" s="16"/>
    </row>
    <row r="39" spans="1:8" ht="15.75" thickBot="1" x14ac:dyDescent="0.3">
      <c r="A39" s="21" t="s">
        <v>24</v>
      </c>
      <c r="B39" s="22"/>
      <c r="C39" s="13">
        <v>12</v>
      </c>
      <c r="D39" s="13">
        <v>0.75</v>
      </c>
      <c r="E39" s="14">
        <f>D15*16/C39</f>
        <v>497.66666666666669</v>
      </c>
      <c r="F39" s="15">
        <v>16</v>
      </c>
    </row>
    <row r="40" spans="1:8" x14ac:dyDescent="0.25">
      <c r="B40" s="17"/>
    </row>
    <row r="41" spans="1:8" x14ac:dyDescent="0.25">
      <c r="C41" s="18" t="s">
        <v>25</v>
      </c>
      <c r="D41" s="18"/>
      <c r="E41" s="18"/>
      <c r="F41" s="18"/>
    </row>
    <row r="42" spans="1:8" x14ac:dyDescent="0.25">
      <c r="C42" s="2"/>
    </row>
    <row r="43" spans="1:8" x14ac:dyDescent="0.25">
      <c r="B43" t="s">
        <v>26</v>
      </c>
    </row>
    <row r="44" spans="1:8" x14ac:dyDescent="0.25">
      <c r="B44" t="s">
        <v>29</v>
      </c>
    </row>
    <row r="45" spans="1:8" x14ac:dyDescent="0.25">
      <c r="B45" t="s">
        <v>30</v>
      </c>
    </row>
  </sheetData>
  <mergeCells count="11"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5:C15"/>
    <mergeCell ref="B14:C14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Scott Ashby</cp:lastModifiedBy>
  <cp:lastPrinted>2026-04-09T17:00:39Z</cp:lastPrinted>
  <dcterms:created xsi:type="dcterms:W3CDTF">2016-04-06T14:37:13Z</dcterms:created>
  <dcterms:modified xsi:type="dcterms:W3CDTF">2026-04-09T17:02:41Z</dcterms:modified>
</cp:coreProperties>
</file>