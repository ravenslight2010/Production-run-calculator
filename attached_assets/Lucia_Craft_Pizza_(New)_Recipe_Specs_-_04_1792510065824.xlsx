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FA7DE865-114B-43C7-BE1F-95B3407741AC}" xr6:coauthVersionLast="47" xr6:coauthVersionMax="47" xr10:uidLastSave="{00000000-0000-0000-0000-000000000000}"/>
  <bookViews>
    <workbookView xWindow="28680" yWindow="1635" windowWidth="29040" windowHeight="15720" xr2:uid="{00000000-000D-0000-FFFF-FFFF00000000}"/>
  </bookViews>
  <sheets>
    <sheet name="OZ" sheetId="3" r:id="rId1"/>
  </sheets>
  <definedNames>
    <definedName name="_xlnm.Print_Area" localSheetId="0">OZ!$B$1:$C$81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35" i="3"/>
  <c r="C16" i="3"/>
</calcChain>
</file>

<file path=xl/sharedStrings.xml><?xml version="1.0" encoding="utf-8"?>
<sst xmlns="http://schemas.openxmlformats.org/spreadsheetml/2006/main" count="91" uniqueCount="59">
  <si>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</si>
  <si>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</si>
  <si>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</si>
  <si>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</si>
  <si>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r>
      <t>Sauce</t>
    </r>
    <r>
      <rPr>
        <b/>
        <sz val="11"/>
        <rFont val="Calibri"/>
        <family val="2"/>
        <scheme val="minor"/>
      </rPr>
      <t xml:space="preserve"> (Four Hands Red Hot Recipe)</t>
    </r>
  </si>
  <si>
    <t xml:space="preserve"> </t>
  </si>
  <si>
    <t>Cheeseburger Sauce (Legacy)</t>
  </si>
  <si>
    <t>25.25 - 25.75</t>
  </si>
  <si>
    <t>Parbake Crust (Lucia's French Fry recipe - Argus Dies)</t>
  </si>
  <si>
    <t xml:space="preserve">11" Lucia's Craft Pizzas </t>
  </si>
  <si>
    <r>
      <rPr>
        <b/>
        <sz val="11"/>
        <rFont val="Calibri"/>
        <family val="2"/>
        <scheme val="minor"/>
      </rPr>
      <t xml:space="preserve">Applicator Two - Craft Cheeseburger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 0.5 Bacon (Tri Meats TM3514U or C&amp;F 001ANUB40)</t>
    </r>
  </si>
  <si>
    <r>
      <t xml:space="preserve">Applicator Three - Cheeseburger Cheese Mix                                                                      
</t>
    </r>
    <r>
      <rPr>
        <sz val="11"/>
        <rFont val="Calibri"/>
        <family val="2"/>
        <scheme val="minor"/>
      </rPr>
      <t>2.5 Whole Mozzarella, 2.5 Yellow Cheddar</t>
    </r>
  </si>
  <si>
    <r>
      <rPr>
        <b/>
        <sz val="11"/>
        <rFont val="Calibri"/>
        <family val="2"/>
        <scheme val="minor"/>
      </rPr>
      <t xml:space="preserve">Applicator - 4Hands Red Hot Mix  </t>
    </r>
    <r>
      <rPr>
        <sz val="11"/>
        <rFont val="Calibri"/>
        <family val="2"/>
        <scheme val="minor"/>
      </rPr>
      <t xml:space="preserve">                                                          
0.5 Bacon (Tri Meats TM3514U or C&amp;F 001ANUB40), 0.25 Jalapenos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</si>
  <si>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(C&amp;F - 001MPDC40 or House of Raeford - 28501), 0.07 Vienna Red Hot Sauce</t>
    </r>
  </si>
  <si>
    <r>
      <rPr>
        <b/>
        <sz val="11"/>
        <rFont val="Calibri"/>
        <family val="2"/>
        <scheme val="minor"/>
      </rPr>
      <t>Applicator - Pineapple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</si>
  <si>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</si>
  <si>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 xml:space="preserve">Applicator - Red Hot Cheese Mix
</t>
    </r>
    <r>
      <rPr>
        <sz val="11"/>
        <rFont val="Calibri"/>
        <family val="2"/>
        <scheme val="minor"/>
      </rPr>
      <t>Monterey Jack 4.50, Riplet Seasoning 0.01</t>
    </r>
    <r>
      <rPr>
        <b/>
        <sz val="11"/>
        <rFont val="Calibri"/>
        <family val="2"/>
        <scheme val="minor"/>
      </rPr>
      <t xml:space="preserve">                                               </t>
    </r>
  </si>
  <si>
    <t>23.26 - 24.76</t>
  </si>
  <si>
    <t>Parbake Crust (CRB recipe - 11" Dies)</t>
  </si>
  <si>
    <r>
      <rPr>
        <b/>
        <sz val="11"/>
        <rFont val="Calibri"/>
        <family val="2"/>
        <scheme val="minor"/>
      </rPr>
      <t xml:space="preserve">Applicator - Sweet Chili Veggie Mix
</t>
    </r>
    <r>
      <rPr>
        <sz val="11"/>
        <rFont val="Calibri"/>
        <family val="2"/>
        <scheme val="minor"/>
      </rPr>
      <t xml:space="preserve">0.5 FR Red Onion Strips, 0.5 Red Pepper Strips, 0.5 Green Pepper Strips                                                                                                      </t>
    </r>
  </si>
  <si>
    <r>
      <t xml:space="preserve">Applicator - Sweet Chili Veggie Cheese Mix                                                                      
</t>
    </r>
    <r>
      <rPr>
        <sz val="11"/>
        <rFont val="Calibri"/>
        <family val="2"/>
        <scheme val="minor"/>
      </rPr>
      <t>3.5 Whole Mozzarella, 0.75 Fontina</t>
    </r>
  </si>
  <si>
    <t>17.5 - 18.0</t>
  </si>
  <si>
    <t>BBQ Sauce (Legacy)</t>
  </si>
  <si>
    <t>Applicator - Red Onion Diced</t>
  </si>
  <si>
    <t>Sauce (Mystic Recipe)</t>
  </si>
  <si>
    <t>19.85 - 20.35</t>
  </si>
  <si>
    <t>Parbake crust (Sriracha recipe - 11" Dies)</t>
  </si>
  <si>
    <t>19 = 1.25</t>
  </si>
  <si>
    <r>
      <rPr>
        <b/>
        <sz val="11"/>
        <rFont val="Calibri"/>
        <family val="2"/>
        <scheme val="minor"/>
      </rPr>
      <t xml:space="preserve">Applicator - Jalapenos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</t>
    </r>
  </si>
  <si>
    <t>20.6 - 21.1</t>
  </si>
  <si>
    <t>12 = 0.8</t>
  </si>
  <si>
    <t>24.05 - 24.55</t>
  </si>
  <si>
    <t>Sweet Chili Sauce (UFI - Made)</t>
  </si>
  <si>
    <t>Applicator - Mushrooms</t>
  </si>
  <si>
    <t>Applicator - Whole Mozzarella</t>
  </si>
  <si>
    <t>22.88 - 23.38</t>
  </si>
  <si>
    <r>
      <rPr>
        <b/>
        <sz val="11"/>
        <rFont val="Calibri"/>
        <family val="2"/>
        <scheme val="minor"/>
      </rPr>
      <t xml:space="preserve">Applicator One - Beef Topping </t>
    </r>
    <r>
      <rPr>
        <sz val="11"/>
        <rFont val="Calibri"/>
        <family val="2"/>
        <scheme val="minor"/>
      </rPr>
      <t xml:space="preserve">(Fair Market 11341-FC)                                                </t>
    </r>
  </si>
  <si>
    <t>FOUR CHEESE MELTDOWN</t>
  </si>
  <si>
    <t>NASHVILLE STYLE HOT CHICKEN</t>
  </si>
  <si>
    <t>BACON BURGER SUPREME</t>
  </si>
  <si>
    <t>SWEET CHILI GARDEN</t>
  </si>
  <si>
    <t>BLAZIN' PEPPERONI &amp; JALAPENO</t>
  </si>
  <si>
    <t>BACKYARD BBQ CHICKEN</t>
  </si>
  <si>
    <t>MEAT MARKET SPECIAL</t>
  </si>
  <si>
    <t>HOUSE DLUX</t>
  </si>
  <si>
    <r>
      <rPr>
        <b/>
        <sz val="11"/>
        <rFont val="Calibri"/>
        <family val="2"/>
        <scheme val="minor"/>
      </rP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</si>
  <si>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Italian Sausage </t>
    </r>
    <r>
      <rPr>
        <sz val="11"/>
        <rFont val="Calibri"/>
        <family val="2"/>
        <scheme val="minor"/>
      </rPr>
      <t>(C&amp;F - 001LPIS40)</t>
    </r>
  </si>
  <si>
    <r>
      <rPr>
        <b/>
        <sz val="11"/>
        <rFont val="Calibri"/>
        <family val="2"/>
        <scheme val="minor"/>
      </rPr>
      <t xml:space="preserve">Applicator - Bacon </t>
    </r>
    <r>
      <rPr>
        <sz val="11"/>
        <rFont val="Calibri"/>
        <family val="2"/>
        <scheme val="minor"/>
      </rPr>
      <t xml:space="preserve">(C&amp;F 001ANUB40 or Tri Meats TM3514U)             </t>
    </r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</si>
  <si>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</si>
  <si>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r>
      <t xml:space="preserve">Parbake Crust (CRB </t>
    </r>
    <r>
      <rPr>
        <b/>
        <sz val="11"/>
        <rFont val="Calibri"/>
        <family val="2"/>
        <scheme val="minor"/>
      </rPr>
      <t>Ultra Thin</t>
    </r>
    <r>
      <rPr>
        <sz val="11"/>
        <rFont val="Calibri"/>
        <family val="2"/>
        <scheme val="minor"/>
      </rPr>
      <t xml:space="preserve"> recipe - 11" Dies)</t>
    </r>
  </si>
  <si>
    <r>
      <t xml:space="preserve">Parbake Crust (11" CRB </t>
    </r>
    <r>
      <rPr>
        <b/>
        <sz val="11"/>
        <rFont val="Calibri"/>
        <family val="2"/>
        <scheme val="minor"/>
      </rPr>
      <t>Ultra Thin</t>
    </r>
    <r>
      <rPr>
        <sz val="11"/>
        <rFont val="Calibri"/>
        <family val="2"/>
        <scheme val="minor"/>
      </rPr>
      <t xml:space="preserve"> recipe - 11" Dies)</t>
    </r>
  </si>
  <si>
    <r>
      <t xml:space="preserve">Applicator - Pepperoni/Jalapeno Cheese Mix                                                                    
</t>
    </r>
    <r>
      <rPr>
        <sz val="11"/>
        <rFont val="Calibri"/>
        <family val="2"/>
        <scheme val="minor"/>
      </rPr>
      <t>1.53 Whole Mozz, 0.22 Cow's Romano</t>
    </r>
  </si>
  <si>
    <r>
      <t xml:space="preserve">Applicator - House Dlux Mix 
</t>
    </r>
    <r>
      <rPr>
        <sz val="11"/>
        <rFont val="Calibri"/>
        <family val="2"/>
        <scheme val="minor"/>
      </rPr>
      <t xml:space="preserve">1.325 FR Red Onion Strips, 0.5 Black Olives  </t>
    </r>
    <r>
      <rPr>
        <b/>
        <sz val="11"/>
        <rFont val="Calibri"/>
        <family val="2"/>
        <scheme val="minor"/>
      </rPr>
      <t xml:space="preserve">                         </t>
    </r>
  </si>
  <si>
    <r>
      <t xml:space="preserve">Applicator - Craft Cheese Mix                                                          
</t>
    </r>
    <r>
      <rPr>
        <sz val="11"/>
        <rFont val="Calibri"/>
        <family val="2"/>
        <scheme val="minor"/>
      </rPr>
      <t>1.5 Whole Mozz. 0.5 Fontina, 0.5 Provolone, 0.05 Aldo's Parmesan / Oregano Mix</t>
    </r>
  </si>
  <si>
    <r>
      <t xml:space="preserve">Applicator - Corner Booth Pepperoni Cheese Mix                                                           
</t>
    </r>
    <r>
      <rPr>
        <sz val="11"/>
        <rFont val="Calibri"/>
        <family val="2"/>
        <scheme val="minor"/>
      </rPr>
      <t>1.8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0.56 Provolone, 0.14 Cow's Romano</t>
    </r>
  </si>
  <si>
    <r>
      <t xml:space="preserve">Applicator - Corner Booth Pepperoni Cheese Mix                                                           
</t>
    </r>
    <r>
      <rPr>
        <sz val="11"/>
        <rFont val="Calibri"/>
        <family val="2"/>
        <scheme val="minor"/>
      </rPr>
      <t>1.45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0.45 Provolone, 0.1 Cow's Romano</t>
    </r>
  </si>
  <si>
    <t>07/27/26 Revision 04</t>
  </si>
  <si>
    <r>
      <t xml:space="preserve">Applicator - BBQ Chicken Cheese Mix
</t>
    </r>
    <r>
      <rPr>
        <sz val="11"/>
        <rFont val="Calibri"/>
        <family val="2"/>
        <scheme val="minor"/>
      </rPr>
      <t>5.0 Monterey Jack, 0.20 Cilantro</t>
    </r>
  </si>
  <si>
    <t>18.95 - 19.45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</si>
</sst>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3" xfId="0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2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2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2" fontId="4" fillId="0" borderId="2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0" xfId="1" applyFont="1" applyFill="1" applyAlignment="1">
      <alignment wrapText="1"/>
    </xf>
    <xf numFmtId="2" fontId="4" fillId="2" borderId="0" xfId="1" applyNumberFormat="1" applyFont="1" applyFill="1" applyAlignment="1">
      <alignment horizontal="left"/>
    </xf>
    <xf numFmtId="0" fontId="3" fillId="2" borderId="1" xfId="1" applyFont="1" applyFill="1" applyBorder="1" applyAlignment="1">
      <alignment horizontal="left" wrapText="1"/>
    </xf>
    <xf numFmtId="2" fontId="4" fillId="2" borderId="2" xfId="1" applyNumberFormat="1" applyFont="1" applyFill="1" applyBorder="1" applyAlignment="1">
      <alignment horizontal="left" wrapText="1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1" xfId="1" applyFont="1" applyBorder="1"/>
    <xf numFmtId="2" fontId="3" fillId="0" borderId="0" xfId="1" applyNumberFormat="1" applyFont="1" applyAlignment="1">
      <alignment horizontal="left"/>
    </xf>
    <xf numFmtId="2" fontId="3" fillId="4" borderId="2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2" fontId="4" fillId="2" borderId="6" xfId="1" applyNumberFormat="1" applyFont="1" applyFill="1" applyBorder="1" applyAlignment="1">
      <alignment horizontal="left"/>
    </xf>
    <xf numFmtId="164" fontId="3" fillId="0" borderId="5" xfId="1" applyNumberFormat="1" applyFont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1" xfId="1" applyFont="1" applyFill="1" applyBorder="1" applyAlignment="1">
      <alignment vertical="center" wrapText="1"/>
    </xf>
    <xf numFmtId="0" fontId="3" fillId="0" borderId="0" xfId="1" applyFont="1" applyFill="1" applyBorder="1"/>
    <xf numFmtId="2" fontId="3" fillId="0" borderId="0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1"/>
  <sheetViews>
    <sheetView tabSelected="1" zoomScale="130" zoomScaleNormal="130" workbookViewId="0">
      <selection activeCell="O20" sqref="O20"/>
    </sheetView>
  </sheetViews>
  <sheetFormatPr defaultRowHeight="15" x14ac:dyDescent="0.25"/>
  <cols>
    <col min="1" max="1" width="13.140625" customWidth="1"/>
    <col min="2" max="2" width="64.85546875" customWidth="1"/>
    <col min="3" max="3" width="29.5703125" customWidth="1"/>
    <col min="8" max="8" width="9.28515625" customWidth="1"/>
    <col min="9" max="9" width="17.28515625" customWidth="1"/>
  </cols>
  <sheetData>
    <row r="1" spans="2:3" ht="15.75" thickBot="1" x14ac:dyDescent="0.3">
      <c r="B1" t="s">
        <v>56</v>
      </c>
      <c r="C1" s="23"/>
    </row>
    <row r="2" spans="2:3" x14ac:dyDescent="0.25">
      <c r="B2" s="20" t="s">
        <v>9</v>
      </c>
      <c r="C2" s="2" t="s">
        <v>37</v>
      </c>
    </row>
    <row r="3" spans="2:3" x14ac:dyDescent="0.25">
      <c r="B3" s="27" t="s">
        <v>48</v>
      </c>
      <c r="C3" s="4">
        <v>11</v>
      </c>
    </row>
    <row r="4" spans="2:3" x14ac:dyDescent="0.25">
      <c r="B4" s="3" t="s">
        <v>24</v>
      </c>
      <c r="C4" s="4">
        <v>4</v>
      </c>
    </row>
    <row r="5" spans="2:3" ht="45" x14ac:dyDescent="0.25">
      <c r="B5" s="7" t="s">
        <v>53</v>
      </c>
      <c r="C5" s="6">
        <v>2.5499999999999998</v>
      </c>
    </row>
    <row r="6" spans="2:3" ht="45" x14ac:dyDescent="0.25">
      <c r="B6" s="7" t="s">
        <v>53</v>
      </c>
      <c r="C6" s="6">
        <v>2.5499999999999998</v>
      </c>
    </row>
    <row r="7" spans="2:3" x14ac:dyDescent="0.25">
      <c r="B7" s="8" t="s">
        <v>0</v>
      </c>
      <c r="C7" s="9">
        <f>SUM(C3:C6)</f>
        <v>20.100000000000001</v>
      </c>
    </row>
    <row r="8" spans="2:3" ht="15.75" thickBot="1" x14ac:dyDescent="0.3">
      <c r="B8" s="8" t="s">
        <v>1</v>
      </c>
      <c r="C8" s="10" t="s">
        <v>25</v>
      </c>
    </row>
    <row r="9" spans="2:3" ht="15.75" thickBot="1" x14ac:dyDescent="0.3">
      <c r="B9" s="18"/>
      <c r="C9" s="19"/>
    </row>
    <row r="10" spans="2:3" x14ac:dyDescent="0.25">
      <c r="B10" s="20" t="s">
        <v>9</v>
      </c>
      <c r="C10" s="2" t="s">
        <v>38</v>
      </c>
    </row>
    <row r="11" spans="2:3" x14ac:dyDescent="0.25">
      <c r="B11" s="3" t="s">
        <v>3</v>
      </c>
      <c r="C11" s="4">
        <v>13</v>
      </c>
    </row>
    <row r="12" spans="2:3" x14ac:dyDescent="0.25">
      <c r="B12" s="3" t="s">
        <v>4</v>
      </c>
      <c r="C12" s="4">
        <v>2.75</v>
      </c>
    </row>
    <row r="13" spans="2:3" ht="45" x14ac:dyDescent="0.25">
      <c r="B13" s="7" t="s">
        <v>13</v>
      </c>
      <c r="C13" s="6">
        <v>2.5</v>
      </c>
    </row>
    <row r="14" spans="2:3" ht="30" x14ac:dyDescent="0.25">
      <c r="B14" s="29" t="s">
        <v>12</v>
      </c>
      <c r="C14" s="6">
        <v>0.75</v>
      </c>
    </row>
    <row r="15" spans="2:3" ht="30" x14ac:dyDescent="0.25">
      <c r="B15" s="7" t="s">
        <v>16</v>
      </c>
      <c r="C15" s="4">
        <v>4.51</v>
      </c>
    </row>
    <row r="16" spans="2:3" x14ac:dyDescent="0.25">
      <c r="B16" s="8" t="s">
        <v>0</v>
      </c>
      <c r="C16" s="9">
        <f>SUM(C11:C15)</f>
        <v>23.509999999999998</v>
      </c>
    </row>
    <row r="17" spans="2:3" ht="15.75" thickBot="1" x14ac:dyDescent="0.3">
      <c r="B17" s="8" t="s">
        <v>1</v>
      </c>
      <c r="C17" s="10" t="s">
        <v>17</v>
      </c>
    </row>
    <row r="18" spans="2:3" ht="15.75" thickBot="1" x14ac:dyDescent="0.3"/>
    <row r="19" spans="2:3" ht="15.75" thickBot="1" x14ac:dyDescent="0.3">
      <c r="C19" s="1" t="s">
        <v>2</v>
      </c>
    </row>
    <row r="20" spans="2:3" x14ac:dyDescent="0.25">
      <c r="B20" s="20" t="s">
        <v>9</v>
      </c>
      <c r="C20" s="2" t="s">
        <v>39</v>
      </c>
    </row>
    <row r="21" spans="2:3" x14ac:dyDescent="0.25">
      <c r="B21" s="13" t="s">
        <v>8</v>
      </c>
      <c r="C21" s="4">
        <v>13</v>
      </c>
    </row>
    <row r="22" spans="2:3" x14ac:dyDescent="0.25">
      <c r="B22" s="3" t="s">
        <v>6</v>
      </c>
      <c r="C22" s="4">
        <v>3</v>
      </c>
    </row>
    <row r="23" spans="2:3" x14ac:dyDescent="0.25">
      <c r="B23" s="12" t="s">
        <v>36</v>
      </c>
      <c r="C23" s="4">
        <v>2.75</v>
      </c>
    </row>
    <row r="24" spans="2:3" ht="29.25" customHeight="1" x14ac:dyDescent="0.25">
      <c r="B24" s="5" t="s">
        <v>10</v>
      </c>
      <c r="C24" s="4">
        <v>1.75</v>
      </c>
    </row>
    <row r="25" spans="2:3" ht="29.25" customHeight="1" x14ac:dyDescent="0.25">
      <c r="B25" s="7" t="s">
        <v>11</v>
      </c>
      <c r="C25" s="4">
        <v>5</v>
      </c>
    </row>
    <row r="26" spans="2:3" x14ac:dyDescent="0.25">
      <c r="B26" s="8" t="s">
        <v>0</v>
      </c>
      <c r="C26" s="9">
        <v>25.5</v>
      </c>
    </row>
    <row r="27" spans="2:3" x14ac:dyDescent="0.25">
      <c r="B27" s="8" t="s">
        <v>1</v>
      </c>
      <c r="C27" s="22" t="s">
        <v>7</v>
      </c>
    </row>
    <row r="28" spans="2:3" ht="15.75" thickBot="1" x14ac:dyDescent="0.3">
      <c r="C28" s="21"/>
    </row>
    <row r="29" spans="2:3" ht="15.75" thickBot="1" x14ac:dyDescent="0.3">
      <c r="B29" s="20" t="s">
        <v>9</v>
      </c>
      <c r="C29" s="25" t="s">
        <v>40</v>
      </c>
    </row>
    <row r="30" spans="2:3" x14ac:dyDescent="0.25">
      <c r="B30" s="27" t="s">
        <v>49</v>
      </c>
      <c r="C30" s="24">
        <v>7</v>
      </c>
    </row>
    <row r="31" spans="2:3" x14ac:dyDescent="0.25">
      <c r="B31" s="3" t="s">
        <v>32</v>
      </c>
      <c r="C31" s="4">
        <v>4</v>
      </c>
    </row>
    <row r="32" spans="2:3" x14ac:dyDescent="0.25">
      <c r="B32" s="5" t="s">
        <v>14</v>
      </c>
      <c r="C32" s="6">
        <v>1</v>
      </c>
    </row>
    <row r="33" spans="2:8" ht="30.75" customHeight="1" x14ac:dyDescent="0.25">
      <c r="B33" s="5" t="s">
        <v>19</v>
      </c>
      <c r="C33" s="4">
        <v>1.5</v>
      </c>
    </row>
    <row r="34" spans="2:8" ht="30" x14ac:dyDescent="0.25">
      <c r="B34" s="7" t="s">
        <v>20</v>
      </c>
      <c r="C34" s="4">
        <v>4.25</v>
      </c>
    </row>
    <row r="35" spans="2:8" x14ac:dyDescent="0.25">
      <c r="B35" s="8" t="s">
        <v>0</v>
      </c>
      <c r="C35" s="9">
        <f>SUM(C30:C34)</f>
        <v>17.75</v>
      </c>
    </row>
    <row r="36" spans="2:8" ht="15.75" thickBot="1" x14ac:dyDescent="0.3">
      <c r="B36" s="8" t="s">
        <v>1</v>
      </c>
      <c r="C36" s="10" t="s">
        <v>21</v>
      </c>
    </row>
    <row r="37" spans="2:8" x14ac:dyDescent="0.25">
      <c r="B37" s="30"/>
      <c r="C37" s="31"/>
    </row>
    <row r="38" spans="2:8" x14ac:dyDescent="0.25">
      <c r="B38" s="30"/>
      <c r="C38" s="31"/>
    </row>
    <row r="39" spans="2:8" x14ac:dyDescent="0.25">
      <c r="B39" s="30"/>
      <c r="C39" s="31"/>
    </row>
    <row r="40" spans="2:8" x14ac:dyDescent="0.25">
      <c r="B40" s="30"/>
      <c r="C40" s="31"/>
    </row>
    <row r="41" spans="2:8" ht="15.75" thickBot="1" x14ac:dyDescent="0.3">
      <c r="B41" t="s">
        <v>56</v>
      </c>
      <c r="C41" s="21"/>
    </row>
    <row r="42" spans="2:8" x14ac:dyDescent="0.25">
      <c r="B42" s="20" t="s">
        <v>9</v>
      </c>
      <c r="C42" s="2" t="s">
        <v>41</v>
      </c>
    </row>
    <row r="43" spans="2:8" x14ac:dyDescent="0.25">
      <c r="B43" s="3" t="s">
        <v>26</v>
      </c>
      <c r="C43" s="11">
        <v>11</v>
      </c>
    </row>
    <row r="44" spans="2:8" x14ac:dyDescent="0.25">
      <c r="B44" s="3" t="s">
        <v>4</v>
      </c>
      <c r="C44" s="11">
        <v>4</v>
      </c>
      <c r="D44" t="s">
        <v>5</v>
      </c>
    </row>
    <row r="45" spans="2:8" x14ac:dyDescent="0.25">
      <c r="B45" s="16" t="s">
        <v>34</v>
      </c>
      <c r="C45" s="11">
        <v>2</v>
      </c>
    </row>
    <row r="46" spans="2:8" x14ac:dyDescent="0.25">
      <c r="B46" s="5" t="s">
        <v>45</v>
      </c>
      <c r="C46" s="4" t="s">
        <v>27</v>
      </c>
    </row>
    <row r="47" spans="2:8" x14ac:dyDescent="0.25">
      <c r="B47" s="5" t="s">
        <v>28</v>
      </c>
      <c r="C47" s="11">
        <v>0.85</v>
      </c>
      <c r="G47" s="14"/>
      <c r="H47" s="15"/>
    </row>
    <row r="48" spans="2:8" ht="30" x14ac:dyDescent="0.25">
      <c r="B48" s="7" t="s">
        <v>51</v>
      </c>
      <c r="C48" s="11">
        <v>1.75</v>
      </c>
    </row>
    <row r="49" spans="2:3" x14ac:dyDescent="0.25">
      <c r="B49" s="8" t="s">
        <v>0</v>
      </c>
      <c r="C49" s="9">
        <v>20.85</v>
      </c>
    </row>
    <row r="50" spans="2:3" ht="15.75" thickBot="1" x14ac:dyDescent="0.3">
      <c r="B50" s="8" t="s">
        <v>1</v>
      </c>
      <c r="C50" s="10" t="s">
        <v>29</v>
      </c>
    </row>
    <row r="51" spans="2:3" ht="15.75" thickBot="1" x14ac:dyDescent="0.3"/>
    <row r="52" spans="2:3" x14ac:dyDescent="0.25">
      <c r="B52" s="20" t="s">
        <v>9</v>
      </c>
      <c r="C52" s="26" t="s">
        <v>42</v>
      </c>
    </row>
    <row r="53" spans="2:3" x14ac:dyDescent="0.25">
      <c r="B53" s="13" t="s">
        <v>50</v>
      </c>
      <c r="C53" s="4">
        <v>7</v>
      </c>
    </row>
    <row r="54" spans="2:3" x14ac:dyDescent="0.25">
      <c r="B54" s="3" t="s">
        <v>22</v>
      </c>
      <c r="C54" s="4">
        <v>4</v>
      </c>
    </row>
    <row r="55" spans="2:3" ht="30" x14ac:dyDescent="0.25">
      <c r="B55" s="16" t="s">
        <v>15</v>
      </c>
      <c r="C55" s="4">
        <v>2.5</v>
      </c>
    </row>
    <row r="56" spans="2:3" x14ac:dyDescent="0.25">
      <c r="B56" s="16" t="s">
        <v>23</v>
      </c>
      <c r="C56" s="4">
        <v>0.5</v>
      </c>
    </row>
    <row r="57" spans="2:3" ht="30" x14ac:dyDescent="0.25">
      <c r="B57" s="16" t="s">
        <v>57</v>
      </c>
      <c r="C57" s="17">
        <v>5.2</v>
      </c>
    </row>
    <row r="58" spans="2:3" x14ac:dyDescent="0.25">
      <c r="B58" s="8" t="s">
        <v>0</v>
      </c>
      <c r="C58" s="9">
        <v>19.2</v>
      </c>
    </row>
    <row r="59" spans="2:3" ht="15.75" thickBot="1" x14ac:dyDescent="0.3">
      <c r="B59" s="8" t="s">
        <v>1</v>
      </c>
      <c r="C59" s="10" t="s">
        <v>58</v>
      </c>
    </row>
    <row r="60" spans="2:3" ht="15.75" thickBot="1" x14ac:dyDescent="0.3">
      <c r="C60" s="28"/>
    </row>
    <row r="61" spans="2:3" x14ac:dyDescent="0.25">
      <c r="B61" s="20" t="s">
        <v>9</v>
      </c>
      <c r="C61" s="2" t="s">
        <v>43</v>
      </c>
    </row>
    <row r="62" spans="2:3" x14ac:dyDescent="0.25">
      <c r="B62" s="3" t="s">
        <v>3</v>
      </c>
      <c r="C62" s="24">
        <v>13</v>
      </c>
    </row>
    <row r="63" spans="2:3" x14ac:dyDescent="0.25">
      <c r="B63" s="3" t="s">
        <v>24</v>
      </c>
      <c r="C63" s="4">
        <v>4</v>
      </c>
    </row>
    <row r="64" spans="2:3" x14ac:dyDescent="0.25">
      <c r="B64" s="16" t="s">
        <v>46</v>
      </c>
      <c r="C64" s="4">
        <v>1.5</v>
      </c>
    </row>
    <row r="65" spans="2:3" ht="30" x14ac:dyDescent="0.25">
      <c r="B65" s="16" t="s">
        <v>54</v>
      </c>
      <c r="C65" s="4">
        <v>2.5</v>
      </c>
    </row>
    <row r="66" spans="2:3" x14ac:dyDescent="0.25">
      <c r="B66" s="5" t="s">
        <v>45</v>
      </c>
      <c r="C66" s="4" t="s">
        <v>30</v>
      </c>
    </row>
    <row r="67" spans="2:3" x14ac:dyDescent="0.25">
      <c r="B67" s="12" t="s">
        <v>47</v>
      </c>
      <c r="C67" s="4">
        <v>0.5</v>
      </c>
    </row>
    <row r="68" spans="2:3" ht="30" x14ac:dyDescent="0.25">
      <c r="B68" s="16" t="s">
        <v>55</v>
      </c>
      <c r="C68" s="4">
        <v>2</v>
      </c>
    </row>
    <row r="69" spans="2:3" ht="14.25" customHeight="1" x14ac:dyDescent="0.25">
      <c r="B69" s="8" t="s">
        <v>0</v>
      </c>
      <c r="C69" s="9">
        <v>24.3</v>
      </c>
    </row>
    <row r="70" spans="2:3" ht="15.75" thickBot="1" x14ac:dyDescent="0.3">
      <c r="B70" s="8" t="s">
        <v>1</v>
      </c>
      <c r="C70" s="10" t="s">
        <v>31</v>
      </c>
    </row>
    <row r="71" spans="2:3" ht="15.75" thickBot="1" x14ac:dyDescent="0.3"/>
    <row r="72" spans="2:3" x14ac:dyDescent="0.25">
      <c r="B72" s="20" t="s">
        <v>9</v>
      </c>
      <c r="C72" s="2" t="s">
        <v>44</v>
      </c>
    </row>
    <row r="73" spans="2:3" x14ac:dyDescent="0.25">
      <c r="B73" s="27" t="s">
        <v>18</v>
      </c>
      <c r="C73" s="24">
        <v>11</v>
      </c>
    </row>
    <row r="74" spans="2:3" x14ac:dyDescent="0.25">
      <c r="B74" s="3" t="s">
        <v>24</v>
      </c>
      <c r="C74" s="4">
        <v>4</v>
      </c>
    </row>
    <row r="75" spans="2:3" x14ac:dyDescent="0.25">
      <c r="B75" s="16" t="s">
        <v>34</v>
      </c>
      <c r="C75" s="4">
        <v>3</v>
      </c>
    </row>
    <row r="76" spans="2:3" x14ac:dyDescent="0.25">
      <c r="B76" s="16" t="s">
        <v>33</v>
      </c>
      <c r="C76" s="4">
        <v>1.5</v>
      </c>
    </row>
    <row r="77" spans="2:3" x14ac:dyDescent="0.25">
      <c r="B77" s="5" t="s">
        <v>45</v>
      </c>
      <c r="C77" s="4" t="s">
        <v>30</v>
      </c>
    </row>
    <row r="78" spans="2:3" ht="30" x14ac:dyDescent="0.25">
      <c r="B78" s="16" t="s">
        <v>52</v>
      </c>
      <c r="C78" s="4">
        <v>1.825</v>
      </c>
    </row>
    <row r="79" spans="2:3" x14ac:dyDescent="0.25">
      <c r="B79" s="16" t="s">
        <v>34</v>
      </c>
      <c r="C79" s="4">
        <v>1</v>
      </c>
    </row>
    <row r="80" spans="2:3" x14ac:dyDescent="0.25">
      <c r="B80" s="8" t="s">
        <v>0</v>
      </c>
      <c r="C80" s="9">
        <v>23.13</v>
      </c>
    </row>
    <row r="81" spans="2:3" ht="15.75" thickBot="1" x14ac:dyDescent="0.3">
      <c r="B81" s="8" t="s">
        <v>1</v>
      </c>
      <c r="C81" s="10" t="s">
        <v>35</v>
      </c>
    </row>
  </sheetData>
  <pageMargins left="0.5" right="0" top="0" bottom="0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2026-07-27T11:56:16Z</cp:lastPrinted>
  <dcterms:created xsi:type="dcterms:W3CDTF">2016-04-25T14:01:26Z</dcterms:created>
  <dcterms:modified xsi:type="dcterms:W3CDTF">2026-07-27T11:56:20Z</dcterms:modified>
</cp:coreProperties>
</file>