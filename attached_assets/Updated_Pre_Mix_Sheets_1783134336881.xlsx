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0ca2c39ac52d46c7/"/>
    </mc:Choice>
  </mc:AlternateContent>
  <xr:revisionPtr revIDLastSave="0" documentId="8_{8F187F0F-7ED9-A648-B97E-DE375C3DFDB4}" xr6:coauthVersionLast="47" xr6:coauthVersionMax="47" xr10:uidLastSave="{00000000-0000-0000-0000-000000000000}"/>
  <bookViews>
    <workbookView xWindow="210" yWindow="0" windowWidth="28800" windowHeight="15480" firstSheet="38" activeTab="39" xr2:uid="{00000000-000D-0000-FFFF-FFFF00000000}"/>
  </bookViews>
  <sheets>
    <sheet name="Bobos Deluxe" sheetId="1" r:id="rId1"/>
    <sheet name="Bobos Breakfast" sheetId="2" r:id="rId2"/>
    <sheet name="Basha 11' Hawaiian" sheetId="62" r:id="rId3"/>
    <sheet name="Basha 12' Supreme" sheetId="51" r:id="rId4"/>
    <sheet name="Corner Booth Chicken Alfredo " sheetId="61" r:id="rId5"/>
    <sheet name="Corner Booth Giardiniera" sheetId="52" r:id="rId6"/>
    <sheet name="Corner Booth House" sheetId="53" r:id="rId7"/>
    <sheet name="Corner Booth Pep &amp; Jal" sheetId="63" r:id="rId8"/>
    <sheet name="Corner Booth Spinach" sheetId="3" r:id="rId9"/>
    <sheet name="Corner Booth Supreme" sheetId="4" r:id="rId10"/>
    <sheet name="Hannaford Tikka Masala Mix" sheetId="9" r:id="rId11"/>
    <sheet name="Hannaford Spinach Goat Cheese" sheetId="64" r:id="rId12"/>
    <sheet name="Hannaford Club" sheetId="14" r:id="rId13"/>
    <sheet name="Hannaford 4Meat" sheetId="15" r:id="rId14"/>
    <sheet name="Lowes 7in Red Fajita" sheetId="23" r:id="rId15"/>
    <sheet name="Lowes 7in White Spin" sheetId="54" r:id="rId16"/>
    <sheet name="Lowes Bacon Cheeseburger" sheetId="17" r:id="rId17"/>
    <sheet name="Lowes California" sheetId="18" r:id="rId18"/>
    <sheet name="Lowes Carribbean" sheetId="16" r:id="rId19"/>
    <sheet name="Lowes Chicken Club" sheetId="19" r:id="rId20"/>
    <sheet name="Lowes Grilled Vegetable" sheetId="21" r:id="rId21"/>
    <sheet name="Lowes Red Hot" sheetId="22" r:id="rId22"/>
    <sheet name="Lowes Supreme" sheetId="24" r:id="rId23"/>
    <sheet name="Lowes Spinach" sheetId="27" r:id="rId24"/>
    <sheet name="Lowes 11in White Spinach" sheetId="28" r:id="rId25"/>
    <sheet name="Lucias Morming Melts Americano" sheetId="65" r:id="rId26"/>
    <sheet name="Lucias Morming Mealts Italiano" sheetId="55" r:id="rId27"/>
    <sheet name="Lucias Morming Melts Mexicano" sheetId="66" r:id="rId28"/>
    <sheet name="Lucias Morming Melts Parisian" sheetId="29" r:id="rId29"/>
    <sheet name="Lucias Craft Alfredo Spinach" sheetId="36" r:id="rId30"/>
    <sheet name="Lucias Craft Bacon Cheeseburger" sheetId="30" r:id="rId31"/>
    <sheet name="Lucias Craft Bratwurst" sheetId="31" r:id="rId32"/>
    <sheet name="Lucias Craft Carribbean Mix" sheetId="32" r:id="rId33"/>
    <sheet name="Lucias Craft Chicken Club" sheetId="34" r:id="rId34"/>
    <sheet name="Lucias Craft Red Hot" sheetId="37" r:id="rId35"/>
    <sheet name="Lucias Craft SOB" sheetId="35" r:id="rId36"/>
    <sheet name="Lucias Craft Tikka Masala" sheetId="33" r:id="rId37"/>
    <sheet name="Lucias Buffalo Chicken" sheetId="38" r:id="rId38"/>
    <sheet name="Lucias Supreme" sheetId="39" r:id="rId39"/>
    <sheet name="Lucias Pinsa Tikka Masala" sheetId="67" r:id="rId40"/>
    <sheet name="Lucias Pinsa Margherita" sheetId="68" r:id="rId41"/>
    <sheet name="Lucias Pinsa Spinach" sheetId="69" r:id="rId42"/>
    <sheet name="Nob Hill SOB" sheetId="56" r:id="rId43"/>
    <sheet name="Nob Hill Bacon Cheeseburger" sheetId="57" r:id="rId44"/>
    <sheet name="Nob Hill Club" sheetId="58" r:id="rId45"/>
    <sheet name="Nob Hill Red Hot" sheetId="59" r:id="rId46"/>
    <sheet name="Nob Hill Caribbean" sheetId="60" r:id="rId47"/>
    <sheet name="Price Chopper Club" sheetId="41" r:id="rId48"/>
    <sheet name="SMD Supreme" sheetId="42" r:id="rId49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69" l="1"/>
  <c r="D4" i="69"/>
  <c r="E4" i="68"/>
  <c r="D4" i="68"/>
  <c r="I5" i="67"/>
  <c r="I4" i="67"/>
  <c r="D9" i="67"/>
  <c r="D8" i="67"/>
  <c r="D6" i="67"/>
  <c r="D4" i="67"/>
  <c r="C10" i="67"/>
  <c r="C16" i="67"/>
  <c r="H6" i="67"/>
  <c r="H16" i="67"/>
  <c r="I6" i="67"/>
  <c r="J4" i="18"/>
  <c r="I4" i="64"/>
  <c r="E4" i="54"/>
  <c r="E4" i="28"/>
  <c r="D8" i="41"/>
  <c r="C14" i="60"/>
  <c r="E3" i="60"/>
  <c r="D8" i="60"/>
  <c r="D10" i="60"/>
  <c r="C8" i="60"/>
  <c r="D7" i="60"/>
  <c r="D5" i="60"/>
  <c r="J4" i="60"/>
  <c r="C25" i="60"/>
  <c r="D25" i="60"/>
  <c r="I4" i="60"/>
  <c r="D4" i="60"/>
  <c r="C19" i="60"/>
  <c r="H6" i="22"/>
  <c r="H6" i="37"/>
  <c r="H6" i="59"/>
  <c r="H12" i="59"/>
  <c r="J3" i="59"/>
  <c r="J18" i="59"/>
  <c r="I18" i="59"/>
  <c r="D6" i="59"/>
  <c r="D8" i="59"/>
  <c r="C6" i="59"/>
  <c r="C12" i="59"/>
  <c r="E3" i="59"/>
  <c r="I5" i="59"/>
  <c r="I6" i="59"/>
  <c r="I8" i="59"/>
  <c r="D5" i="59"/>
  <c r="I4" i="59"/>
  <c r="D4" i="59"/>
  <c r="C18" i="59"/>
  <c r="D9" i="58"/>
  <c r="D9" i="56"/>
  <c r="D8" i="56"/>
  <c r="D7" i="56"/>
  <c r="D6" i="56"/>
  <c r="D5" i="56"/>
  <c r="D4" i="56"/>
  <c r="D8" i="57"/>
  <c r="C16" i="56"/>
  <c r="C10" i="56"/>
  <c r="I5" i="33"/>
  <c r="I6" i="33"/>
  <c r="I8" i="33"/>
  <c r="I4" i="33"/>
  <c r="D9" i="33"/>
  <c r="D8" i="33"/>
  <c r="D6" i="33"/>
  <c r="D4" i="33"/>
  <c r="C10" i="33"/>
  <c r="C16" i="33"/>
  <c r="H6" i="33"/>
  <c r="H16" i="33"/>
  <c r="D12" i="35"/>
  <c r="D9" i="31"/>
  <c r="J4" i="31"/>
  <c r="I4" i="31"/>
  <c r="D7" i="32"/>
  <c r="D5" i="32"/>
  <c r="D4" i="32"/>
  <c r="C14" i="32"/>
  <c r="C8" i="32"/>
  <c r="J4" i="32"/>
  <c r="C25" i="32"/>
  <c r="D25" i="32"/>
  <c r="I4" i="32"/>
  <c r="D8" i="30"/>
  <c r="D4" i="36"/>
  <c r="C9" i="36"/>
  <c r="I18" i="37"/>
  <c r="J18" i="37"/>
  <c r="D8" i="37"/>
  <c r="D9" i="34"/>
  <c r="D8" i="38"/>
  <c r="E4" i="66"/>
  <c r="I4" i="55"/>
  <c r="D10" i="67"/>
  <c r="J3" i="67"/>
  <c r="H21" i="67"/>
  <c r="I8" i="67"/>
  <c r="C16" i="60"/>
  <c r="C22" i="60"/>
  <c r="C21" i="60"/>
  <c r="C20" i="60"/>
  <c r="C19" i="59"/>
  <c r="C17" i="59"/>
  <c r="H14" i="59"/>
  <c r="C20" i="59"/>
  <c r="C14" i="59"/>
  <c r="D10" i="56"/>
  <c r="D12" i="56"/>
  <c r="D10" i="33"/>
  <c r="D12" i="33"/>
  <c r="J3" i="33"/>
  <c r="D8" i="32"/>
  <c r="D10" i="32"/>
  <c r="E3" i="32"/>
  <c r="C22" i="32"/>
  <c r="E3" i="67"/>
  <c r="D12" i="67"/>
  <c r="H18" i="67"/>
  <c r="H22" i="67"/>
  <c r="E3" i="56"/>
  <c r="C23" i="56"/>
  <c r="C26" i="56"/>
  <c r="C25" i="56"/>
  <c r="E3" i="33"/>
  <c r="C26" i="33"/>
  <c r="H21" i="33"/>
  <c r="H18" i="33"/>
  <c r="H22" i="33"/>
  <c r="C20" i="32"/>
  <c r="C19" i="32"/>
  <c r="C16" i="32"/>
  <c r="C21" i="32"/>
  <c r="C23" i="67"/>
  <c r="C24" i="67"/>
  <c r="C18" i="67"/>
  <c r="C25" i="67"/>
  <c r="C22" i="67"/>
  <c r="C26" i="67"/>
  <c r="C21" i="67"/>
  <c r="C22" i="56"/>
  <c r="C21" i="56"/>
  <c r="C24" i="56"/>
  <c r="C18" i="56"/>
  <c r="C18" i="33"/>
  <c r="C23" i="33"/>
  <c r="C21" i="33"/>
  <c r="C25" i="33"/>
  <c r="C24" i="33"/>
  <c r="C22" i="33"/>
  <c r="E5" i="65"/>
  <c r="E4" i="65"/>
  <c r="J18" i="22"/>
  <c r="I18" i="22"/>
  <c r="I4" i="18"/>
  <c r="J4" i="16"/>
  <c r="C25" i="16"/>
  <c r="I4" i="16"/>
  <c r="E4" i="63"/>
  <c r="H4" i="62"/>
  <c r="I4" i="62"/>
  <c r="J5" i="29"/>
  <c r="J4" i="29"/>
  <c r="D4" i="66"/>
  <c r="I5" i="29"/>
  <c r="I4" i="29"/>
  <c r="D4" i="55"/>
  <c r="C9" i="55"/>
  <c r="D4" i="28"/>
  <c r="H4" i="55"/>
  <c r="D5" i="65"/>
  <c r="D4" i="65"/>
  <c r="D8" i="17"/>
  <c r="I5" i="9"/>
  <c r="I4" i="9"/>
  <c r="D9" i="9"/>
  <c r="D8" i="9"/>
  <c r="D6" i="9"/>
  <c r="D4" i="9"/>
  <c r="I8" i="22"/>
  <c r="D8" i="22"/>
  <c r="D6" i="27"/>
  <c r="D13" i="21"/>
  <c r="D4" i="54"/>
  <c r="C16" i="9"/>
  <c r="D10" i="23"/>
  <c r="D8" i="14"/>
  <c r="D8" i="15"/>
  <c r="H4" i="64"/>
  <c r="D4" i="64"/>
  <c r="C11" i="64"/>
  <c r="D8" i="61"/>
  <c r="D4" i="63"/>
  <c r="D9" i="53"/>
  <c r="C12" i="62"/>
  <c r="C11" i="3"/>
  <c r="C12" i="52"/>
  <c r="D10" i="4"/>
  <c r="C11" i="62"/>
  <c r="D11" i="62"/>
  <c r="D4" i="62"/>
  <c r="D11" i="51"/>
  <c r="D8" i="2"/>
  <c r="C26" i="1"/>
  <c r="C6" i="61"/>
  <c r="C12" i="61"/>
  <c r="D5" i="61"/>
  <c r="D4" i="61"/>
  <c r="D25" i="16"/>
  <c r="D4" i="3"/>
  <c r="C11" i="42"/>
  <c r="C17" i="42"/>
  <c r="D10" i="42"/>
  <c r="D9" i="42"/>
  <c r="D8" i="42"/>
  <c r="D6" i="42"/>
  <c r="D4" i="42"/>
  <c r="D5" i="41"/>
  <c r="D4" i="41"/>
  <c r="C6" i="41"/>
  <c r="C12" i="41"/>
  <c r="C7" i="58"/>
  <c r="C13" i="58"/>
  <c r="D6" i="58"/>
  <c r="D5" i="58"/>
  <c r="D4" i="58"/>
  <c r="C6" i="57"/>
  <c r="C12" i="57"/>
  <c r="D5" i="57"/>
  <c r="D4" i="57"/>
  <c r="D6" i="57"/>
  <c r="D5" i="38"/>
  <c r="D4" i="38"/>
  <c r="C6" i="38"/>
  <c r="C12" i="38"/>
  <c r="D8" i="39"/>
  <c r="D7" i="39"/>
  <c r="D9" i="39"/>
  <c r="D11" i="39"/>
  <c r="D5" i="39"/>
  <c r="D4" i="39"/>
  <c r="C9" i="39"/>
  <c r="C15" i="39"/>
  <c r="D11" i="42"/>
  <c r="E3" i="57"/>
  <c r="C14" i="57"/>
  <c r="D6" i="61"/>
  <c r="D7" i="58"/>
  <c r="E3" i="58"/>
  <c r="C18" i="58"/>
  <c r="D6" i="38"/>
  <c r="E3" i="38"/>
  <c r="D8" i="35"/>
  <c r="D9" i="35"/>
  <c r="D7" i="35"/>
  <c r="D6" i="35"/>
  <c r="D5" i="35"/>
  <c r="D4" i="35"/>
  <c r="D10" i="35"/>
  <c r="C10" i="35"/>
  <c r="C16" i="35"/>
  <c r="D5" i="31"/>
  <c r="D4" i="31"/>
  <c r="C7" i="31"/>
  <c r="C13" i="31"/>
  <c r="I4" i="37"/>
  <c r="I5" i="37"/>
  <c r="H12" i="37"/>
  <c r="D5" i="37"/>
  <c r="D4" i="37"/>
  <c r="C6" i="37"/>
  <c r="C12" i="37"/>
  <c r="D6" i="34"/>
  <c r="D5" i="34"/>
  <c r="D4" i="34"/>
  <c r="C7" i="34"/>
  <c r="C13" i="34"/>
  <c r="D5" i="30"/>
  <c r="D4" i="30"/>
  <c r="C6" i="30"/>
  <c r="C12" i="30"/>
  <c r="D5" i="29"/>
  <c r="D4" i="29"/>
  <c r="C6" i="29"/>
  <c r="C12" i="29"/>
  <c r="D7" i="23"/>
  <c r="D6" i="23"/>
  <c r="D5" i="23"/>
  <c r="D4" i="23"/>
  <c r="C8" i="23"/>
  <c r="C14" i="23"/>
  <c r="D5" i="17"/>
  <c r="D4" i="17"/>
  <c r="C6" i="17"/>
  <c r="C12" i="17"/>
  <c r="D6" i="19"/>
  <c r="D5" i="19"/>
  <c r="D4" i="19"/>
  <c r="C7" i="19"/>
  <c r="D8" i="24"/>
  <c r="D7" i="24"/>
  <c r="D5" i="24"/>
  <c r="D4" i="24"/>
  <c r="C9" i="24"/>
  <c r="C15" i="24"/>
  <c r="D7" i="16"/>
  <c r="D5" i="16"/>
  <c r="D4" i="16"/>
  <c r="C8" i="16"/>
  <c r="C14" i="16"/>
  <c r="I4" i="22"/>
  <c r="I5" i="22"/>
  <c r="H12" i="22"/>
  <c r="D5" i="22"/>
  <c r="D4" i="22"/>
  <c r="C6" i="22"/>
  <c r="C12" i="22"/>
  <c r="C16" i="27"/>
  <c r="D8" i="27"/>
  <c r="D7" i="27"/>
  <c r="D5" i="27"/>
  <c r="D4" i="27"/>
  <c r="C9" i="27"/>
  <c r="D10" i="21"/>
  <c r="D9" i="21"/>
  <c r="D8" i="21"/>
  <c r="D7" i="21"/>
  <c r="D6" i="21"/>
  <c r="D5" i="21"/>
  <c r="D4" i="21"/>
  <c r="C11" i="21"/>
  <c r="C17" i="21"/>
  <c r="D6" i="18"/>
  <c r="D5" i="18"/>
  <c r="D4" i="18"/>
  <c r="C7" i="18"/>
  <c r="C13" i="18"/>
  <c r="D5" i="14"/>
  <c r="D4" i="14"/>
  <c r="C6" i="14"/>
  <c r="C12" i="14"/>
  <c r="D5" i="15"/>
  <c r="D4" i="15"/>
  <c r="C6" i="15"/>
  <c r="C12" i="15"/>
  <c r="H6" i="9"/>
  <c r="H16" i="9"/>
  <c r="C10" i="9"/>
  <c r="E3" i="42"/>
  <c r="D13" i="42"/>
  <c r="C17" i="57"/>
  <c r="C18" i="57"/>
  <c r="D7" i="31"/>
  <c r="E3" i="31"/>
  <c r="C13" i="19"/>
  <c r="E3" i="61"/>
  <c r="E3" i="35"/>
  <c r="D9" i="24"/>
  <c r="D11" i="21"/>
  <c r="E3" i="21"/>
  <c r="D8" i="16"/>
  <c r="C20" i="58"/>
  <c r="C19" i="58"/>
  <c r="C15" i="58"/>
  <c r="D7" i="18"/>
  <c r="D10" i="9"/>
  <c r="E3" i="24"/>
  <c r="D11" i="24"/>
  <c r="E3" i="18"/>
  <c r="C21" i="18"/>
  <c r="D9" i="18"/>
  <c r="E3" i="16"/>
  <c r="D10" i="16"/>
  <c r="E3" i="9"/>
  <c r="D12" i="9"/>
  <c r="C17" i="61"/>
  <c r="C18" i="61"/>
  <c r="C14" i="61"/>
  <c r="C7" i="53"/>
  <c r="C13" i="53"/>
  <c r="D6" i="53"/>
  <c r="D5" i="53"/>
  <c r="D4" i="53"/>
  <c r="D4" i="52"/>
  <c r="C12" i="2"/>
  <c r="D7" i="4"/>
  <c r="D6" i="4"/>
  <c r="D5" i="4"/>
  <c r="D4" i="4"/>
  <c r="D7" i="51"/>
  <c r="D8" i="51"/>
  <c r="D5" i="51"/>
  <c r="D4" i="51"/>
  <c r="D9" i="1"/>
  <c r="D5" i="2"/>
  <c r="D4" i="2"/>
  <c r="D6" i="2"/>
  <c r="C8" i="4"/>
  <c r="C14" i="4"/>
  <c r="C9" i="51"/>
  <c r="C15" i="51"/>
  <c r="D8" i="1"/>
  <c r="D6" i="1"/>
  <c r="D5" i="1"/>
  <c r="D4" i="1"/>
  <c r="C10" i="1"/>
  <c r="C16" i="1"/>
  <c r="D6" i="41"/>
  <c r="E3" i="41"/>
  <c r="E3" i="39"/>
  <c r="C17" i="38"/>
  <c r="I6" i="37"/>
  <c r="D6" i="37"/>
  <c r="E3" i="37"/>
  <c r="D7" i="34"/>
  <c r="E3" i="34"/>
  <c r="D6" i="30"/>
  <c r="E3" i="30"/>
  <c r="D6" i="29"/>
  <c r="D9" i="27"/>
  <c r="D8" i="23"/>
  <c r="E3" i="23"/>
  <c r="I6" i="22"/>
  <c r="J3" i="22"/>
  <c r="D6" i="22"/>
  <c r="E3" i="22"/>
  <c r="C25" i="21"/>
  <c r="D7" i="19"/>
  <c r="D6" i="17"/>
  <c r="E3" i="17"/>
  <c r="D6" i="15"/>
  <c r="E3" i="15"/>
  <c r="D6" i="14"/>
  <c r="E3" i="14"/>
  <c r="I6" i="9"/>
  <c r="I8" i="9"/>
  <c r="C6" i="2"/>
  <c r="J3" i="37"/>
  <c r="C19" i="37"/>
  <c r="I8" i="37"/>
  <c r="E3" i="29"/>
  <c r="D8" i="29"/>
  <c r="E3" i="19"/>
  <c r="C20" i="19"/>
  <c r="D9" i="19"/>
  <c r="C18" i="19"/>
  <c r="E3" i="27"/>
  <c r="D11" i="27"/>
  <c r="C11" i="52"/>
  <c r="D8" i="4"/>
  <c r="E3" i="4"/>
  <c r="E3" i="2"/>
  <c r="C17" i="2"/>
  <c r="C24" i="39"/>
  <c r="C24" i="42"/>
  <c r="C14" i="41"/>
  <c r="C26" i="35"/>
  <c r="C14" i="37"/>
  <c r="C20" i="34"/>
  <c r="C17" i="30"/>
  <c r="C16" i="23"/>
  <c r="C18" i="17"/>
  <c r="C15" i="19"/>
  <c r="C19" i="16"/>
  <c r="C22" i="16"/>
  <c r="C16" i="16"/>
  <c r="C20" i="22"/>
  <c r="C17" i="22"/>
  <c r="C14" i="14"/>
  <c r="C18" i="14"/>
  <c r="C20" i="18"/>
  <c r="C14" i="15"/>
  <c r="J3" i="9"/>
  <c r="H21" i="9"/>
  <c r="C22" i="9"/>
  <c r="D7" i="53"/>
  <c r="C22" i="4"/>
  <c r="D9" i="51"/>
  <c r="D10" i="1"/>
  <c r="C24" i="24"/>
  <c r="C23" i="24"/>
  <c r="C22" i="24"/>
  <c r="C21" i="24"/>
  <c r="C20" i="24"/>
  <c r="C18" i="34"/>
  <c r="C15" i="34"/>
  <c r="C24" i="21"/>
  <c r="C29" i="21"/>
  <c r="C23" i="21"/>
  <c r="C28" i="21"/>
  <c r="C19" i="21"/>
  <c r="C27" i="21"/>
  <c r="C26" i="21"/>
  <c r="C17" i="24"/>
  <c r="C17" i="17"/>
  <c r="C14" i="17"/>
  <c r="C18" i="35"/>
  <c r="C14" i="38"/>
  <c r="C18" i="38"/>
  <c r="C20" i="16"/>
  <c r="C21" i="16"/>
  <c r="C21" i="27"/>
  <c r="C23" i="27"/>
  <c r="C18" i="2"/>
  <c r="C19" i="19"/>
  <c r="E3" i="53"/>
  <c r="C15" i="53"/>
  <c r="E3" i="1"/>
  <c r="D12" i="1"/>
  <c r="E3" i="51"/>
  <c r="C22" i="51"/>
  <c r="C29" i="42"/>
  <c r="C28" i="42"/>
  <c r="C25" i="42"/>
  <c r="C19" i="42"/>
  <c r="C26" i="42"/>
  <c r="C27" i="42"/>
  <c r="C23" i="42"/>
  <c r="C17" i="41"/>
  <c r="C18" i="41"/>
  <c r="C21" i="39"/>
  <c r="C22" i="39"/>
  <c r="C23" i="39"/>
  <c r="C20" i="39"/>
  <c r="C17" i="39"/>
  <c r="C25" i="35"/>
  <c r="C21" i="35"/>
  <c r="C22" i="35"/>
  <c r="C23" i="35"/>
  <c r="C24" i="35"/>
  <c r="C15" i="31"/>
  <c r="C19" i="31"/>
  <c r="C20" i="31"/>
  <c r="C18" i="31"/>
  <c r="C17" i="37"/>
  <c r="H14" i="37"/>
  <c r="C20" i="37"/>
  <c r="C18" i="37"/>
  <c r="C19" i="34"/>
  <c r="C18" i="30"/>
  <c r="C14" i="30"/>
  <c r="C22" i="23"/>
  <c r="C21" i="23"/>
  <c r="C20" i="23"/>
  <c r="C19" i="23"/>
  <c r="C14" i="22"/>
  <c r="C18" i="22"/>
  <c r="C19" i="22"/>
  <c r="H14" i="22"/>
  <c r="C22" i="27"/>
  <c r="C24" i="27"/>
  <c r="C18" i="27"/>
  <c r="C25" i="27"/>
  <c r="C19" i="18"/>
  <c r="C17" i="14"/>
  <c r="C15" i="18"/>
  <c r="C18" i="15"/>
  <c r="C17" i="15"/>
  <c r="H22" i="9"/>
  <c r="H18" i="9"/>
  <c r="C24" i="9"/>
  <c r="C21" i="9"/>
  <c r="C25" i="9"/>
  <c r="C26" i="9"/>
  <c r="C18" i="9"/>
  <c r="C23" i="9"/>
  <c r="C16" i="4"/>
  <c r="C19" i="4"/>
  <c r="C20" i="4"/>
  <c r="C21" i="4"/>
  <c r="C14" i="2"/>
  <c r="C23" i="1"/>
  <c r="C25" i="1"/>
  <c r="C18" i="29"/>
  <c r="C17" i="29"/>
  <c r="C14" i="29"/>
  <c r="C20" i="53"/>
  <c r="C18" i="53"/>
  <c r="C19" i="53"/>
  <c r="C24" i="1"/>
  <c r="C22" i="1"/>
  <c r="C18" i="1"/>
  <c r="C21" i="1"/>
  <c r="C21" i="51"/>
  <c r="C20" i="51"/>
  <c r="C17" i="51"/>
  <c r="C23" i="51"/>
  <c r="C24" i="51"/>
</calcChain>
</file>

<file path=xl/sharedStrings.xml><?xml version="1.0" encoding="utf-8"?>
<sst xmlns="http://schemas.openxmlformats.org/spreadsheetml/2006/main" count="1074" uniqueCount="198">
  <si>
    <t># OF MIXES</t>
  </si>
  <si>
    <t>Red Onion, FR Strips</t>
  </si>
  <si>
    <t>TOTAL</t>
  </si>
  <si>
    <t>Red Peppers, FR Strips</t>
  </si>
  <si>
    <t>Green Peppers, FR Strips</t>
  </si>
  <si>
    <t>1/8 Green Pepper</t>
  </si>
  <si>
    <t>Basil, Frozen</t>
  </si>
  <si>
    <t>TOTAL CASES NEEDED</t>
  </si>
  <si>
    <t>TOTAL AMOUNT NEEDED</t>
  </si>
  <si>
    <t>Amount already made</t>
  </si>
  <si>
    <t>TOTAL AMOUNT BEING MIXED</t>
  </si>
  <si>
    <t>PULL FOR MIX</t>
  </si>
  <si>
    <t>POUNDS</t>
  </si>
  <si>
    <t>1/8 green pepper</t>
  </si>
  <si>
    <t>1/8 onion</t>
  </si>
  <si>
    <t>Bobo's Breakfast Mix</t>
  </si>
  <si>
    <t>#OF MIXES</t>
  </si>
  <si>
    <t>Total</t>
  </si>
  <si>
    <t>Corner Booth Spinach Mix</t>
  </si>
  <si>
    <t>Fresh Spinach (broken up)</t>
  </si>
  <si>
    <t>Total Cases Needed</t>
  </si>
  <si>
    <t>White Onion Strips, Blanched</t>
  </si>
  <si>
    <t>Green Pepper Strips, Blanched</t>
  </si>
  <si>
    <t>Red Pepper Strips, Blanched</t>
  </si>
  <si>
    <t>Yellow Pepper Strips, Blanched</t>
  </si>
  <si>
    <t>Cases Needed</t>
  </si>
  <si>
    <t>Green Pepper Diced, Blanched</t>
  </si>
  <si>
    <t>Red Pepper Diced, Blanched</t>
  </si>
  <si>
    <t>TARGET WIEGHT</t>
  </si>
  <si>
    <t>CASES NEEDED</t>
  </si>
  <si>
    <t xml:space="preserve"># OF MIXES </t>
  </si>
  <si>
    <t>Tomatoes, FR Diced</t>
  </si>
  <si>
    <t>Green Onion</t>
  </si>
  <si>
    <t>Masala Sauce</t>
  </si>
  <si>
    <t>Red Onion Strips, Blanched</t>
  </si>
  <si>
    <t>Garlic Powder</t>
  </si>
  <si>
    <t>Jalapenos</t>
  </si>
  <si>
    <t xml:space="preserve">Red Hot Chicken Mix </t>
  </si>
  <si>
    <t xml:space="preserve">Red Hot Bacon Jalapeno Mix </t>
  </si>
  <si>
    <t>Hot Sauce, Old Vienna</t>
  </si>
  <si>
    <t>AMOUNT NEEDED</t>
  </si>
  <si>
    <t>AMOUNT BEING MIXED</t>
  </si>
  <si>
    <t xml:space="preserve">Hannaford Club Mix </t>
  </si>
  <si>
    <t>Hannaford 4 Meat Mix</t>
  </si>
  <si>
    <t>1/8 green peppers</t>
  </si>
  <si>
    <t>AMOUNT OF MIX NEEDED</t>
  </si>
  <si>
    <t>***Drain Pinapples***</t>
  </si>
  <si>
    <t xml:space="preserve">Lowe's Bacon Cheeseburger Mix </t>
  </si>
  <si>
    <t>Tomatoes</t>
  </si>
  <si>
    <t>FR Red Pepper Strips</t>
  </si>
  <si>
    <t>Lowes Chicken Club</t>
  </si>
  <si>
    <t>FR Squash</t>
  </si>
  <si>
    <t>FR Zucchini</t>
  </si>
  <si>
    <t>FR Red Onions Diced</t>
  </si>
  <si>
    <t>FR Garlic</t>
  </si>
  <si>
    <t>Sea Salt</t>
  </si>
  <si>
    <t>Thyme, IQF</t>
  </si>
  <si>
    <t>TOTAL AMOUNT  BEING MIXED</t>
  </si>
  <si>
    <t>Salt, Kosher</t>
  </si>
  <si>
    <t>Red Onion Diced, Blanched</t>
  </si>
  <si>
    <t>Yellow Pepper Diced, Blanched</t>
  </si>
  <si>
    <t>Red Onion FR Strips</t>
  </si>
  <si>
    <t>Black Beans, IQF</t>
  </si>
  <si>
    <t>Corn, FR</t>
  </si>
  <si>
    <t>Cilantro</t>
  </si>
  <si>
    <t>Spinach</t>
  </si>
  <si>
    <t xml:space="preserve">Egg </t>
  </si>
  <si>
    <t>Garlic, Granulated</t>
  </si>
  <si>
    <t>**MUST BE MADE IN THIS ORDER**</t>
  </si>
  <si>
    <t>ADD MELTED BUTTER AND THEN ADD EGG</t>
  </si>
  <si>
    <t>ADD GRANULATED GARLIC AND SALT</t>
  </si>
  <si>
    <t>MIX 10-15 MIN</t>
  </si>
  <si>
    <t>MIX 5-10 MIN</t>
  </si>
  <si>
    <t>***PULL OLD MIX 2 DAYS PRIOR***</t>
  </si>
  <si>
    <t xml:space="preserve">Lucia's Morning Melt Parisian Mix </t>
  </si>
  <si>
    <t xml:space="preserve">Craft Bacon Cheeseburger Mix </t>
  </si>
  <si>
    <t xml:space="preserve">Lucia's Craft Bratwurst Veggie Mix </t>
  </si>
  <si>
    <t>Sauerkraut</t>
  </si>
  <si>
    <t>Yellow Onion, FR Strips</t>
  </si>
  <si>
    <t>TOTAL AMOUTN NEEDED</t>
  </si>
  <si>
    <t>**Put Mix into buckets not boxes**</t>
  </si>
  <si>
    <t>Chicken</t>
  </si>
  <si>
    <t xml:space="preserve">Craft Club Mix </t>
  </si>
  <si>
    <t>TOTAL AMOUTN BEING MIXED</t>
  </si>
  <si>
    <t>South of the Border Mix</t>
  </si>
  <si>
    <t xml:space="preserve">Lucia's Buffalo Chicken Mix </t>
  </si>
  <si>
    <t>Buffalo Sauce, Legacy</t>
  </si>
  <si>
    <t>Red Onion Strips, FR</t>
  </si>
  <si>
    <t xml:space="preserve">Price Chopper Club Mix </t>
  </si>
  <si>
    <t>SMD Supreme</t>
  </si>
  <si>
    <t>Black Olives</t>
  </si>
  <si>
    <t>FR Red Onion Strips</t>
  </si>
  <si>
    <t>Per Pizza</t>
  </si>
  <si>
    <t xml:space="preserve"> Bacon</t>
  </si>
  <si>
    <t>Bacon</t>
  </si>
  <si>
    <t xml:space="preserve">Bobo's Deluxe Veggie Mix </t>
  </si>
  <si>
    <t>Per Skid</t>
  </si>
  <si>
    <r>
      <rPr>
        <sz val="11"/>
        <color theme="1"/>
        <rFont val="Calibri"/>
        <family val="2"/>
        <scheme val="minor"/>
      </rPr>
      <t xml:space="preserve">Bacon - </t>
    </r>
    <r>
      <rPr>
        <sz val="11"/>
        <color theme="1"/>
        <rFont val="Calibri"/>
        <family val="2"/>
        <scheme val="minor"/>
      </rPr>
      <t>BURKE/HORMEL #56063</t>
    </r>
  </si>
  <si>
    <t xml:space="preserve">Bashas Red Fajita Mix </t>
  </si>
  <si>
    <t>Hot Giardiniera Mix</t>
  </si>
  <si>
    <t>Corner Booth Hot Giardiniera Mix</t>
  </si>
  <si>
    <t>Drianed</t>
  </si>
  <si>
    <t>Drained</t>
  </si>
  <si>
    <t>Not Drained</t>
  </si>
  <si>
    <t>Mushrooms</t>
  </si>
  <si>
    <t>Corner Booth House Mix</t>
  </si>
  <si>
    <t>Corner Booth White Fajita Mix</t>
  </si>
  <si>
    <t>Pert Pizza</t>
  </si>
  <si>
    <t xml:space="preserve">Lowe's California Mix </t>
  </si>
  <si>
    <t xml:space="preserve">Lowes Grilled Vegetable Mix </t>
  </si>
  <si>
    <t xml:space="preserve">Lowes Spinach Mix </t>
  </si>
  <si>
    <t>***PUT A YELLOW EGG ALLERGEN
 STICKER ON EVERY BOX OF MIX***</t>
  </si>
  <si>
    <t xml:space="preserve">Lowes Caribbean Mix </t>
  </si>
  <si>
    <t>Red Onion Strip</t>
  </si>
  <si>
    <t>FR Green Peppers Strip</t>
  </si>
  <si>
    <t>Red Onions Strip</t>
  </si>
  <si>
    <t>Save juice for the sweet n sour sauce after draining</t>
  </si>
  <si>
    <t>undrained</t>
  </si>
  <si>
    <t>cans</t>
  </si>
  <si>
    <t xml:space="preserve">Lowes Red Fajita Mix </t>
  </si>
  <si>
    <t>Sauerkraut **Drained**</t>
  </si>
  <si>
    <t xml:space="preserve">Lucias Red Fajita Mix </t>
  </si>
  <si>
    <t xml:space="preserve">Nob Hill Bacon Cheeseburger Mix </t>
  </si>
  <si>
    <t>Swiss</t>
  </si>
  <si>
    <t>Red Onions Diced</t>
  </si>
  <si>
    <t>Bacon 
(Tri Meats tm3514u or c&amp;fb 061anub40)</t>
  </si>
  <si>
    <t>Red Onion</t>
  </si>
  <si>
    <t>Green Pepper Strips</t>
  </si>
  <si>
    <t>Red Pepper Strips</t>
  </si>
  <si>
    <t>Yellow Pepper Strips</t>
  </si>
  <si>
    <t>Diced Chicken
 (C&amp;F 0001mpdc40 or House of Raeford 28501)</t>
  </si>
  <si>
    <t>Corner Both Garlic Chicken</t>
  </si>
  <si>
    <t>Per Batch</t>
  </si>
  <si>
    <t>Max Batches at a time</t>
  </si>
  <si>
    <t>Canadian Bacon Stick
Stonie's - 2398</t>
  </si>
  <si>
    <t>Corner Booth Hawaiian</t>
  </si>
  <si>
    <t>Pull to Drain</t>
  </si>
  <si>
    <t>Amount Needed After Drained</t>
  </si>
  <si>
    <t>Amount already Drained</t>
  </si>
  <si>
    <t>Pineapple - Drained</t>
  </si>
  <si>
    <t>Amount already drained</t>
  </si>
  <si>
    <t>Garlic sauce</t>
  </si>
  <si>
    <t>***Pull 3 Days Early***</t>
  </si>
  <si>
    <t xml:space="preserve">Hannaford White Fajita Mix </t>
  </si>
  <si>
    <t>Hannaford Chicken Masala Mix</t>
  </si>
  <si>
    <t>Hannaford Spinach</t>
  </si>
  <si>
    <t>Goat Cheese</t>
  </si>
  <si>
    <t>Natural Italian Sausage
c&amp;f 140mrp240</t>
  </si>
  <si>
    <t>Natural Hamburger
burke 40029</t>
  </si>
  <si>
    <r>
      <t xml:space="preserve">Bacon, </t>
    </r>
    <r>
      <rPr>
        <b/>
        <sz val="11"/>
        <color theme="1"/>
        <rFont val="Calibri"/>
        <family val="2"/>
        <scheme val="minor"/>
      </rPr>
      <t>NATURAL</t>
    </r>
    <r>
      <rPr>
        <sz val="11"/>
        <color theme="1"/>
        <rFont val="Calibri"/>
        <family val="2"/>
        <scheme val="minor"/>
      </rPr>
      <t xml:space="preserve">
Tri Meats tm3514u or 
c&amp;f 061anub40</t>
    </r>
  </si>
  <si>
    <t>Bacon, NATURAL
Tri Meats tm3514u or 
c&amp;f 061anub40</t>
  </si>
  <si>
    <t>Lowes 7in White Spinach</t>
  </si>
  <si>
    <t>FR Tomatoes Diced</t>
  </si>
  <si>
    <t>Lowes 11in White Spinach</t>
  </si>
  <si>
    <t>Unsalted Butter</t>
  </si>
  <si>
    <t>Salt</t>
  </si>
  <si>
    <t>ADD 2/3 OF THE SPINACH</t>
  </si>
  <si>
    <t>ADD THE REMAINDERING SPINACH</t>
  </si>
  <si>
    <t>Chicken, Diced
House of Raeford 28501 or 
c&amp;f 001mpdc40</t>
  </si>
  <si>
    <r>
      <t xml:space="preserve">Bacon, </t>
    </r>
    <r>
      <rPr>
        <b/>
        <sz val="11"/>
        <color theme="1"/>
        <rFont val="Calibri"/>
        <family val="2"/>
        <scheme val="minor"/>
      </rPr>
      <t>NATURAL</t>
    </r>
    <r>
      <rPr>
        <sz val="11"/>
        <color theme="1"/>
        <rFont val="Calibri"/>
        <family val="2"/>
        <scheme val="minor"/>
      </rPr>
      <t xml:space="preserve">
c&amp;f 001anub40 or
Tri Meats</t>
    </r>
  </si>
  <si>
    <t>Bacon, NATURAL
c&amp;f 001anub40 or
Tri Meats</t>
  </si>
  <si>
    <t>Red Onion Strips</t>
  </si>
  <si>
    <t>Tomatoes, Diced</t>
  </si>
  <si>
    <r>
      <t xml:space="preserve">Bacon, </t>
    </r>
    <r>
      <rPr>
        <b/>
        <sz val="11"/>
        <color theme="1"/>
        <rFont val="Calibri"/>
        <family val="2"/>
        <scheme val="minor"/>
      </rPr>
      <t>NATURAL</t>
    </r>
    <r>
      <rPr>
        <sz val="11"/>
        <color theme="1"/>
        <rFont val="Calibri"/>
        <family val="2"/>
        <scheme val="minor"/>
      </rPr>
      <t xml:space="preserve">
tri meats tm3514u or 
c&amp;f 061anub40</t>
    </r>
  </si>
  <si>
    <t>Bacon, NATURAL
tri meats tm3514u or 
c&amp;f 061anub40</t>
  </si>
  <si>
    <t>Bacon - NATURAL
tri meats tm3514u or
c&amp;f 061anub40</t>
  </si>
  <si>
    <t>Diced Turkey
jennie-o-119373</t>
  </si>
  <si>
    <t>Diced Ham
patuxent-736543078</t>
  </si>
  <si>
    <t>Scrambled Egg
Greand Prairie</t>
  </si>
  <si>
    <t>Lucia's Morning Melt Italiano Spinach</t>
  </si>
  <si>
    <t>total needed</t>
  </si>
  <si>
    <t>Total Needed</t>
  </si>
  <si>
    <t>***PULL 3 days early***</t>
  </si>
  <si>
    <t>Drianed Pinapples</t>
  </si>
  <si>
    <t>Pull</t>
  </si>
  <si>
    <t>Lucias Morning Mealts Americano
***Pull 3 Days Early***</t>
  </si>
  <si>
    <t>Lucias Morning Mealts Mexicano
***Pull 3 Days Early***</t>
  </si>
  <si>
    <t>Diced Chicken
c&amp;f 001mpdc40 or
House of Raeford 28501</t>
  </si>
  <si>
    <t>Bacon
Tri Meats tm3514u or
c&amp;f 001anub40</t>
  </si>
  <si>
    <t>Chicken, Diced
c&amp;f - 001mpdc40 or
House of Raeford - 28501</t>
  </si>
  <si>
    <t>Bacon
tri meats tm3514u or
c&amp;f 001anub40</t>
  </si>
  <si>
    <t>Lucias Craft Alfredo Spinach</t>
  </si>
  <si>
    <t>Diced Tomatoes</t>
  </si>
  <si>
    <t xml:space="preserve">Lucias Craft Caribbean Mix </t>
  </si>
  <si>
    <t>***Pull 2 Days Early***</t>
  </si>
  <si>
    <t>Bratwurst
stonies - 2394</t>
  </si>
  <si>
    <t>Lucias Craft Chicken Masala Mix</t>
  </si>
  <si>
    <t xml:space="preserve">Lucias Craft White Fajita Mix </t>
  </si>
  <si>
    <t xml:space="preserve">Nob Hill Caribbean Mix </t>
  </si>
  <si>
    <t>FR Red Onion Strip</t>
  </si>
  <si>
    <t>FR Red Onions Strip</t>
  </si>
  <si>
    <t>Bacon
Tri Meats tm3514u or 
c&amp;f 061anub40</t>
  </si>
  <si>
    <t>***Mix same day or day prior and don’t freeze***</t>
  </si>
  <si>
    <t>***Pull 3 Days Early***
Scrambled Egg</t>
  </si>
  <si>
    <t>Lowes 7in Red Fajita</t>
  </si>
  <si>
    <t xml:space="preserve">Lucias Pinsa White Fajita Mix </t>
  </si>
  <si>
    <t>Lucias Pinsa Chicken Masala Mix</t>
  </si>
  <si>
    <t>Lucias Pinsa Spinach 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</si>
</sst>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name val="Calibri"/>
    </font>
    <font>
      <sz val="10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7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6" fillId="0" borderId="0"/>
  </cellStyleXfs>
  <cellXfs count="338">
    <xf numFmtId="0" fontId="0" fillId="0" borderId="0" xfId="0"/>
    <xf numFmtId="0" fontId="14" fillId="0" borderId="0" xfId="0" applyFont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36" xfId="0" applyFont="1" applyFill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" vertical="center"/>
    </xf>
    <xf numFmtId="0" fontId="13" fillId="0" borderId="39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2" borderId="38" xfId="0" applyFont="1" applyFill="1" applyBorder="1" applyAlignment="1">
      <alignment horizontal="center" vertical="center"/>
    </xf>
    <xf numFmtId="0" fontId="13" fillId="2" borderId="39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0" borderId="53" xfId="0" applyFont="1" applyBorder="1" applyAlignment="1">
      <alignment horizontal="center" vertical="center"/>
    </xf>
    <xf numFmtId="0" fontId="13" fillId="0" borderId="0" xfId="0" applyFont="1"/>
    <xf numFmtId="0" fontId="13" fillId="0" borderId="28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0" fontId="13" fillId="0" borderId="0" xfId="0" applyFont="1" applyAlignment="1" applyProtection="1">
      <alignment horizontal="center" vertical="center"/>
      <protection locked="0"/>
    </xf>
    <xf numFmtId="0" fontId="13" fillId="0" borderId="2" xfId="0" applyFont="1" applyBorder="1" applyAlignment="1">
      <alignment horizontal="center" vertical="center"/>
    </xf>
    <xf numFmtId="0" fontId="14" fillId="2" borderId="38" xfId="0" applyFont="1" applyFill="1" applyBorder="1" applyAlignment="1">
      <alignment horizontal="center" vertical="center" wrapText="1"/>
    </xf>
    <xf numFmtId="0" fontId="14" fillId="2" borderId="63" xfId="0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3" fillId="2" borderId="6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2" borderId="10" xfId="0" applyFont="1" applyFill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13" fillId="0" borderId="63" xfId="0" applyFont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12" fillId="0" borderId="0" xfId="0" applyFont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2" fontId="0" fillId="0" borderId="32" xfId="0" applyNumberFormat="1" applyBorder="1" applyAlignment="1">
      <alignment horizontal="center" vertical="center"/>
    </xf>
    <xf numFmtId="2" fontId="0" fillId="0" borderId="33" xfId="0" applyNumberFormat="1" applyBorder="1" applyAlignment="1">
      <alignment horizontal="center" vertical="center"/>
    </xf>
    <xf numFmtId="2" fontId="0" fillId="2" borderId="28" xfId="0" applyNumberFormat="1" applyFill="1" applyBorder="1" applyAlignment="1">
      <alignment horizontal="center" vertical="center"/>
    </xf>
    <xf numFmtId="2" fontId="0" fillId="0" borderId="34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2" fontId="13" fillId="0" borderId="32" xfId="0" applyNumberFormat="1" applyFont="1" applyBorder="1" applyAlignment="1">
      <alignment horizontal="center" vertical="center"/>
    </xf>
    <xf numFmtId="2" fontId="13" fillId="0" borderId="34" xfId="0" applyNumberFormat="1" applyFont="1" applyBorder="1" applyAlignment="1">
      <alignment horizontal="center" vertical="center"/>
    </xf>
    <xf numFmtId="2" fontId="13" fillId="2" borderId="44" xfId="0" applyNumberFormat="1" applyFont="1" applyFill="1" applyBorder="1" applyAlignment="1">
      <alignment horizontal="center" vertical="center"/>
    </xf>
    <xf numFmtId="2" fontId="13" fillId="0" borderId="0" xfId="0" applyNumberFormat="1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2" fontId="0" fillId="2" borderId="2" xfId="0" applyNumberFormat="1" applyFill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8" xfId="0" applyFont="1" applyBorder="1" applyAlignment="1">
      <alignment horizontal="center" vertical="center" wrapText="1"/>
    </xf>
    <xf numFmtId="2" fontId="0" fillId="0" borderId="28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2" fontId="13" fillId="0" borderId="9" xfId="0" applyNumberFormat="1" applyFont="1" applyBorder="1" applyAlignment="1">
      <alignment horizontal="center" vertical="center"/>
    </xf>
    <xf numFmtId="2" fontId="13" fillId="0" borderId="11" xfId="0" applyNumberFormat="1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/>
    </xf>
    <xf numFmtId="2" fontId="13" fillId="2" borderId="3" xfId="0" applyNumberFormat="1" applyFont="1" applyFill="1" applyBorder="1" applyAlignment="1">
      <alignment horizontal="center" vertical="center"/>
    </xf>
    <xf numFmtId="0" fontId="7" fillId="0" borderId="28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2" fontId="13" fillId="0" borderId="6" xfId="0" applyNumberFormat="1" applyFont="1" applyBorder="1" applyAlignment="1">
      <alignment horizontal="center" vertical="center"/>
    </xf>
    <xf numFmtId="2" fontId="13" fillId="2" borderId="10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7" fillId="0" borderId="53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2" fontId="14" fillId="0" borderId="32" xfId="0" applyNumberFormat="1" applyFont="1" applyBorder="1" applyAlignment="1">
      <alignment horizontal="center" vertical="center"/>
    </xf>
    <xf numFmtId="2" fontId="14" fillId="0" borderId="45" xfId="0" applyNumberFormat="1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4" fillId="0" borderId="58" xfId="0" applyFont="1" applyBorder="1" applyAlignment="1">
      <alignment horizontal="center" vertical="center"/>
    </xf>
    <xf numFmtId="2" fontId="14" fillId="0" borderId="33" xfId="0" applyNumberFormat="1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2" fontId="14" fillId="0" borderId="55" xfId="0" applyNumberFormat="1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59" xfId="0" applyFont="1" applyBorder="1" applyAlignment="1">
      <alignment horizontal="center" vertical="center"/>
    </xf>
    <xf numFmtId="0" fontId="14" fillId="2" borderId="36" xfId="0" applyFont="1" applyFill="1" applyBorder="1" applyAlignment="1">
      <alignment horizontal="center" vertical="center"/>
    </xf>
    <xf numFmtId="2" fontId="14" fillId="2" borderId="42" xfId="0" applyNumberFormat="1" applyFont="1" applyFill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2" fontId="14" fillId="0" borderId="34" xfId="0" applyNumberFormat="1" applyFont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2" fontId="14" fillId="2" borderId="25" xfId="0" applyNumberFormat="1" applyFont="1" applyFill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2" fontId="14" fillId="0" borderId="0" xfId="0" applyNumberFormat="1" applyFont="1" applyAlignment="1">
      <alignment horizontal="center" vertical="center"/>
    </xf>
    <xf numFmtId="0" fontId="17" fillId="0" borderId="14" xfId="0" applyFont="1" applyBorder="1" applyAlignment="1">
      <alignment horizontal="center" vertical="center" wrapText="1"/>
    </xf>
    <xf numFmtId="2" fontId="13" fillId="0" borderId="26" xfId="0" applyNumberFormat="1" applyFont="1" applyBorder="1" applyAlignment="1">
      <alignment horizontal="center" vertical="center"/>
    </xf>
    <xf numFmtId="2" fontId="13" fillId="0" borderId="15" xfId="0" applyNumberFormat="1" applyFont="1" applyBorder="1" applyAlignment="1">
      <alignment horizontal="center" vertical="center"/>
    </xf>
    <xf numFmtId="2" fontId="13" fillId="2" borderId="1" xfId="0" applyNumberFormat="1" applyFont="1" applyFill="1" applyBorder="1" applyAlignment="1">
      <alignment horizontal="center" vertical="center"/>
    </xf>
    <xf numFmtId="2" fontId="13" fillId="0" borderId="13" xfId="0" applyNumberFormat="1" applyFont="1" applyBorder="1" applyAlignment="1">
      <alignment horizontal="center" vertical="center"/>
    </xf>
    <xf numFmtId="2" fontId="13" fillId="0" borderId="28" xfId="0" applyNumberFormat="1" applyFon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2" fontId="14" fillId="0" borderId="57" xfId="0" applyNumberFormat="1" applyFont="1" applyBorder="1" applyAlignment="1">
      <alignment horizontal="center" vertical="center"/>
    </xf>
    <xf numFmtId="2" fontId="14" fillId="0" borderId="59" xfId="0" applyNumberFormat="1" applyFont="1" applyBorder="1" applyAlignment="1">
      <alignment horizontal="center" vertical="center"/>
    </xf>
    <xf numFmtId="2" fontId="14" fillId="0" borderId="60" xfId="0" applyNumberFormat="1" applyFont="1" applyBorder="1" applyAlignment="1">
      <alignment horizontal="center" vertical="center"/>
    </xf>
    <xf numFmtId="2" fontId="14" fillId="2" borderId="18" xfId="0" applyNumberFormat="1" applyFont="1" applyFill="1" applyBorder="1" applyAlignment="1">
      <alignment horizontal="center" vertical="center"/>
    </xf>
    <xf numFmtId="2" fontId="14" fillId="0" borderId="54" xfId="0" applyNumberFormat="1" applyFont="1" applyBorder="1" applyAlignment="1">
      <alignment horizontal="center" vertical="center"/>
    </xf>
    <xf numFmtId="2" fontId="14" fillId="0" borderId="56" xfId="0" applyNumberFormat="1" applyFont="1" applyBorder="1" applyAlignment="1">
      <alignment horizontal="center" vertical="center"/>
    </xf>
    <xf numFmtId="2" fontId="14" fillId="2" borderId="28" xfId="0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2" fontId="13" fillId="2" borderId="13" xfId="0" applyNumberFormat="1" applyFont="1" applyFill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2" fontId="13" fillId="0" borderId="51" xfId="0" applyNumberFormat="1" applyFont="1" applyBorder="1" applyAlignment="1">
      <alignment horizontal="center" vertical="center"/>
    </xf>
    <xf numFmtId="2" fontId="13" fillId="0" borderId="48" xfId="0" applyNumberFormat="1" applyFont="1" applyBorder="1" applyAlignment="1">
      <alignment horizontal="center" vertical="center"/>
    </xf>
    <xf numFmtId="2" fontId="13" fillId="0" borderId="56" xfId="0" applyNumberFormat="1" applyFont="1" applyBorder="1" applyAlignment="1">
      <alignment horizontal="center" vertical="center"/>
    </xf>
    <xf numFmtId="2" fontId="13" fillId="2" borderId="28" xfId="0" applyNumberFormat="1" applyFont="1" applyFill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2" fontId="13" fillId="0" borderId="54" xfId="0" applyNumberFormat="1" applyFont="1" applyBorder="1" applyAlignment="1">
      <alignment horizontal="center" vertical="center"/>
    </xf>
    <xf numFmtId="2" fontId="13" fillId="0" borderId="45" xfId="0" applyNumberFormat="1" applyFont="1" applyBorder="1" applyAlignment="1">
      <alignment horizontal="center" vertical="center"/>
    </xf>
    <xf numFmtId="2" fontId="13" fillId="0" borderId="46" xfId="0" applyNumberFormat="1" applyFont="1" applyBorder="1" applyAlignment="1">
      <alignment horizontal="center" vertical="center"/>
    </xf>
    <xf numFmtId="2" fontId="13" fillId="0" borderId="55" xfId="0" applyNumberFormat="1" applyFont="1" applyBorder="1" applyAlignment="1">
      <alignment horizontal="center" vertical="center"/>
    </xf>
    <xf numFmtId="2" fontId="13" fillId="2" borderId="42" xfId="0" applyNumberFormat="1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 wrapText="1"/>
    </xf>
    <xf numFmtId="2" fontId="13" fillId="0" borderId="49" xfId="0" applyNumberFormat="1" applyFont="1" applyBorder="1" applyAlignment="1">
      <alignment horizontal="center" vertical="center"/>
    </xf>
    <xf numFmtId="2" fontId="13" fillId="2" borderId="50" xfId="0" applyNumberFormat="1" applyFont="1" applyFill="1" applyBorder="1" applyAlignment="1">
      <alignment horizontal="center" vertical="center"/>
    </xf>
    <xf numFmtId="2" fontId="13" fillId="0" borderId="52" xfId="0" applyNumberFormat="1" applyFont="1" applyBorder="1" applyAlignment="1">
      <alignment horizontal="center" vertical="center"/>
    </xf>
    <xf numFmtId="2" fontId="13" fillId="0" borderId="47" xfId="0" applyNumberFormat="1" applyFont="1" applyBorder="1" applyAlignment="1">
      <alignment horizontal="center" vertical="center"/>
    </xf>
    <xf numFmtId="2" fontId="13" fillId="2" borderId="2" xfId="0" applyNumberFormat="1" applyFont="1" applyFill="1" applyBorder="1" applyAlignment="1">
      <alignment horizontal="center" vertical="center"/>
    </xf>
    <xf numFmtId="2" fontId="13" fillId="2" borderId="61" xfId="0" applyNumberFormat="1" applyFont="1" applyFill="1" applyBorder="1" applyAlignment="1">
      <alignment horizontal="center" vertical="center"/>
    </xf>
    <xf numFmtId="2" fontId="13" fillId="0" borderId="29" xfId="0" applyNumberFormat="1" applyFont="1" applyBorder="1" applyAlignment="1">
      <alignment horizontal="center" vertical="center"/>
    </xf>
    <xf numFmtId="2" fontId="13" fillId="0" borderId="35" xfId="0" applyNumberFormat="1" applyFont="1" applyBorder="1" applyAlignment="1">
      <alignment horizontal="center" vertical="center"/>
    </xf>
    <xf numFmtId="2" fontId="13" fillId="2" borderId="18" xfId="0" applyNumberFormat="1" applyFont="1" applyFill="1" applyBorder="1" applyAlignment="1">
      <alignment horizontal="center" vertical="center"/>
    </xf>
    <xf numFmtId="0" fontId="5" fillId="0" borderId="67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2" fontId="13" fillId="0" borderId="14" xfId="0" applyNumberFormat="1" applyFont="1" applyBorder="1" applyAlignment="1">
      <alignment horizontal="center" vertical="center"/>
    </xf>
    <xf numFmtId="2" fontId="13" fillId="0" borderId="16" xfId="0" applyNumberFormat="1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5" fillId="0" borderId="53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2" fontId="19" fillId="0" borderId="6" xfId="0" applyNumberFormat="1" applyFont="1" applyBorder="1" applyAlignment="1">
      <alignment horizontal="center" vertical="center"/>
    </xf>
    <xf numFmtId="2" fontId="19" fillId="0" borderId="8" xfId="0" applyNumberFormat="1" applyFont="1" applyBorder="1" applyAlignment="1">
      <alignment horizontal="center" vertical="center"/>
    </xf>
    <xf numFmtId="2" fontId="19" fillId="2" borderId="13" xfId="0" applyNumberFormat="1" applyFont="1" applyFill="1" applyBorder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0" fontId="5" fillId="0" borderId="54" xfId="0" applyFont="1" applyBorder="1" applyAlignment="1">
      <alignment horizontal="center" vertical="center" wrapText="1"/>
    </xf>
    <xf numFmtId="0" fontId="5" fillId="0" borderId="49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4" fillId="0" borderId="69" xfId="0" applyFont="1" applyBorder="1" applyAlignment="1">
      <alignment horizontal="center" vertical="center"/>
    </xf>
    <xf numFmtId="0" fontId="14" fillId="2" borderId="39" xfId="0" applyFont="1" applyFill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4" fillId="0" borderId="70" xfId="0" applyFont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0" fontId="14" fillId="0" borderId="71" xfId="0" applyFont="1" applyBorder="1" applyAlignment="1">
      <alignment horizontal="center" vertical="center" wrapText="1"/>
    </xf>
    <xf numFmtId="0" fontId="5" fillId="0" borderId="6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2" fontId="13" fillId="0" borderId="19" xfId="0" applyNumberFormat="1" applyFont="1" applyBorder="1" applyAlignment="1">
      <alignment horizontal="center" vertical="center"/>
    </xf>
    <xf numFmtId="2" fontId="13" fillId="2" borderId="40" xfId="0" applyNumberFormat="1" applyFont="1" applyFill="1" applyBorder="1" applyAlignment="1">
      <alignment horizontal="center" vertical="center"/>
    </xf>
    <xf numFmtId="2" fontId="13" fillId="2" borderId="41" xfId="0" applyNumberFormat="1" applyFont="1" applyFill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2" fontId="13" fillId="0" borderId="33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4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0" fontId="4" fillId="0" borderId="72" xfId="0" applyFont="1" applyBorder="1" applyAlignment="1">
      <alignment horizontal="center" vertical="center"/>
    </xf>
    <xf numFmtId="2" fontId="13" fillId="2" borderId="22" xfId="0" applyNumberFormat="1" applyFont="1" applyFill="1" applyBorder="1" applyAlignment="1">
      <alignment horizontal="center" vertical="center"/>
    </xf>
    <xf numFmtId="0" fontId="4" fillId="0" borderId="34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 wrapText="1"/>
    </xf>
    <xf numFmtId="2" fontId="13" fillId="0" borderId="5" xfId="0" applyNumberFormat="1" applyFont="1" applyBorder="1" applyAlignment="1">
      <alignment horizontal="center" vertical="center"/>
    </xf>
    <xf numFmtId="2" fontId="13" fillId="2" borderId="39" xfId="0" applyNumberFormat="1" applyFont="1" applyFill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2" fontId="13" fillId="0" borderId="17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13" fillId="2" borderId="63" xfId="0" applyNumberFormat="1" applyFont="1" applyFill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center" vertical="center"/>
    </xf>
    <xf numFmtId="0" fontId="15" fillId="2" borderId="23" xfId="0" applyFont="1" applyFill="1" applyBorder="1"/>
    <xf numFmtId="0" fontId="15" fillId="2" borderId="20" xfId="0" applyFont="1" applyFill="1" applyBorder="1"/>
    <xf numFmtId="0" fontId="14" fillId="0" borderId="4" xfId="0" applyFont="1" applyBorder="1" applyAlignment="1">
      <alignment horizontal="center" vertical="center"/>
    </xf>
    <xf numFmtId="0" fontId="15" fillId="0" borderId="21" xfId="0" applyFont="1" applyBorder="1"/>
    <xf numFmtId="0" fontId="15" fillId="0" borderId="10" xfId="0" applyFont="1" applyBorder="1"/>
    <xf numFmtId="0" fontId="14" fillId="0" borderId="20" xfId="0" applyFont="1" applyBorder="1" applyAlignment="1">
      <alignment horizontal="center" vertical="center"/>
    </xf>
    <xf numFmtId="0" fontId="15" fillId="0" borderId="22" xfId="0" applyFont="1" applyBorder="1"/>
    <xf numFmtId="0" fontId="0" fillId="2" borderId="12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2" borderId="36" xfId="0" applyFont="1" applyFill="1" applyBorder="1" applyAlignment="1">
      <alignment horizontal="center" vertical="center"/>
    </xf>
    <xf numFmtId="0" fontId="13" fillId="2" borderId="41" xfId="0" applyFont="1" applyFill="1" applyBorder="1" applyAlignment="1">
      <alignment horizontal="center" vertical="center"/>
    </xf>
    <xf numFmtId="0" fontId="13" fillId="2" borderId="42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8" fillId="2" borderId="64" xfId="0" applyFont="1" applyFill="1" applyBorder="1" applyAlignment="1">
      <alignment horizontal="center" vertical="center"/>
    </xf>
    <xf numFmtId="0" fontId="8" fillId="2" borderId="65" xfId="0" applyFont="1" applyFill="1" applyBorder="1" applyAlignment="1">
      <alignment horizontal="center" vertical="center"/>
    </xf>
    <xf numFmtId="0" fontId="8" fillId="2" borderId="66" xfId="0" applyFont="1" applyFill="1" applyBorder="1" applyAlignment="1">
      <alignment horizontal="center" vertical="center"/>
    </xf>
    <xf numFmtId="0" fontId="4" fillId="2" borderId="36" xfId="0" applyFont="1" applyFill="1" applyBorder="1" applyAlignment="1">
      <alignment horizontal="center" vertical="center"/>
    </xf>
    <xf numFmtId="0" fontId="7" fillId="2" borderId="41" xfId="0" applyFont="1" applyFill="1" applyBorder="1" applyAlignment="1">
      <alignment horizontal="center" vertical="center"/>
    </xf>
    <xf numFmtId="0" fontId="7" fillId="2" borderId="42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23" xfId="0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2" borderId="36" xfId="0" applyFont="1" applyFill="1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/>
    </xf>
    <xf numFmtId="0" fontId="5" fillId="2" borderId="42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9" fillId="2" borderId="27" xfId="0" applyFont="1" applyFill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3" fillId="0" borderId="53" xfId="0" applyFont="1" applyBorder="1" applyAlignment="1">
      <alignment horizontal="center" vertical="center"/>
    </xf>
    <xf numFmtId="0" fontId="13" fillId="0" borderId="62" xfId="0" applyFont="1" applyBorder="1" applyAlignment="1">
      <alignment horizontal="center" vertical="center"/>
    </xf>
    <xf numFmtId="0" fontId="13" fillId="0" borderId="6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0" fontId="17" fillId="2" borderId="27" xfId="0" applyFont="1" applyFill="1" applyBorder="1" applyAlignment="1">
      <alignment horizontal="center" vertical="center" wrapText="1"/>
    </xf>
    <xf numFmtId="0" fontId="15" fillId="2" borderId="2" xfId="0" applyFont="1" applyFill="1" applyBorder="1"/>
    <xf numFmtId="0" fontId="14" fillId="0" borderId="53" xfId="0" applyFont="1" applyBorder="1" applyAlignment="1">
      <alignment horizontal="center" vertical="center" wrapText="1"/>
    </xf>
    <xf numFmtId="0" fontId="14" fillId="0" borderId="62" xfId="0" applyFont="1" applyBorder="1" applyAlignment="1">
      <alignment horizontal="center" vertical="center" wrapText="1"/>
    </xf>
    <xf numFmtId="0" fontId="14" fillId="0" borderId="61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4" fillId="2" borderId="36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 wrapText="1"/>
    </xf>
    <xf numFmtId="0" fontId="4" fillId="2" borderId="42" xfId="0" applyFont="1" applyFill="1" applyBorder="1" applyAlignment="1">
      <alignment horizontal="center" vertical="center" wrapText="1"/>
    </xf>
    <xf numFmtId="0" fontId="13" fillId="2" borderId="20" xfId="0" applyFont="1" applyFill="1" applyBorder="1"/>
    <xf numFmtId="0" fontId="13" fillId="0" borderId="21" xfId="0" applyFont="1" applyBorder="1"/>
    <xf numFmtId="0" fontId="13" fillId="0" borderId="22" xfId="0" applyFont="1" applyBorder="1"/>
    <xf numFmtId="0" fontId="4" fillId="2" borderId="1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5" xfId="1" xr:uid="{CEDFAF8F-DAE5-41D4-9C70-E9AADCA916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worksheet" Target="worksheets/sheet39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42" Type="http://schemas.openxmlformats.org/officeDocument/2006/relationships/worksheet" Target="worksheets/sheet42.xml" /><Relationship Id="rId47" Type="http://schemas.openxmlformats.org/officeDocument/2006/relationships/worksheet" Target="worksheets/sheet47.xml" /><Relationship Id="rId50" Type="http://schemas.openxmlformats.org/officeDocument/2006/relationships/theme" Target="theme/theme1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worksheet" Target="worksheets/sheet38.xml" /><Relationship Id="rId46" Type="http://schemas.openxmlformats.org/officeDocument/2006/relationships/worksheet" Target="worksheets/sheet46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41" Type="http://schemas.openxmlformats.org/officeDocument/2006/relationships/worksheet" Target="worksheets/sheet41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worksheet" Target="worksheets/sheet37.xml" /><Relationship Id="rId40" Type="http://schemas.openxmlformats.org/officeDocument/2006/relationships/worksheet" Target="worksheets/sheet40.xml" /><Relationship Id="rId45" Type="http://schemas.openxmlformats.org/officeDocument/2006/relationships/worksheet" Target="worksheets/sheet45.xml" /><Relationship Id="rId53" Type="http://schemas.openxmlformats.org/officeDocument/2006/relationships/calcChain" Target="calcChain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worksheet" Target="worksheets/sheet36.xml" /><Relationship Id="rId49" Type="http://schemas.openxmlformats.org/officeDocument/2006/relationships/worksheet" Target="worksheets/sheet49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4" Type="http://schemas.openxmlformats.org/officeDocument/2006/relationships/worksheet" Target="worksheets/sheet44.xml" /><Relationship Id="rId52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Relationship Id="rId43" Type="http://schemas.openxmlformats.org/officeDocument/2006/relationships/worksheet" Target="worksheets/sheet43.xml" /><Relationship Id="rId48" Type="http://schemas.openxmlformats.org/officeDocument/2006/relationships/worksheet" Target="worksheets/sheet48.xml" /><Relationship Id="rId8" Type="http://schemas.openxmlformats.org/officeDocument/2006/relationships/worksheet" Target="worksheets/sheet8.xml" /><Relationship Id="rId51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 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 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 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 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 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 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 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 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 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 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 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 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 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 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 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 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 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 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 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 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 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 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 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 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26"/>
  <sheetViews>
    <sheetView workbookViewId="0">
      <selection activeCell="C17" sqref="C17"/>
    </sheetView>
  </sheetViews>
  <sheetFormatPr defaultColWidth="9.14453125" defaultRowHeight="15" x14ac:dyDescent="0.2"/>
  <cols>
    <col min="1" max="1" width="9.14453125" style="9"/>
    <col min="2" max="2" width="27.7109375" style="9" bestFit="1" customWidth="1"/>
    <col min="3" max="3" width="8.875" style="9" bestFit="1" customWidth="1"/>
    <col min="4" max="4" width="9.28125" style="9" bestFit="1" customWidth="1"/>
    <col min="5" max="5" width="10.76171875" style="9" bestFit="1" customWidth="1"/>
    <col min="6" max="16384" width="9.14453125" style="9"/>
  </cols>
  <sheetData>
    <row r="1" spans="2:5" ht="15.75" thickBot="1" x14ac:dyDescent="0.25"/>
    <row r="2" spans="2:5" ht="15.75" thickBot="1" x14ac:dyDescent="0.25">
      <c r="B2" s="268" t="s">
        <v>95</v>
      </c>
      <c r="C2" s="269"/>
      <c r="D2" s="270"/>
      <c r="E2" s="10" t="s">
        <v>0</v>
      </c>
    </row>
    <row r="3" spans="2:5" ht="15.75" thickBot="1" x14ac:dyDescent="0.25">
      <c r="B3" s="11"/>
      <c r="C3" s="12" t="s">
        <v>92</v>
      </c>
      <c r="D3" s="12" t="s">
        <v>132</v>
      </c>
      <c r="E3" s="271">
        <f>ROUNDUP((C16/D10),1)</f>
        <v>1</v>
      </c>
    </row>
    <row r="4" spans="2:5" x14ac:dyDescent="0.2">
      <c r="B4" s="13" t="s">
        <v>1</v>
      </c>
      <c r="C4" s="13">
        <v>0.4</v>
      </c>
      <c r="D4" s="90">
        <f>60*12/16*C4*1.15</f>
        <v>20.7</v>
      </c>
      <c r="E4" s="272"/>
    </row>
    <row r="5" spans="2:5" x14ac:dyDescent="0.2">
      <c r="B5" s="14" t="s">
        <v>3</v>
      </c>
      <c r="C5" s="14">
        <v>0.82</v>
      </c>
      <c r="D5" s="91">
        <f>60*12/16*C5*1.15</f>
        <v>42.434999999999995</v>
      </c>
      <c r="E5" s="272"/>
    </row>
    <row r="6" spans="2:5" x14ac:dyDescent="0.2">
      <c r="B6" s="14" t="s">
        <v>4</v>
      </c>
      <c r="C6" s="14">
        <v>0.82</v>
      </c>
      <c r="D6" s="91">
        <f>60*12/16*C6*1.15</f>
        <v>42.434999999999995</v>
      </c>
      <c r="E6" s="272"/>
    </row>
    <row r="7" spans="2:5" x14ac:dyDescent="0.2">
      <c r="B7" s="14" t="s">
        <v>5</v>
      </c>
      <c r="C7" s="14"/>
      <c r="D7" s="91">
        <v>10</v>
      </c>
      <c r="E7" s="272"/>
    </row>
    <row r="8" spans="2:5" x14ac:dyDescent="0.2">
      <c r="B8" s="14" t="s">
        <v>6</v>
      </c>
      <c r="C8" s="14">
        <v>0.06</v>
      </c>
      <c r="D8" s="91">
        <f>60*12/16*C8*1.15</f>
        <v>3.1049999999999995</v>
      </c>
      <c r="E8" s="272"/>
    </row>
    <row r="9" spans="2:5" ht="15.75" thickBot="1" x14ac:dyDescent="0.25">
      <c r="B9" s="15" t="s">
        <v>93</v>
      </c>
      <c r="C9" s="111">
        <v>0.75</v>
      </c>
      <c r="D9" s="93">
        <f>60*12/16*C9*1.15</f>
        <v>38.8125</v>
      </c>
      <c r="E9" s="272"/>
    </row>
    <row r="10" spans="2:5" ht="15.75" thickBot="1" x14ac:dyDescent="0.25">
      <c r="B10" s="16" t="s">
        <v>2</v>
      </c>
      <c r="C10" s="17">
        <f>SUM(C4:C9)</f>
        <v>2.85</v>
      </c>
      <c r="D10" s="92">
        <f>SUM(D4,D5,D6,D8,D9)</f>
        <v>147.48750000000001</v>
      </c>
      <c r="E10" s="273"/>
    </row>
    <row r="12" spans="2:5" x14ac:dyDescent="0.2">
      <c r="B12" s="258" t="s">
        <v>133</v>
      </c>
      <c r="C12" s="258"/>
      <c r="D12" s="9">
        <f>ROUNDDOWN(250/D10,2)</f>
        <v>1.69</v>
      </c>
    </row>
    <row r="14" spans="2:5" x14ac:dyDescent="0.2">
      <c r="B14" s="9" t="s">
        <v>7</v>
      </c>
      <c r="C14" s="78">
        <v>60</v>
      </c>
    </row>
    <row r="16" spans="2:5" x14ac:dyDescent="0.2">
      <c r="B16" s="9" t="s">
        <v>8</v>
      </c>
      <c r="C16" s="94">
        <f>((C14*12*C10/16)*1.15)-C17</f>
        <v>147.48749999999998</v>
      </c>
    </row>
    <row r="17" spans="2:4" x14ac:dyDescent="0.2">
      <c r="B17" s="9" t="s">
        <v>9</v>
      </c>
      <c r="C17" s="78">
        <v>0</v>
      </c>
    </row>
    <row r="18" spans="2:4" x14ac:dyDescent="0.2">
      <c r="B18" s="9" t="s">
        <v>10</v>
      </c>
      <c r="C18" s="94">
        <f>E3*D10</f>
        <v>147.48750000000001</v>
      </c>
    </row>
    <row r="20" spans="2:4" x14ac:dyDescent="0.2">
      <c r="B20" s="9" t="s">
        <v>11</v>
      </c>
    </row>
    <row r="21" spans="2:4" x14ac:dyDescent="0.2">
      <c r="B21" s="9" t="s">
        <v>1</v>
      </c>
      <c r="C21" s="94">
        <f>E3*D4</f>
        <v>20.7</v>
      </c>
      <c r="D21" s="9" t="s">
        <v>12</v>
      </c>
    </row>
    <row r="22" spans="2:4" x14ac:dyDescent="0.2">
      <c r="B22" s="9" t="s">
        <v>3</v>
      </c>
      <c r="C22" s="94">
        <f>E3*D5</f>
        <v>42.434999999999995</v>
      </c>
      <c r="D22" s="9" t="s">
        <v>12</v>
      </c>
    </row>
    <row r="23" spans="2:4" x14ac:dyDescent="0.2">
      <c r="B23" s="9" t="s">
        <v>4</v>
      </c>
      <c r="C23" s="94">
        <f>E3*D6</f>
        <v>42.434999999999995</v>
      </c>
      <c r="D23" s="9" t="s">
        <v>12</v>
      </c>
    </row>
    <row r="24" spans="2:4" x14ac:dyDescent="0.2">
      <c r="B24" s="9" t="s">
        <v>6</v>
      </c>
      <c r="C24" s="94">
        <f>E3*D8</f>
        <v>3.1049999999999995</v>
      </c>
      <c r="D24" s="9" t="s">
        <v>12</v>
      </c>
    </row>
    <row r="25" spans="2:4" x14ac:dyDescent="0.2">
      <c r="B25" s="9" t="s">
        <v>94</v>
      </c>
      <c r="C25" s="94">
        <f>D9*E3</f>
        <v>38.8125</v>
      </c>
      <c r="D25" s="9" t="s">
        <v>12</v>
      </c>
    </row>
    <row r="26" spans="2:4" x14ac:dyDescent="0.2">
      <c r="B26" s="9" t="s">
        <v>13</v>
      </c>
      <c r="C26" s="94">
        <f>D7*E3</f>
        <v>10</v>
      </c>
      <c r="D26" s="9" t="s">
        <v>12</v>
      </c>
    </row>
  </sheetData>
  <sheetProtection sheet="1" objects="1" scenarios="1" selectLockedCells="1"/>
  <mergeCells count="3">
    <mergeCell ref="B2:D2"/>
    <mergeCell ref="E3:E10"/>
    <mergeCell ref="B12:C12"/>
  </mergeCells>
  <pageMargins left="0" right="0" top="0" bottom="0" header="0" footer="0"/>
  <pageSetup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20"/>
  <sheetViews>
    <sheetView workbookViewId="0">
      <selection activeCell="C10" sqref="C10"/>
    </sheetView>
  </sheetViews>
  <sheetFormatPr defaultColWidth="9.14453125" defaultRowHeight="15" x14ac:dyDescent="0.2"/>
  <cols>
    <col min="1" max="1" width="9.14453125" style="18"/>
    <col min="2" max="2" width="28.78515625" style="18" bestFit="1" customWidth="1"/>
    <col min="3" max="3" width="8.875" style="18" bestFit="1" customWidth="1"/>
    <col min="4" max="4" width="9.28125" style="18" bestFit="1" customWidth="1"/>
    <col min="5" max="5" width="10.22265625" style="18" bestFit="1" customWidth="1"/>
    <col min="6" max="16384" width="9.14453125" style="18"/>
  </cols>
  <sheetData>
    <row r="1" spans="2:5" ht="15.75" thickBot="1" x14ac:dyDescent="0.25"/>
    <row r="2" spans="2:5" ht="15.75" thickBot="1" x14ac:dyDescent="0.25">
      <c r="B2" s="277" t="s">
        <v>15</v>
      </c>
      <c r="C2" s="278"/>
      <c r="D2" s="279"/>
      <c r="E2" s="20" t="s">
        <v>16</v>
      </c>
    </row>
    <row r="3" spans="2:5" ht="15.75" thickBot="1" x14ac:dyDescent="0.25">
      <c r="B3" s="21"/>
      <c r="C3" s="22" t="s">
        <v>92</v>
      </c>
      <c r="D3" s="95" t="s">
        <v>132</v>
      </c>
      <c r="E3" s="274">
        <f>ROUNDUP((C12/D6),1)</f>
        <v>0.5</v>
      </c>
    </row>
    <row r="4" spans="2:5" ht="27.75" x14ac:dyDescent="0.2">
      <c r="B4" s="256" t="s">
        <v>193</v>
      </c>
      <c r="C4" s="24">
        <v>1.75</v>
      </c>
      <c r="D4" s="96">
        <f>60*12/16*C4*1.15</f>
        <v>90.5625</v>
      </c>
      <c r="E4" s="275"/>
    </row>
    <row r="5" spans="2:5" ht="42" thickBot="1" x14ac:dyDescent="0.25">
      <c r="B5" s="83" t="s">
        <v>125</v>
      </c>
      <c r="C5" s="27">
        <v>0.7</v>
      </c>
      <c r="D5" s="97">
        <f>60*12/16*C5*1.15</f>
        <v>36.224999999999994</v>
      </c>
      <c r="E5" s="275"/>
    </row>
    <row r="6" spans="2:5" ht="15.75" thickBot="1" x14ac:dyDescent="0.25">
      <c r="B6" s="28" t="s">
        <v>17</v>
      </c>
      <c r="C6" s="29">
        <f>SUM(C4:C5)</f>
        <v>2.4500000000000002</v>
      </c>
      <c r="D6" s="98">
        <f>SUM(D4:D5)</f>
        <v>126.78749999999999</v>
      </c>
      <c r="E6" s="276"/>
    </row>
    <row r="8" spans="2:5" x14ac:dyDescent="0.2">
      <c r="B8" s="258" t="s">
        <v>133</v>
      </c>
      <c r="C8" s="258"/>
      <c r="D8" s="94">
        <f>ROUNDDOWN(250/D6,2)</f>
        <v>1.97</v>
      </c>
    </row>
    <row r="10" spans="2:5" x14ac:dyDescent="0.2">
      <c r="B10" s="18" t="s">
        <v>7</v>
      </c>
      <c r="C10" s="64">
        <v>30</v>
      </c>
    </row>
    <row r="12" spans="2:5" x14ac:dyDescent="0.2">
      <c r="B12" s="18" t="s">
        <v>8</v>
      </c>
      <c r="C12" s="99">
        <f>((C10*12*C6/16)*1.15)-C13</f>
        <v>63.393750000000004</v>
      </c>
    </row>
    <row r="13" spans="2:5" x14ac:dyDescent="0.2">
      <c r="B13" s="18" t="s">
        <v>9</v>
      </c>
      <c r="C13" s="64">
        <v>0</v>
      </c>
    </row>
    <row r="14" spans="2:5" x14ac:dyDescent="0.2">
      <c r="B14" s="18" t="s">
        <v>10</v>
      </c>
      <c r="C14" s="99">
        <f>D6*E3</f>
        <v>63.393749999999997</v>
      </c>
    </row>
    <row r="16" spans="2:5" x14ac:dyDescent="0.2">
      <c r="B16" s="18" t="s">
        <v>11</v>
      </c>
    </row>
    <row r="17" spans="2:5" ht="27.75" x14ac:dyDescent="0.2">
      <c r="B17" s="257" t="s">
        <v>193</v>
      </c>
      <c r="C17" s="99">
        <f>E3*D4</f>
        <v>45.28125</v>
      </c>
      <c r="D17" s="18" t="s">
        <v>12</v>
      </c>
    </row>
    <row r="18" spans="2:5" x14ac:dyDescent="0.2">
      <c r="B18" s="18" t="s">
        <v>97</v>
      </c>
      <c r="C18" s="99">
        <f>E3*D5</f>
        <v>18.112499999999997</v>
      </c>
      <c r="D18" s="18" t="s">
        <v>12</v>
      </c>
    </row>
    <row r="20" spans="2:5" x14ac:dyDescent="0.2">
      <c r="B20" s="280" t="s">
        <v>192</v>
      </c>
      <c r="C20" s="280"/>
      <c r="D20" s="280"/>
      <c r="E20" s="280"/>
    </row>
  </sheetData>
  <sheetProtection sheet="1" objects="1" scenarios="1" selectLockedCells="1"/>
  <mergeCells count="4">
    <mergeCell ref="E3:E6"/>
    <mergeCell ref="B2:D2"/>
    <mergeCell ref="B8:C8"/>
    <mergeCell ref="B20:E20"/>
  </mergeCells>
  <pageMargins left="0" right="0" top="0" bottom="0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1E31C-8A77-4C4A-A855-F79269E53686}">
  <dimension ref="B1:I12"/>
  <sheetViews>
    <sheetView workbookViewId="0">
      <selection activeCell="C7" sqref="C7"/>
    </sheetView>
  </sheetViews>
  <sheetFormatPr defaultColWidth="9.14453125" defaultRowHeight="15" x14ac:dyDescent="0.2"/>
  <cols>
    <col min="1" max="1" width="9.14453125" style="9"/>
    <col min="2" max="2" width="28.65234375" style="9" bestFit="1" customWidth="1"/>
    <col min="3" max="3" width="8.875" style="9" bestFit="1" customWidth="1"/>
    <col min="4" max="4" width="8.609375" style="9" bestFit="1" customWidth="1"/>
    <col min="5" max="5" width="4.83984375" style="9" bestFit="1" customWidth="1"/>
    <col min="6" max="6" width="19.7734375" style="9" customWidth="1"/>
    <col min="7" max="7" width="8.875" style="9" bestFit="1" customWidth="1"/>
    <col min="8" max="8" width="8.203125" style="9" bestFit="1" customWidth="1"/>
    <col min="9" max="9" width="13.1796875" style="9" bestFit="1" customWidth="1"/>
    <col min="10" max="10" width="9.14453125" style="9" customWidth="1"/>
    <col min="11" max="16384" width="9.14453125" style="9"/>
  </cols>
  <sheetData>
    <row r="1" spans="2:9" ht="15.75" thickBot="1" x14ac:dyDescent="0.25"/>
    <row r="2" spans="2:9" ht="15.75" thickBot="1" x14ac:dyDescent="0.25">
      <c r="B2" s="281" t="s">
        <v>135</v>
      </c>
      <c r="C2" s="282"/>
      <c r="D2" s="283"/>
      <c r="F2" s="284" t="s">
        <v>172</v>
      </c>
      <c r="G2" s="285"/>
      <c r="H2" s="285"/>
      <c r="I2" s="286"/>
    </row>
    <row r="3" spans="2:9" ht="15.75" thickBot="1" x14ac:dyDescent="0.25">
      <c r="B3" s="36"/>
      <c r="C3" s="37" t="s">
        <v>92</v>
      </c>
      <c r="D3" s="105" t="s">
        <v>96</v>
      </c>
      <c r="F3" s="220"/>
      <c r="G3" s="221" t="s">
        <v>92</v>
      </c>
      <c r="H3" s="222" t="s">
        <v>96</v>
      </c>
      <c r="I3" s="12" t="s">
        <v>171</v>
      </c>
    </row>
    <row r="4" spans="2:9" ht="28.5" thickBot="1" x14ac:dyDescent="0.25">
      <c r="B4" s="116" t="s">
        <v>139</v>
      </c>
      <c r="C4" s="12">
        <v>2</v>
      </c>
      <c r="D4" s="108">
        <f>48*12/16*C4*1.15</f>
        <v>82.8</v>
      </c>
      <c r="F4" s="107" t="s">
        <v>134</v>
      </c>
      <c r="G4" s="12">
        <v>2</v>
      </c>
      <c r="H4" s="108">
        <f>48*12/16*G4*1.25</f>
        <v>90</v>
      </c>
      <c r="I4" s="12">
        <f>C7*12*G4/16*1.25</f>
        <v>90</v>
      </c>
    </row>
    <row r="7" spans="2:9" x14ac:dyDescent="0.2">
      <c r="B7" s="9" t="s">
        <v>20</v>
      </c>
      <c r="C7" s="78">
        <v>48</v>
      </c>
    </row>
    <row r="9" spans="2:9" s="18" customFormat="1" x14ac:dyDescent="0.2">
      <c r="B9" s="18" t="s">
        <v>46</v>
      </c>
    </row>
    <row r="10" spans="2:9" s="18" customFormat="1" x14ac:dyDescent="0.2">
      <c r="B10" s="117" t="s">
        <v>140</v>
      </c>
      <c r="C10" s="64">
        <v>0</v>
      </c>
    </row>
    <row r="11" spans="2:9" s="18" customFormat="1" x14ac:dyDescent="0.2">
      <c r="B11" s="106" t="s">
        <v>136</v>
      </c>
      <c r="C11" s="99">
        <f>C12/3.5*6</f>
        <v>154.28571428571428</v>
      </c>
      <c r="D11" s="99">
        <f>C11/6</f>
        <v>25.714285714285712</v>
      </c>
      <c r="E11" s="18" t="s">
        <v>118</v>
      </c>
    </row>
    <row r="12" spans="2:9" s="18" customFormat="1" x14ac:dyDescent="0.2">
      <c r="B12" s="106" t="s">
        <v>137</v>
      </c>
      <c r="C12" s="99">
        <f>(C7*12*C4/16*1.25)-C10</f>
        <v>90</v>
      </c>
    </row>
  </sheetData>
  <sheetProtection sheet="1" objects="1" scenarios="1" selectLockedCells="1"/>
  <mergeCells count="2">
    <mergeCell ref="B2:D2"/>
    <mergeCell ref="F2:I2"/>
  </mergeCells>
  <pageMargins left="0" right="0" top="0" bottom="0" header="0" footer="0"/>
  <pageSetup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22CFD-BD86-4574-9773-81B33778166C}">
  <dimension ref="B1:E24"/>
  <sheetViews>
    <sheetView workbookViewId="0">
      <selection activeCell="C16" sqref="C16"/>
    </sheetView>
  </sheetViews>
  <sheetFormatPr defaultColWidth="14.390625" defaultRowHeight="15" x14ac:dyDescent="0.2"/>
  <cols>
    <col min="1" max="1" width="4.3046875" style="9" customWidth="1"/>
    <col min="2" max="2" width="29.0546875" style="9" bestFit="1" customWidth="1"/>
    <col min="3" max="3" width="8.875" style="9" bestFit="1" customWidth="1"/>
    <col min="4" max="4" width="9.28125" style="9" bestFit="1" customWidth="1"/>
    <col min="5" max="5" width="10.76171875" style="9" bestFit="1" customWidth="1"/>
    <col min="6" max="27" width="9.14453125" style="9" customWidth="1"/>
    <col min="28" max="16384" width="14.390625" style="9"/>
  </cols>
  <sheetData>
    <row r="1" spans="2:5" ht="15.75" thickBot="1" x14ac:dyDescent="0.25"/>
    <row r="2" spans="2:5" ht="15.75" thickBot="1" x14ac:dyDescent="0.25">
      <c r="B2" s="287" t="s">
        <v>98</v>
      </c>
      <c r="C2" s="288"/>
      <c r="D2" s="289"/>
      <c r="E2" s="30" t="s">
        <v>0</v>
      </c>
    </row>
    <row r="3" spans="2:5" ht="15.75" thickBot="1" x14ac:dyDescent="0.25">
      <c r="B3" s="10"/>
      <c r="C3" s="10" t="s">
        <v>92</v>
      </c>
      <c r="D3" s="100" t="s">
        <v>132</v>
      </c>
      <c r="E3" s="290">
        <f>ROUNDUP((C15/D9),1)</f>
        <v>1</v>
      </c>
    </row>
    <row r="4" spans="2:5" x14ac:dyDescent="0.2">
      <c r="B4" s="85" t="s">
        <v>126</v>
      </c>
      <c r="C4" s="31">
        <v>0.75</v>
      </c>
      <c r="D4" s="101">
        <f>48*12/16*C4*1.15</f>
        <v>31.049999999999997</v>
      </c>
      <c r="E4" s="291"/>
    </row>
    <row r="5" spans="2:5" x14ac:dyDescent="0.2">
      <c r="B5" s="86" t="s">
        <v>127</v>
      </c>
      <c r="C5" s="110">
        <v>0.75</v>
      </c>
      <c r="D5" s="102">
        <f>48*12/16*C5*1.15</f>
        <v>31.049999999999997</v>
      </c>
      <c r="E5" s="291"/>
    </row>
    <row r="6" spans="2:5" x14ac:dyDescent="0.2">
      <c r="B6" s="32" t="s">
        <v>13</v>
      </c>
      <c r="C6" s="110"/>
      <c r="D6" s="102">
        <v>10</v>
      </c>
      <c r="E6" s="291"/>
    </row>
    <row r="7" spans="2:5" x14ac:dyDescent="0.2">
      <c r="B7" s="86" t="s">
        <v>128</v>
      </c>
      <c r="C7" s="110">
        <v>0.75</v>
      </c>
      <c r="D7" s="102">
        <f>48*12/16*C7*1.15</f>
        <v>31.049999999999997</v>
      </c>
      <c r="E7" s="291"/>
    </row>
    <row r="8" spans="2:5" ht="15.75" thickBot="1" x14ac:dyDescent="0.25">
      <c r="B8" s="87" t="s">
        <v>129</v>
      </c>
      <c r="C8" s="33">
        <v>0.75</v>
      </c>
      <c r="D8" s="103">
        <f>48*12/16*C8*1.15</f>
        <v>31.049999999999997</v>
      </c>
      <c r="E8" s="291"/>
    </row>
    <row r="9" spans="2:5" ht="15.75" thickBot="1" x14ac:dyDescent="0.25">
      <c r="B9" s="34" t="s">
        <v>17</v>
      </c>
      <c r="C9" s="17">
        <f>SUM(C4:C8)</f>
        <v>3</v>
      </c>
      <c r="D9" s="104">
        <f>SUM(D4,D5,D7,D8)</f>
        <v>124.19999999999999</v>
      </c>
      <c r="E9" s="292"/>
    </row>
    <row r="11" spans="2:5" x14ac:dyDescent="0.2">
      <c r="B11" s="258" t="s">
        <v>133</v>
      </c>
      <c r="C11" s="258"/>
      <c r="D11" s="94">
        <f>ROUNDDOWN(250/D9,2)</f>
        <v>2.0099999999999998</v>
      </c>
    </row>
    <row r="13" spans="2:5" x14ac:dyDescent="0.2">
      <c r="B13" s="9" t="s">
        <v>29</v>
      </c>
      <c r="C13" s="78">
        <v>48</v>
      </c>
    </row>
    <row r="15" spans="2:5" x14ac:dyDescent="0.2">
      <c r="B15" s="9" t="s">
        <v>8</v>
      </c>
      <c r="C15" s="94">
        <f>((C13*12*C9/16)*1.15)-C16</f>
        <v>124.19999999999999</v>
      </c>
    </row>
    <row r="16" spans="2:5" x14ac:dyDescent="0.2">
      <c r="B16" s="9" t="s">
        <v>9</v>
      </c>
      <c r="C16" s="78">
        <v>0</v>
      </c>
    </row>
    <row r="17" spans="2:4" x14ac:dyDescent="0.2">
      <c r="B17" s="9" t="s">
        <v>10</v>
      </c>
      <c r="C17" s="94">
        <f>E3*D9</f>
        <v>124.19999999999999</v>
      </c>
    </row>
    <row r="19" spans="2:4" x14ac:dyDescent="0.2">
      <c r="B19" s="9" t="s">
        <v>11</v>
      </c>
    </row>
    <row r="20" spans="2:4" x14ac:dyDescent="0.2">
      <c r="B20" s="9" t="s">
        <v>61</v>
      </c>
      <c r="C20" s="94">
        <f>E3*D4</f>
        <v>31.049999999999997</v>
      </c>
      <c r="D20" s="9" t="s">
        <v>12</v>
      </c>
    </row>
    <row r="21" spans="2:4" x14ac:dyDescent="0.2">
      <c r="B21" s="9" t="s">
        <v>22</v>
      </c>
      <c r="C21" s="94">
        <f>E3*D5</f>
        <v>31.049999999999997</v>
      </c>
      <c r="D21" s="9" t="s">
        <v>12</v>
      </c>
    </row>
    <row r="22" spans="2:4" x14ac:dyDescent="0.2">
      <c r="B22" s="9" t="s">
        <v>23</v>
      </c>
      <c r="C22" s="94">
        <f>E3*D7</f>
        <v>31.049999999999997</v>
      </c>
      <c r="D22" s="9" t="s">
        <v>12</v>
      </c>
    </row>
    <row r="23" spans="2:4" x14ac:dyDescent="0.2">
      <c r="B23" s="9" t="s">
        <v>24</v>
      </c>
      <c r="C23" s="94">
        <f>E3*D8</f>
        <v>31.049999999999997</v>
      </c>
      <c r="D23" s="9" t="s">
        <v>12</v>
      </c>
    </row>
    <row r="24" spans="2:4" x14ac:dyDescent="0.2">
      <c r="B24" s="9" t="s">
        <v>13</v>
      </c>
      <c r="C24" s="94">
        <f>D6*E3</f>
        <v>10</v>
      </c>
      <c r="D24" s="9" t="s">
        <v>12</v>
      </c>
    </row>
  </sheetData>
  <sheetProtection sheet="1" objects="1" scenarios="1" selectLockedCells="1"/>
  <mergeCells count="3">
    <mergeCell ref="B2:D2"/>
    <mergeCell ref="E3:E9"/>
    <mergeCell ref="B11:C11"/>
  </mergeCells>
  <pageMargins left="0" right="0" top="0" bottom="0" header="0" footer="0"/>
  <pageSetup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B427E-A50B-4A38-8319-5AD2B103AB69}">
  <dimension ref="B1:E18"/>
  <sheetViews>
    <sheetView workbookViewId="0">
      <selection activeCell="C13" sqref="C13"/>
    </sheetView>
  </sheetViews>
  <sheetFormatPr defaultColWidth="14.390625" defaultRowHeight="15" x14ac:dyDescent="0.2"/>
  <cols>
    <col min="1" max="1" width="9.14453125" style="18" customWidth="1"/>
    <col min="2" max="2" width="27.7109375" style="18" bestFit="1" customWidth="1"/>
    <col min="3" max="3" width="8.875" style="18" bestFit="1" customWidth="1"/>
    <col min="4" max="4" width="9.28125" style="18" bestFit="1" customWidth="1"/>
    <col min="5" max="5" width="10.76171875" style="18" bestFit="1" customWidth="1"/>
    <col min="6" max="27" width="9.14453125" style="18" customWidth="1"/>
    <col min="28" max="16384" width="14.390625" style="18"/>
  </cols>
  <sheetData>
    <row r="1" spans="2:5" ht="15.75" thickBot="1" x14ac:dyDescent="0.25"/>
    <row r="2" spans="2:5" ht="15.75" thickBot="1" x14ac:dyDescent="0.25">
      <c r="B2" s="293" t="s">
        <v>131</v>
      </c>
      <c r="C2" s="294"/>
      <c r="D2" s="295"/>
      <c r="E2" s="38" t="s">
        <v>0</v>
      </c>
    </row>
    <row r="3" spans="2:5" ht="15.75" thickBot="1" x14ac:dyDescent="0.25">
      <c r="B3" s="38"/>
      <c r="C3" s="38" t="s">
        <v>92</v>
      </c>
      <c r="D3" s="119" t="s">
        <v>132</v>
      </c>
      <c r="E3" s="296">
        <f>ROUNDUP(C12/D6,1)</f>
        <v>2</v>
      </c>
    </row>
    <row r="4" spans="2:5" ht="41.25" x14ac:dyDescent="0.2">
      <c r="B4" s="88" t="s">
        <v>130</v>
      </c>
      <c r="C4" s="50">
        <v>2.98</v>
      </c>
      <c r="D4" s="120">
        <f>48*12*C4/16*1.15</f>
        <v>123.37199999999999</v>
      </c>
      <c r="E4" s="297"/>
    </row>
    <row r="5" spans="2:5" ht="15.75" thickBot="1" x14ac:dyDescent="0.25">
      <c r="B5" s="87" t="s">
        <v>35</v>
      </c>
      <c r="C5" s="52">
        <v>0.02</v>
      </c>
      <c r="D5" s="114">
        <f>48*12*C5/16*1.15</f>
        <v>0.82799999999999996</v>
      </c>
      <c r="E5" s="297"/>
    </row>
    <row r="6" spans="2:5" ht="15.75" thickBot="1" x14ac:dyDescent="0.25">
      <c r="B6" s="54" t="s">
        <v>17</v>
      </c>
      <c r="C6" s="54">
        <f>SUM(C4:C5)</f>
        <v>3</v>
      </c>
      <c r="D6" s="121">
        <f>SUM(D4:D5)</f>
        <v>124.19999999999999</v>
      </c>
      <c r="E6" s="298"/>
    </row>
    <row r="8" spans="2:5" x14ac:dyDescent="0.2">
      <c r="B8" s="258" t="s">
        <v>133</v>
      </c>
      <c r="C8" s="258"/>
      <c r="D8" s="94">
        <f>ROUNDDOWN(250/D6,2)</f>
        <v>2.0099999999999998</v>
      </c>
    </row>
    <row r="10" spans="2:5" x14ac:dyDescent="0.2">
      <c r="B10" s="18" t="s">
        <v>29</v>
      </c>
      <c r="C10" s="64">
        <v>96</v>
      </c>
    </row>
    <row r="12" spans="2:5" x14ac:dyDescent="0.2">
      <c r="B12" s="18" t="s">
        <v>8</v>
      </c>
      <c r="C12" s="99">
        <f>((C10*12*C6/16)*1.15)-C13</f>
        <v>248.39999999999998</v>
      </c>
    </row>
    <row r="13" spans="2:5" x14ac:dyDescent="0.2">
      <c r="B13" s="18" t="s">
        <v>9</v>
      </c>
      <c r="C13" s="64">
        <v>0</v>
      </c>
    </row>
    <row r="14" spans="2:5" x14ac:dyDescent="0.2">
      <c r="B14" s="18" t="s">
        <v>10</v>
      </c>
      <c r="C14" s="99">
        <f>D6*E3</f>
        <v>248.39999999999998</v>
      </c>
    </row>
    <row r="16" spans="2:5" x14ac:dyDescent="0.2">
      <c r="B16" s="18" t="s">
        <v>11</v>
      </c>
    </row>
    <row r="17" spans="2:4" ht="41.25" x14ac:dyDescent="0.2">
      <c r="B17" s="84" t="s">
        <v>130</v>
      </c>
      <c r="C17" s="99">
        <f>E3*D4</f>
        <v>246.74399999999997</v>
      </c>
      <c r="D17" s="18" t="s">
        <v>12</v>
      </c>
    </row>
    <row r="18" spans="2:4" x14ac:dyDescent="0.2">
      <c r="B18" s="89" t="s">
        <v>35</v>
      </c>
      <c r="C18" s="99">
        <f>E3*D5</f>
        <v>1.6559999999999999</v>
      </c>
      <c r="D18" s="18" t="s">
        <v>12</v>
      </c>
    </row>
  </sheetData>
  <sheetProtection sheet="1" objects="1" scenarios="1" selectLockedCells="1"/>
  <mergeCells count="3">
    <mergeCell ref="B2:D2"/>
    <mergeCell ref="E3:E6"/>
    <mergeCell ref="B8:C8"/>
  </mergeCells>
  <pageMargins left="0" right="0" top="0" bottom="0" header="0" footer="0"/>
  <pageSetup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D1AE9-1581-4222-9530-08643EE6A7E4}">
  <dimension ref="B1:D12"/>
  <sheetViews>
    <sheetView workbookViewId="0">
      <selection activeCell="C6" sqref="C6"/>
    </sheetView>
  </sheetViews>
  <sheetFormatPr defaultColWidth="14.390625" defaultRowHeight="15" x14ac:dyDescent="0.2"/>
  <cols>
    <col min="1" max="1" width="3.765625" style="18" customWidth="1"/>
    <col min="2" max="2" width="27.7109375" style="18" bestFit="1" customWidth="1"/>
    <col min="3" max="3" width="8.875" style="18" bestFit="1" customWidth="1"/>
    <col min="4" max="4" width="11.703125" style="18" bestFit="1" customWidth="1"/>
    <col min="5" max="26" width="9.14453125" style="18" customWidth="1"/>
    <col min="27" max="16384" width="14.390625" style="18"/>
  </cols>
  <sheetData>
    <row r="1" spans="2:4" ht="15.75" thickBot="1" x14ac:dyDescent="0.25"/>
    <row r="2" spans="2:4" ht="15.75" thickBot="1" x14ac:dyDescent="0.25">
      <c r="B2" s="299" t="s">
        <v>100</v>
      </c>
      <c r="C2" s="300"/>
      <c r="D2" s="301"/>
    </row>
    <row r="3" spans="2:4" ht="15.75" thickBot="1" x14ac:dyDescent="0.25">
      <c r="B3" s="21"/>
      <c r="C3" s="22" t="s">
        <v>92</v>
      </c>
      <c r="D3" s="39" t="s">
        <v>96</v>
      </c>
    </row>
    <row r="4" spans="2:4" ht="15.75" thickBot="1" x14ac:dyDescent="0.25">
      <c r="B4" s="40" t="s">
        <v>99</v>
      </c>
      <c r="C4" s="148">
        <v>1.75</v>
      </c>
      <c r="D4" s="149">
        <f>C6*12/16*C4*1.15</f>
        <v>72.449999999999989</v>
      </c>
    </row>
    <row r="6" spans="2:4" x14ac:dyDescent="0.2">
      <c r="B6" s="18" t="s">
        <v>20</v>
      </c>
      <c r="C6" s="64">
        <v>48</v>
      </c>
    </row>
    <row r="8" spans="2:4" x14ac:dyDescent="0.2">
      <c r="B8" s="106" t="s">
        <v>138</v>
      </c>
      <c r="C8" s="64">
        <v>0</v>
      </c>
    </row>
    <row r="10" spans="2:4" x14ac:dyDescent="0.2">
      <c r="B10" s="18" t="s">
        <v>11</v>
      </c>
    </row>
    <row r="11" spans="2:4" x14ac:dyDescent="0.2">
      <c r="B11" s="18" t="s">
        <v>99</v>
      </c>
      <c r="C11" s="99">
        <f>C12+(C12/25*3)</f>
        <v>88.2</v>
      </c>
      <c r="D11" s="18" t="s">
        <v>103</v>
      </c>
    </row>
    <row r="12" spans="2:4" x14ac:dyDescent="0.2">
      <c r="C12" s="99">
        <f>((C6*12*C4/16)*1.25)-C8</f>
        <v>78.75</v>
      </c>
      <c r="D12" s="18" t="s">
        <v>101</v>
      </c>
    </row>
  </sheetData>
  <sheetProtection sheet="1" objects="1" scenarios="1" selectLockedCells="1"/>
  <mergeCells count="1">
    <mergeCell ref="B2:D2"/>
  </mergeCells>
  <pageMargins left="0" right="0" top="0" bottom="0" header="0" footer="0"/>
  <pageSetup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295A2-5083-4FA6-B52B-04A1A8BCBE0A}">
  <dimension ref="B1:E20"/>
  <sheetViews>
    <sheetView workbookViewId="0">
      <selection activeCell="C14" sqref="C14"/>
    </sheetView>
  </sheetViews>
  <sheetFormatPr defaultColWidth="14.390625" defaultRowHeight="15" x14ac:dyDescent="0.2"/>
  <cols>
    <col min="1" max="1" width="3.765625" style="18" customWidth="1"/>
    <col min="2" max="2" width="28.3828125" style="18" bestFit="1" customWidth="1"/>
    <col min="3" max="3" width="8.875" style="18" bestFit="1" customWidth="1"/>
    <col min="4" max="4" width="9.28125" style="18" bestFit="1" customWidth="1"/>
    <col min="5" max="5" width="10.76171875" style="18" bestFit="1" customWidth="1"/>
    <col min="6" max="7" width="9.14453125" style="18" customWidth="1"/>
    <col min="8" max="16384" width="14.390625" style="18"/>
  </cols>
  <sheetData>
    <row r="1" spans="2:5" ht="15.75" thickBot="1" x14ac:dyDescent="0.25"/>
    <row r="2" spans="2:5" ht="15.75" thickBot="1" x14ac:dyDescent="0.25">
      <c r="B2" s="299" t="s">
        <v>105</v>
      </c>
      <c r="C2" s="300"/>
      <c r="D2" s="301"/>
      <c r="E2" s="38" t="s">
        <v>0</v>
      </c>
    </row>
    <row r="3" spans="2:5" ht="15.75" thickBot="1" x14ac:dyDescent="0.25">
      <c r="B3" s="43"/>
      <c r="C3" s="22" t="s">
        <v>92</v>
      </c>
      <c r="D3" s="118" t="s">
        <v>132</v>
      </c>
      <c r="E3" s="274">
        <f>ROUNDUP((C13/D7),1)</f>
        <v>8</v>
      </c>
    </row>
    <row r="4" spans="2:5" x14ac:dyDescent="0.2">
      <c r="B4" s="24" t="s">
        <v>21</v>
      </c>
      <c r="C4" s="145">
        <v>0.7</v>
      </c>
      <c r="D4" s="112">
        <f>48*12/16*C4*1.15</f>
        <v>28.979999999999997</v>
      </c>
      <c r="E4" s="297"/>
    </row>
    <row r="5" spans="2:5" x14ac:dyDescent="0.2">
      <c r="B5" s="44" t="s">
        <v>22</v>
      </c>
      <c r="C5" s="146">
        <v>1</v>
      </c>
      <c r="D5" s="113">
        <f>48*12/16*C5*1.15</f>
        <v>41.4</v>
      </c>
      <c r="E5" s="297"/>
    </row>
    <row r="6" spans="2:5" ht="15.75" thickBot="1" x14ac:dyDescent="0.25">
      <c r="B6" s="44" t="s">
        <v>104</v>
      </c>
      <c r="C6" s="146">
        <v>1</v>
      </c>
      <c r="D6" s="113">
        <f>48*12/16*C6*1.15</f>
        <v>41.4</v>
      </c>
      <c r="E6" s="297"/>
    </row>
    <row r="7" spans="2:5" ht="15.75" thickBot="1" x14ac:dyDescent="0.25">
      <c r="B7" s="46" t="s">
        <v>17</v>
      </c>
      <c r="C7" s="147">
        <f>SUM(C4:C6)</f>
        <v>2.7</v>
      </c>
      <c r="D7" s="115">
        <f>SUM(D4:D6)</f>
        <v>111.78</v>
      </c>
      <c r="E7" s="298"/>
    </row>
    <row r="9" spans="2:5" x14ac:dyDescent="0.2">
      <c r="B9" s="258" t="s">
        <v>133</v>
      </c>
      <c r="C9" s="258"/>
      <c r="D9" s="94">
        <f>ROUNDDOWN(250/D7,2)</f>
        <v>2.23</v>
      </c>
    </row>
    <row r="11" spans="2:5" x14ac:dyDescent="0.2">
      <c r="B11" s="18" t="s">
        <v>25</v>
      </c>
      <c r="C11" s="64">
        <v>425</v>
      </c>
    </row>
    <row r="13" spans="2:5" x14ac:dyDescent="0.2">
      <c r="B13" s="18" t="s">
        <v>8</v>
      </c>
      <c r="C13" s="99">
        <f>((C11*12*C7/16)*1.15)-C14</f>
        <v>889.71874999999989</v>
      </c>
    </row>
    <row r="14" spans="2:5" x14ac:dyDescent="0.2">
      <c r="B14" s="18" t="s">
        <v>9</v>
      </c>
      <c r="C14" s="64">
        <v>100</v>
      </c>
    </row>
    <row r="15" spans="2:5" x14ac:dyDescent="0.2">
      <c r="B15" s="18" t="s">
        <v>10</v>
      </c>
      <c r="C15" s="99">
        <f>D7*E3</f>
        <v>894.24</v>
      </c>
    </row>
    <row r="17" spans="2:4" x14ac:dyDescent="0.2">
      <c r="B17" s="18" t="s">
        <v>11</v>
      </c>
    </row>
    <row r="18" spans="2:4" x14ac:dyDescent="0.2">
      <c r="B18" s="18" t="s">
        <v>21</v>
      </c>
      <c r="C18" s="99">
        <f>E3*D4</f>
        <v>231.83999999999997</v>
      </c>
      <c r="D18" s="18" t="s">
        <v>12</v>
      </c>
    </row>
    <row r="19" spans="2:4" x14ac:dyDescent="0.2">
      <c r="B19" s="18" t="s">
        <v>22</v>
      </c>
      <c r="C19" s="99">
        <f>E3*D5</f>
        <v>331.2</v>
      </c>
      <c r="D19" s="18" t="s">
        <v>12</v>
      </c>
    </row>
    <row r="20" spans="2:4" x14ac:dyDescent="0.2">
      <c r="B20" s="18" t="s">
        <v>104</v>
      </c>
      <c r="C20" s="99">
        <f>E3*D6</f>
        <v>331.2</v>
      </c>
      <c r="D20" s="18" t="s">
        <v>12</v>
      </c>
    </row>
  </sheetData>
  <sheetProtection sheet="1" objects="1" scenarios="1" selectLockedCells="1"/>
  <mergeCells count="3">
    <mergeCell ref="B2:D2"/>
    <mergeCell ref="E3:E7"/>
    <mergeCell ref="B9:C9"/>
  </mergeCells>
  <pageMargins left="0" right="0" top="0" bottom="0" header="0" footer="0"/>
  <pageSetup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12DA7-B7F2-4951-80AE-FA4A204A3C0E}">
  <dimension ref="B1:E11"/>
  <sheetViews>
    <sheetView workbookViewId="0">
      <selection activeCell="C8" sqref="C8"/>
    </sheetView>
  </sheetViews>
  <sheetFormatPr defaultColWidth="9.14453125" defaultRowHeight="15" x14ac:dyDescent="0.2"/>
  <cols>
    <col min="1" max="1" width="9.14453125" style="9"/>
    <col min="2" max="2" width="18.6953125" style="9" bestFit="1" customWidth="1"/>
    <col min="3" max="3" width="8.875" style="9" bestFit="1" customWidth="1"/>
    <col min="4" max="4" width="8.203125" style="9" bestFit="1" customWidth="1"/>
    <col min="5" max="5" width="13.1796875" style="9" bestFit="1" customWidth="1"/>
    <col min="6" max="16384" width="9.14453125" style="9"/>
  </cols>
  <sheetData>
    <row r="1" spans="2:5" ht="15.75" thickBot="1" x14ac:dyDescent="0.25"/>
    <row r="2" spans="2:5" ht="15.75" thickBot="1" x14ac:dyDescent="0.25">
      <c r="B2" s="302" t="s">
        <v>142</v>
      </c>
      <c r="C2" s="303"/>
      <c r="D2" s="303"/>
      <c r="E2" s="304"/>
    </row>
    <row r="3" spans="2:5" ht="15.75" thickBot="1" x14ac:dyDescent="0.25">
      <c r="B3" s="220"/>
      <c r="C3" s="223" t="s">
        <v>92</v>
      </c>
      <c r="D3" s="222" t="s">
        <v>96</v>
      </c>
      <c r="E3" s="12" t="s">
        <v>171</v>
      </c>
    </row>
    <row r="4" spans="2:5" ht="15.75" thickBot="1" x14ac:dyDescent="0.25">
      <c r="B4" s="35" t="s">
        <v>141</v>
      </c>
      <c r="C4" s="35">
        <v>4</v>
      </c>
      <c r="D4" s="218">
        <f>48*12/16*C4*1.25</f>
        <v>180</v>
      </c>
      <c r="E4" s="12" t="str">
        <f>ROUNDUP(((((C6*12*C4/16)*1.25))/82),0)&amp; " Buckets"</f>
        <v>3 Buckets</v>
      </c>
    </row>
    <row r="6" spans="2:5" x14ac:dyDescent="0.2">
      <c r="B6" s="9" t="s">
        <v>20</v>
      </c>
      <c r="C6" s="78">
        <v>48</v>
      </c>
    </row>
    <row r="8" spans="2:5" x14ac:dyDescent="0.2">
      <c r="C8" s="78"/>
    </row>
    <row r="11" spans="2:5" x14ac:dyDescent="0.2">
      <c r="C11" s="94"/>
    </row>
  </sheetData>
  <sheetProtection sheet="1" objects="1" scenarios="1" selectLockedCells="1"/>
  <mergeCells count="1">
    <mergeCell ref="B2:E2"/>
  </mergeCells>
  <pageMargins left="0" right="0" top="0" bottom="0" header="0" footer="0"/>
  <pageSetup orientation="landscape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1"/>
  <sheetViews>
    <sheetView workbookViewId="0">
      <selection sqref="A1:XFD1048576"/>
    </sheetView>
  </sheetViews>
  <sheetFormatPr defaultColWidth="14.390625" defaultRowHeight="15" x14ac:dyDescent="0.2"/>
  <cols>
    <col min="1" max="1" width="3.765625" style="9" customWidth="1"/>
    <col min="2" max="2" width="27.7109375" style="9" bestFit="1" customWidth="1"/>
    <col min="3" max="3" width="8.875" style="9" bestFit="1" customWidth="1"/>
    <col min="4" max="4" width="17.21875" style="9" bestFit="1" customWidth="1"/>
    <col min="5" max="26" width="9.14453125" style="9" customWidth="1"/>
    <col min="27" max="16384" width="14.390625" style="9"/>
  </cols>
  <sheetData>
    <row r="1" spans="2:4" ht="15.75" thickBot="1" x14ac:dyDescent="0.25"/>
    <row r="2" spans="2:4" ht="15.75" thickBot="1" x14ac:dyDescent="0.25">
      <c r="B2" s="268" t="s">
        <v>18</v>
      </c>
      <c r="C2" s="269"/>
      <c r="D2" s="270"/>
    </row>
    <row r="3" spans="2:4" ht="15.75" thickBot="1" x14ac:dyDescent="0.25">
      <c r="B3" s="36"/>
      <c r="C3" s="37" t="s">
        <v>92</v>
      </c>
      <c r="D3" s="105" t="s">
        <v>96</v>
      </c>
    </row>
    <row r="4" spans="2:4" ht="15.75" thickBot="1" x14ac:dyDescent="0.25">
      <c r="B4" s="35" t="s">
        <v>19</v>
      </c>
      <c r="C4" s="35">
        <v>1.75</v>
      </c>
      <c r="D4" s="109">
        <f>48*12/16*C4*1.15</f>
        <v>72.449999999999989</v>
      </c>
    </row>
    <row r="6" spans="2:4" x14ac:dyDescent="0.2">
      <c r="B6" s="9" t="s">
        <v>20</v>
      </c>
      <c r="C6" s="78">
        <v>48</v>
      </c>
    </row>
    <row r="8" spans="2:4" x14ac:dyDescent="0.2">
      <c r="B8" s="9" t="s">
        <v>9</v>
      </c>
      <c r="C8" s="78">
        <v>0</v>
      </c>
    </row>
    <row r="10" spans="2:4" x14ac:dyDescent="0.2">
      <c r="B10" s="9" t="s">
        <v>11</v>
      </c>
    </row>
    <row r="11" spans="2:4" x14ac:dyDescent="0.2">
      <c r="B11" s="9" t="s">
        <v>19</v>
      </c>
      <c r="C11" s="94">
        <f>((C6*12*C4/16)*1.25)-C8</f>
        <v>78.75</v>
      </c>
      <c r="D11" s="9" t="s">
        <v>12</v>
      </c>
    </row>
  </sheetData>
  <sheetProtection selectLockedCells="1"/>
  <mergeCells count="1">
    <mergeCell ref="B2:D2"/>
  </mergeCells>
  <pageMargins left="0" right="0" top="0" bottom="0" header="0" footer="0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E22"/>
  <sheetViews>
    <sheetView zoomScaleNormal="100" workbookViewId="0">
      <selection activeCell="C12" sqref="C12"/>
    </sheetView>
  </sheetViews>
  <sheetFormatPr defaultColWidth="9.14453125" defaultRowHeight="15" x14ac:dyDescent="0.2"/>
  <cols>
    <col min="1" max="1" width="3.62890625" style="18" customWidth="1"/>
    <col min="2" max="2" width="29.0546875" style="18" bestFit="1" customWidth="1"/>
    <col min="3" max="3" width="8.875" style="18" bestFit="1" customWidth="1"/>
    <col min="4" max="4" width="9.28125" style="18" customWidth="1"/>
    <col min="5" max="5" width="10.76171875" style="18" bestFit="1" customWidth="1"/>
    <col min="6" max="16384" width="9.14453125" style="18"/>
  </cols>
  <sheetData>
    <row r="1" spans="2:5" ht="15.75" thickBot="1" x14ac:dyDescent="0.25"/>
    <row r="2" spans="2:5" ht="15.75" thickBot="1" x14ac:dyDescent="0.25">
      <c r="B2" s="299" t="s">
        <v>106</v>
      </c>
      <c r="C2" s="300"/>
      <c r="D2" s="301"/>
      <c r="E2" s="38" t="s">
        <v>0</v>
      </c>
    </row>
    <row r="3" spans="2:5" ht="15.75" thickBot="1" x14ac:dyDescent="0.25">
      <c r="B3" s="43"/>
      <c r="C3" s="22" t="s">
        <v>92</v>
      </c>
      <c r="D3" s="105" t="s">
        <v>132</v>
      </c>
      <c r="E3" s="274">
        <f>ROUNDUP((C14/D8),1)</f>
        <v>1</v>
      </c>
    </row>
    <row r="4" spans="2:5" x14ac:dyDescent="0.2">
      <c r="B4" s="24" t="s">
        <v>21</v>
      </c>
      <c r="C4" s="24">
        <v>0.56299999999999994</v>
      </c>
      <c r="D4" s="112">
        <f>48*12/16*C4*1.15</f>
        <v>23.308199999999996</v>
      </c>
      <c r="E4" s="297"/>
    </row>
    <row r="5" spans="2:5" x14ac:dyDescent="0.2">
      <c r="B5" s="44" t="s">
        <v>22</v>
      </c>
      <c r="C5" s="44">
        <v>0.56299999999999994</v>
      </c>
      <c r="D5" s="113">
        <f>48*12/16*C5*1.15</f>
        <v>23.308199999999996</v>
      </c>
      <c r="E5" s="297"/>
    </row>
    <row r="6" spans="2:5" x14ac:dyDescent="0.2">
      <c r="B6" s="44" t="s">
        <v>23</v>
      </c>
      <c r="C6" s="44">
        <v>0.56299999999999994</v>
      </c>
      <c r="D6" s="113">
        <f>48*12/16*C6*1.15</f>
        <v>23.308199999999996</v>
      </c>
      <c r="E6" s="297"/>
    </row>
    <row r="7" spans="2:5" x14ac:dyDescent="0.2">
      <c r="B7" s="51" t="s">
        <v>24</v>
      </c>
      <c r="C7" s="51">
        <v>0.56299999999999994</v>
      </c>
      <c r="D7" s="114">
        <f>48*12/16*C7*1.15</f>
        <v>23.308199999999996</v>
      </c>
      <c r="E7" s="297"/>
    </row>
    <row r="8" spans="2:5" x14ac:dyDescent="0.2">
      <c r="B8" s="46" t="s">
        <v>17</v>
      </c>
      <c r="C8" s="46">
        <f>SUM(C4:C7)</f>
        <v>2.2519999999999998</v>
      </c>
      <c r="D8" s="115">
        <f>SUM(D4:D7)</f>
        <v>93.232799999999983</v>
      </c>
      <c r="E8" s="298"/>
    </row>
    <row r="10" spans="2:5" x14ac:dyDescent="0.2">
      <c r="B10" s="258" t="s">
        <v>133</v>
      </c>
      <c r="C10" s="258"/>
      <c r="D10" s="94">
        <f>ROUNDDOWN(250/D8,2)</f>
        <v>2.68</v>
      </c>
    </row>
    <row r="12" spans="2:5" x14ac:dyDescent="0.2">
      <c r="B12" s="18" t="s">
        <v>25</v>
      </c>
      <c r="C12" s="64">
        <v>48</v>
      </c>
    </row>
    <row r="14" spans="2:5" x14ac:dyDescent="0.2">
      <c r="B14" s="18" t="s">
        <v>8</v>
      </c>
      <c r="C14" s="99">
        <f>((C12*12*C8/16)*1.15)-C15</f>
        <v>93.232799999999983</v>
      </c>
    </row>
    <row r="15" spans="2:5" x14ac:dyDescent="0.2">
      <c r="B15" s="18" t="s">
        <v>9</v>
      </c>
      <c r="C15" s="64">
        <v>0</v>
      </c>
    </row>
    <row r="16" spans="2:5" x14ac:dyDescent="0.2">
      <c r="B16" s="18" t="s">
        <v>10</v>
      </c>
      <c r="C16" s="99">
        <f>D8*E3</f>
        <v>93.232799999999983</v>
      </c>
    </row>
    <row r="18" spans="2:4" x14ac:dyDescent="0.2">
      <c r="B18" s="18" t="s">
        <v>11</v>
      </c>
    </row>
    <row r="19" spans="2:4" x14ac:dyDescent="0.2">
      <c r="B19" s="18" t="s">
        <v>21</v>
      </c>
      <c r="C19" s="99">
        <f>E3*D4</f>
        <v>23.308199999999996</v>
      </c>
      <c r="D19" s="18" t="s">
        <v>12</v>
      </c>
    </row>
    <row r="20" spans="2:4" x14ac:dyDescent="0.2">
      <c r="B20" s="18" t="s">
        <v>22</v>
      </c>
      <c r="C20" s="99">
        <f>E3*D5</f>
        <v>23.308199999999996</v>
      </c>
      <c r="D20" s="18" t="s">
        <v>12</v>
      </c>
    </row>
    <row r="21" spans="2:4" x14ac:dyDescent="0.2">
      <c r="B21" s="18" t="s">
        <v>23</v>
      </c>
      <c r="C21" s="99">
        <f>E3*D6</f>
        <v>23.308199999999996</v>
      </c>
      <c r="D21" s="18" t="s">
        <v>12</v>
      </c>
    </row>
    <row r="22" spans="2:4" x14ac:dyDescent="0.2">
      <c r="B22" s="18" t="s">
        <v>24</v>
      </c>
      <c r="C22" s="99">
        <f>E3*D7</f>
        <v>23.308199999999996</v>
      </c>
      <c r="D22" s="18" t="s">
        <v>12</v>
      </c>
    </row>
  </sheetData>
  <sheetProtection sheet="1" objects="1" scenarios="1" selectLockedCells="1"/>
  <mergeCells count="3">
    <mergeCell ref="B2:D2"/>
    <mergeCell ref="E3:E8"/>
    <mergeCell ref="B10:C10"/>
  </mergeCells>
  <pageMargins left="0" right="0" top="0" bottom="0" header="0" footer="0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1001"/>
  <sheetViews>
    <sheetView workbookViewId="0">
      <selection activeCell="C17" sqref="C17"/>
    </sheetView>
  </sheetViews>
  <sheetFormatPr defaultColWidth="14.390625" defaultRowHeight="15" customHeight="1" x14ac:dyDescent="0.2"/>
  <cols>
    <col min="1" max="1" width="6.58984375" customWidth="1"/>
    <col min="2" max="2" width="29.0546875" bestFit="1" customWidth="1"/>
    <col min="3" max="3" width="8.875" bestFit="1" customWidth="1"/>
    <col min="4" max="4" width="9.28125" bestFit="1" customWidth="1"/>
    <col min="5" max="5" width="10.76171875" bestFit="1" customWidth="1"/>
    <col min="6" max="6" width="4.3046875" customWidth="1"/>
    <col min="7" max="7" width="27.7109375" bestFit="1" customWidth="1"/>
    <col min="8" max="8" width="9.55078125" bestFit="1" customWidth="1"/>
    <col min="9" max="9" width="9.28125" bestFit="1" customWidth="1"/>
    <col min="10" max="10" width="10.76171875" bestFit="1" customWidth="1"/>
    <col min="11" max="28" width="9.14453125" customWidth="1"/>
  </cols>
  <sheetData>
    <row r="1" spans="1:28" ht="15.75" thickBot="1" x14ac:dyDescent="0.25">
      <c r="A1" s="122"/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</row>
    <row r="2" spans="1:28" ht="15.75" thickBot="1" x14ac:dyDescent="0.25">
      <c r="A2" s="122"/>
      <c r="B2" s="259" t="s">
        <v>143</v>
      </c>
      <c r="C2" s="260"/>
      <c r="D2" s="261"/>
      <c r="E2" s="38" t="s">
        <v>0</v>
      </c>
      <c r="F2" s="122"/>
      <c r="G2" s="259" t="s">
        <v>144</v>
      </c>
      <c r="H2" s="260"/>
      <c r="I2" s="262"/>
      <c r="J2" s="38" t="s">
        <v>0</v>
      </c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</row>
    <row r="3" spans="1:28" ht="15.75" customHeight="1" thickBot="1" x14ac:dyDescent="0.25">
      <c r="A3" s="122"/>
      <c r="B3" s="123"/>
      <c r="C3" s="124" t="s">
        <v>92</v>
      </c>
      <c r="D3" s="125" t="s">
        <v>132</v>
      </c>
      <c r="E3" s="263">
        <f>ROUNDUP(C16/D10,1)</f>
        <v>9</v>
      </c>
      <c r="F3" s="122"/>
      <c r="G3" s="123"/>
      <c r="H3" s="124" t="s">
        <v>107</v>
      </c>
      <c r="I3" s="125" t="s">
        <v>132</v>
      </c>
      <c r="J3" s="266">
        <f>ROUNDUP(H16/I6,1)</f>
        <v>9</v>
      </c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</row>
    <row r="4" spans="1:28" ht="41.25" x14ac:dyDescent="0.2">
      <c r="A4" s="122"/>
      <c r="B4" s="126" t="s">
        <v>21</v>
      </c>
      <c r="C4" s="157">
        <v>0.375</v>
      </c>
      <c r="D4" s="127">
        <f>48*12*C4/16*1.15</f>
        <v>15.524999999999999</v>
      </c>
      <c r="E4" s="264"/>
      <c r="F4" s="122"/>
      <c r="G4" s="144" t="s">
        <v>179</v>
      </c>
      <c r="H4" s="161">
        <v>2</v>
      </c>
      <c r="I4" s="128">
        <f>48*12*H4/16*1.15</f>
        <v>82.8</v>
      </c>
      <c r="J4" s="264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</row>
    <row r="5" spans="1:28" ht="15" customHeight="1" thickBot="1" x14ac:dyDescent="0.25">
      <c r="A5" s="122"/>
      <c r="B5" s="129" t="s">
        <v>14</v>
      </c>
      <c r="C5" s="130"/>
      <c r="D5" s="131">
        <v>5</v>
      </c>
      <c r="E5" s="264"/>
      <c r="F5" s="122"/>
      <c r="G5" s="132" t="s">
        <v>33</v>
      </c>
      <c r="H5" s="162">
        <v>7.0000000000000007E-2</v>
      </c>
      <c r="I5" s="133">
        <f>48*12*H5/16*1.15</f>
        <v>2.8980000000000001</v>
      </c>
      <c r="J5" s="264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</row>
    <row r="6" spans="1:28" ht="15" customHeight="1" thickBot="1" x14ac:dyDescent="0.25">
      <c r="A6" s="122"/>
      <c r="B6" s="134" t="s">
        <v>22</v>
      </c>
      <c r="C6" s="158">
        <v>0.375</v>
      </c>
      <c r="D6" s="131">
        <f>48*12*C6/16*1.15</f>
        <v>15.524999999999999</v>
      </c>
      <c r="E6" s="264"/>
      <c r="F6" s="122"/>
      <c r="G6" s="136" t="s">
        <v>17</v>
      </c>
      <c r="H6" s="163">
        <f>SUM(H4:H5)</f>
        <v>2.0699999999999998</v>
      </c>
      <c r="I6" s="137">
        <f>SUM(I4:I5)</f>
        <v>85.697999999999993</v>
      </c>
      <c r="J6" s="267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</row>
    <row r="7" spans="1:28" ht="15.75" customHeight="1" x14ac:dyDescent="0.2">
      <c r="A7" s="122"/>
      <c r="B7" s="134" t="s">
        <v>13</v>
      </c>
      <c r="C7" s="135"/>
      <c r="D7" s="131">
        <v>5</v>
      </c>
      <c r="E7" s="264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</row>
    <row r="8" spans="1:28" ht="15.75" customHeight="1" x14ac:dyDescent="0.2">
      <c r="A8" s="122"/>
      <c r="B8" s="134" t="s">
        <v>23</v>
      </c>
      <c r="C8" s="158">
        <v>0.375</v>
      </c>
      <c r="D8" s="131">
        <f>48*12*C8/16*1.15</f>
        <v>15.524999999999999</v>
      </c>
      <c r="E8" s="264"/>
      <c r="F8" s="122"/>
      <c r="G8" s="258" t="s">
        <v>133</v>
      </c>
      <c r="H8" s="258"/>
      <c r="I8" s="94">
        <f>ROUNDDOWN(250/I6,2)</f>
        <v>2.91</v>
      </c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</row>
    <row r="9" spans="1:28" ht="15.75" customHeight="1" thickBot="1" x14ac:dyDescent="0.25">
      <c r="A9" s="122"/>
      <c r="B9" s="138" t="s">
        <v>24</v>
      </c>
      <c r="C9" s="159">
        <v>0.375</v>
      </c>
      <c r="D9" s="139">
        <f>48*12*C9/16*1.15</f>
        <v>15.524999999999999</v>
      </c>
      <c r="E9" s="264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</row>
    <row r="10" spans="1:28" ht="16.5" customHeight="1" thickBot="1" x14ac:dyDescent="0.25">
      <c r="A10" s="122"/>
      <c r="B10" s="140" t="s">
        <v>17</v>
      </c>
      <c r="C10" s="160">
        <f>SUM(C4:C9)</f>
        <v>1.5</v>
      </c>
      <c r="D10" s="141">
        <f>SUM(D4,D6,D8,D9)</f>
        <v>62.099999999999994</v>
      </c>
      <c r="E10" s="265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</row>
    <row r="11" spans="1:28" ht="16.5" customHeight="1" x14ac:dyDescent="0.2">
      <c r="A11" s="122"/>
      <c r="B11" s="122"/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</row>
    <row r="12" spans="1:28" ht="16.5" customHeight="1" x14ac:dyDescent="0.2">
      <c r="A12" s="122"/>
      <c r="B12" s="258" t="s">
        <v>133</v>
      </c>
      <c r="C12" s="258"/>
      <c r="D12" s="94">
        <f>ROUNDDOWN(250/D10,2)</f>
        <v>4.0199999999999996</v>
      </c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</row>
    <row r="13" spans="1:28" ht="16.5" customHeight="1" x14ac:dyDescent="0.2">
      <c r="A13" s="122"/>
      <c r="B13" s="122"/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</row>
    <row r="14" spans="1:28" ht="14.25" customHeight="1" x14ac:dyDescent="0.2">
      <c r="A14" s="122"/>
      <c r="B14" s="122" t="s">
        <v>29</v>
      </c>
      <c r="C14" s="142">
        <v>432</v>
      </c>
      <c r="D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</row>
    <row r="15" spans="1:28" ht="15.75" customHeight="1" x14ac:dyDescent="0.2">
      <c r="A15" s="122"/>
      <c r="B15" s="122"/>
      <c r="C15" s="122"/>
      <c r="D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</row>
    <row r="16" spans="1:28" ht="14.25" customHeight="1" x14ac:dyDescent="0.2">
      <c r="A16" s="122"/>
      <c r="B16" s="122" t="s">
        <v>8</v>
      </c>
      <c r="C16" s="143">
        <f>((C14*12*C10/16)*1.15)-C17</f>
        <v>558.9</v>
      </c>
      <c r="D16" s="122"/>
      <c r="F16" s="122"/>
      <c r="G16" s="122" t="s">
        <v>8</v>
      </c>
      <c r="H16" s="143">
        <f>((C14*12*H6/16)*1.15)-H17</f>
        <v>771.28199999999993</v>
      </c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</row>
    <row r="17" spans="1:28" ht="15" customHeight="1" x14ac:dyDescent="0.2">
      <c r="A17" s="122"/>
      <c r="B17" s="122" t="s">
        <v>9</v>
      </c>
      <c r="C17" s="142">
        <v>0</v>
      </c>
      <c r="D17" s="122"/>
      <c r="F17" s="122"/>
      <c r="G17" s="122" t="s">
        <v>9</v>
      </c>
      <c r="H17" s="142">
        <v>0</v>
      </c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</row>
    <row r="18" spans="1:28" x14ac:dyDescent="0.2">
      <c r="A18" s="122"/>
      <c r="B18" s="122" t="s">
        <v>10</v>
      </c>
      <c r="C18" s="143">
        <f>E3*D10</f>
        <v>558.9</v>
      </c>
      <c r="D18" s="122"/>
      <c r="F18" s="122"/>
      <c r="G18" s="122" t="s">
        <v>10</v>
      </c>
      <c r="H18" s="143">
        <f>J3*I6</f>
        <v>771.28199999999993</v>
      </c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</row>
    <row r="19" spans="1:28" x14ac:dyDescent="0.2">
      <c r="A19" s="122"/>
      <c r="B19" s="122"/>
      <c r="C19" s="122"/>
      <c r="D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</row>
    <row r="20" spans="1:28" x14ac:dyDescent="0.2">
      <c r="A20" s="122"/>
      <c r="B20" s="122" t="s">
        <v>11</v>
      </c>
      <c r="C20" s="122"/>
      <c r="D20" s="122"/>
      <c r="F20" s="122"/>
      <c r="G20" s="122" t="s">
        <v>11</v>
      </c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</row>
    <row r="21" spans="1:28" ht="41.25" x14ac:dyDescent="0.2">
      <c r="A21" s="122"/>
      <c r="B21" s="122" t="s">
        <v>21</v>
      </c>
      <c r="C21" s="143">
        <f>E3*D4</f>
        <v>139.72499999999999</v>
      </c>
      <c r="D21" s="122" t="s">
        <v>12</v>
      </c>
      <c r="F21" s="122"/>
      <c r="G21" s="198" t="s">
        <v>179</v>
      </c>
      <c r="H21" s="143">
        <f>J3*I4</f>
        <v>745.19999999999993</v>
      </c>
      <c r="I21" s="122" t="s">
        <v>12</v>
      </c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</row>
    <row r="22" spans="1:28" ht="15.75" customHeight="1" x14ac:dyDescent="0.2">
      <c r="A22" s="122"/>
      <c r="B22" s="122" t="s">
        <v>22</v>
      </c>
      <c r="C22" s="143">
        <f>E3*D6</f>
        <v>139.72499999999999</v>
      </c>
      <c r="D22" s="122" t="s">
        <v>12</v>
      </c>
      <c r="F22" s="122"/>
      <c r="G22" s="122" t="s">
        <v>33</v>
      </c>
      <c r="H22" s="143">
        <f>J3*I5</f>
        <v>26.082000000000001</v>
      </c>
      <c r="I22" s="122" t="s">
        <v>12</v>
      </c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</row>
    <row r="23" spans="1:28" ht="15.75" customHeight="1" x14ac:dyDescent="0.2">
      <c r="A23" s="122"/>
      <c r="B23" s="122" t="s">
        <v>23</v>
      </c>
      <c r="C23" s="143">
        <f>E3*D8</f>
        <v>139.72499999999999</v>
      </c>
      <c r="D23" s="122" t="s">
        <v>12</v>
      </c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</row>
    <row r="24" spans="1:28" ht="15.75" customHeight="1" x14ac:dyDescent="0.2">
      <c r="A24" s="122"/>
      <c r="B24" s="122" t="s">
        <v>24</v>
      </c>
      <c r="C24" s="143">
        <f>E3*D9</f>
        <v>139.72499999999999</v>
      </c>
      <c r="D24" s="122" t="s">
        <v>12</v>
      </c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</row>
    <row r="25" spans="1:28" ht="15.75" customHeight="1" x14ac:dyDescent="0.2">
      <c r="A25" s="122"/>
      <c r="B25" s="122" t="s">
        <v>13</v>
      </c>
      <c r="C25" s="143">
        <f>D7*E3</f>
        <v>45</v>
      </c>
      <c r="D25" s="122" t="s">
        <v>12</v>
      </c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</row>
    <row r="26" spans="1:28" ht="15.75" customHeight="1" x14ac:dyDescent="0.2">
      <c r="A26" s="122"/>
      <c r="B26" s="122" t="s">
        <v>14</v>
      </c>
      <c r="C26" s="143">
        <f>D5*E3</f>
        <v>45</v>
      </c>
      <c r="D26" s="122" t="s">
        <v>12</v>
      </c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</row>
    <row r="27" spans="1:28" ht="15.75" customHeight="1" x14ac:dyDescent="0.2">
      <c r="A27" s="122"/>
      <c r="B27" s="122"/>
      <c r="C27" s="122"/>
      <c r="D27" s="122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</row>
    <row r="28" spans="1:28" ht="15.75" customHeight="1" x14ac:dyDescent="0.2">
      <c r="A28" s="122"/>
      <c r="B28" s="122"/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</row>
    <row r="29" spans="1:28" ht="15.75" customHeight="1" x14ac:dyDescent="0.2">
      <c r="A29" s="122"/>
      <c r="B29" s="122"/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</row>
    <row r="30" spans="1:28" ht="15.75" customHeight="1" x14ac:dyDescent="0.2">
      <c r="A30" s="122"/>
      <c r="B30" s="122"/>
      <c r="C30" s="122"/>
      <c r="D30" s="122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</row>
    <row r="31" spans="1:28" ht="15.75" customHeight="1" x14ac:dyDescent="0.2">
      <c r="A31" s="122"/>
      <c r="B31" s="122"/>
      <c r="C31" s="122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</row>
    <row r="32" spans="1:28" ht="15.75" customHeight="1" x14ac:dyDescent="0.2">
      <c r="A32" s="122"/>
      <c r="B32" s="122"/>
      <c r="C32" s="122"/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</row>
    <row r="33" spans="1:28" ht="15.75" customHeight="1" x14ac:dyDescent="0.2">
      <c r="A33" s="122"/>
      <c r="B33" s="122"/>
      <c r="C33" s="122"/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</row>
    <row r="34" spans="1:28" ht="15.75" customHeight="1" x14ac:dyDescent="0.2">
      <c r="A34" s="122"/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</row>
    <row r="35" spans="1:28" ht="15.75" customHeight="1" x14ac:dyDescent="0.2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</row>
    <row r="36" spans="1:28" ht="15.75" customHeight="1" x14ac:dyDescent="0.2">
      <c r="A36" s="122"/>
      <c r="B36" s="122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</row>
    <row r="37" spans="1:28" ht="15.75" customHeight="1" x14ac:dyDescent="0.2">
      <c r="A37" s="122"/>
      <c r="B37" s="122"/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</row>
    <row r="38" spans="1:28" ht="15.75" customHeight="1" x14ac:dyDescent="0.2">
      <c r="A38" s="122"/>
      <c r="B38" s="122"/>
      <c r="C38" s="122"/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</row>
    <row r="39" spans="1:28" ht="15.75" customHeight="1" x14ac:dyDescent="0.2">
      <c r="A39" s="122"/>
      <c r="B39" s="122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</row>
    <row r="40" spans="1:28" ht="15.75" customHeight="1" x14ac:dyDescent="0.2">
      <c r="A40" s="122"/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</row>
    <row r="41" spans="1:28" ht="15.75" customHeight="1" x14ac:dyDescent="0.2">
      <c r="A41" s="122"/>
      <c r="B41" s="122"/>
      <c r="C41" s="122"/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</row>
    <row r="42" spans="1:28" ht="15.75" customHeight="1" x14ac:dyDescent="0.2">
      <c r="A42" s="122"/>
      <c r="B42" s="122"/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</row>
    <row r="43" spans="1:28" ht="15.75" customHeight="1" x14ac:dyDescent="0.2">
      <c r="A43" s="122"/>
      <c r="B43" s="122"/>
      <c r="C43" s="122"/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</row>
    <row r="44" spans="1:28" ht="15.75" customHeight="1" x14ac:dyDescent="0.2">
      <c r="A44" s="122"/>
      <c r="B44" s="122"/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</row>
    <row r="45" spans="1:28" ht="15.75" customHeight="1" x14ac:dyDescent="0.2">
      <c r="A45" s="122"/>
      <c r="B45" s="122"/>
      <c r="C45" s="122"/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</row>
    <row r="46" spans="1:28" ht="15.75" customHeight="1" x14ac:dyDescent="0.2">
      <c r="A46" s="122"/>
      <c r="B46" s="122"/>
      <c r="C46" s="122"/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</row>
    <row r="47" spans="1:28" ht="15.75" customHeight="1" x14ac:dyDescent="0.2">
      <c r="A47" s="122"/>
      <c r="B47" s="122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</row>
    <row r="48" spans="1:28" ht="15.75" customHeight="1" x14ac:dyDescent="0.2">
      <c r="A48" s="122"/>
      <c r="B48" s="122"/>
      <c r="C48" s="122"/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</row>
    <row r="49" spans="1:28" ht="15.75" customHeight="1" x14ac:dyDescent="0.2">
      <c r="A49" s="122"/>
      <c r="B49" s="122"/>
      <c r="C49" s="122"/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</row>
    <row r="50" spans="1:28" ht="15.75" customHeight="1" x14ac:dyDescent="0.2">
      <c r="A50" s="122"/>
      <c r="B50" s="122"/>
      <c r="C50" s="122"/>
      <c r="D50" s="122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</row>
    <row r="51" spans="1:28" ht="15.75" customHeight="1" x14ac:dyDescent="0.2">
      <c r="A51" s="122"/>
      <c r="B51" s="122"/>
      <c r="C51" s="122"/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</row>
    <row r="52" spans="1:28" ht="15.75" customHeight="1" x14ac:dyDescent="0.2">
      <c r="A52" s="122"/>
      <c r="B52" s="122"/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</row>
    <row r="53" spans="1:28" ht="15.75" customHeight="1" x14ac:dyDescent="0.2">
      <c r="A53" s="122"/>
      <c r="B53" s="122"/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</row>
    <row r="54" spans="1:28" ht="15.75" customHeight="1" x14ac:dyDescent="0.2">
      <c r="A54" s="122"/>
      <c r="B54" s="122"/>
      <c r="C54" s="122"/>
      <c r="D54" s="122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</row>
    <row r="55" spans="1:28" ht="15.75" customHeight="1" x14ac:dyDescent="0.2">
      <c r="A55" s="122"/>
      <c r="B55" s="122"/>
      <c r="C55" s="122"/>
      <c r="D55" s="122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</row>
    <row r="56" spans="1:28" ht="15.75" customHeight="1" x14ac:dyDescent="0.2">
      <c r="A56" s="122"/>
      <c r="B56" s="122"/>
      <c r="C56" s="122"/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</row>
    <row r="57" spans="1:28" ht="15.75" customHeight="1" x14ac:dyDescent="0.2">
      <c r="A57" s="122"/>
      <c r="B57" s="122"/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</row>
    <row r="58" spans="1:28" ht="15.75" customHeight="1" x14ac:dyDescent="0.2">
      <c r="A58" s="122"/>
      <c r="B58" s="122"/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</row>
    <row r="59" spans="1:28" ht="15.75" customHeight="1" x14ac:dyDescent="0.2">
      <c r="A59" s="122"/>
      <c r="B59" s="122"/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</row>
    <row r="60" spans="1:28" ht="15.75" customHeight="1" x14ac:dyDescent="0.2">
      <c r="A60" s="122"/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</row>
    <row r="61" spans="1:28" ht="15.75" customHeight="1" x14ac:dyDescent="0.2">
      <c r="A61" s="122"/>
      <c r="B61" s="122"/>
      <c r="C61" s="122"/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</row>
    <row r="62" spans="1:28" ht="15.75" customHeight="1" x14ac:dyDescent="0.2">
      <c r="A62" s="122"/>
      <c r="B62" s="122"/>
      <c r="C62" s="122"/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</row>
    <row r="63" spans="1:28" ht="15.75" customHeight="1" x14ac:dyDescent="0.2">
      <c r="A63" s="122"/>
      <c r="B63" s="122"/>
      <c r="C63" s="122"/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  <c r="AA63" s="122"/>
      <c r="AB63" s="122"/>
    </row>
    <row r="64" spans="1:28" ht="15.75" customHeight="1" x14ac:dyDescent="0.2">
      <c r="A64" s="122"/>
      <c r="B64" s="122"/>
      <c r="C64" s="122"/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2"/>
      <c r="AB64" s="122"/>
    </row>
    <row r="65" spans="1:28" ht="15.75" customHeight="1" x14ac:dyDescent="0.2">
      <c r="A65" s="122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</row>
    <row r="66" spans="1:28" ht="15.75" customHeight="1" x14ac:dyDescent="0.2">
      <c r="A66" s="122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</row>
    <row r="67" spans="1:28" ht="15.75" customHeight="1" x14ac:dyDescent="0.2">
      <c r="A67" s="122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</row>
    <row r="68" spans="1:28" ht="15.75" customHeight="1" x14ac:dyDescent="0.2">
      <c r="A68" s="122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</row>
    <row r="69" spans="1:28" ht="15.75" customHeight="1" x14ac:dyDescent="0.2">
      <c r="A69" s="122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</row>
    <row r="70" spans="1:28" ht="15.75" customHeight="1" x14ac:dyDescent="0.2">
      <c r="A70" s="122"/>
      <c r="B70" s="122"/>
      <c r="C70" s="122"/>
      <c r="D70" s="122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</row>
    <row r="71" spans="1:28" ht="15.75" customHeight="1" x14ac:dyDescent="0.2">
      <c r="A71" s="122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</row>
    <row r="72" spans="1:28" ht="15.75" customHeight="1" x14ac:dyDescent="0.2">
      <c r="A72" s="122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</row>
    <row r="73" spans="1:28" ht="15.75" customHeight="1" x14ac:dyDescent="0.2">
      <c r="A73" s="122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</row>
    <row r="74" spans="1:28" ht="15.75" customHeight="1" x14ac:dyDescent="0.2">
      <c r="A74" s="122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</row>
    <row r="75" spans="1:28" ht="15.75" customHeight="1" x14ac:dyDescent="0.2">
      <c r="A75" s="122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</row>
    <row r="76" spans="1:28" ht="15.75" customHeight="1" x14ac:dyDescent="0.2">
      <c r="A76" s="122"/>
      <c r="B76" s="122"/>
      <c r="C76" s="122"/>
      <c r="D76" s="122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  <c r="AA76" s="122"/>
      <c r="AB76" s="122"/>
    </row>
    <row r="77" spans="1:28" ht="15.75" customHeight="1" x14ac:dyDescent="0.2">
      <c r="A77" s="122"/>
      <c r="B77" s="122"/>
      <c r="C77" s="122"/>
      <c r="D77" s="122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  <c r="AA77" s="122"/>
      <c r="AB77" s="122"/>
    </row>
    <row r="78" spans="1:28" ht="15.75" customHeight="1" x14ac:dyDescent="0.2">
      <c r="A78" s="122"/>
      <c r="B78" s="122"/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</row>
    <row r="79" spans="1:28" ht="15.75" customHeight="1" x14ac:dyDescent="0.2">
      <c r="A79" s="122"/>
      <c r="B79" s="122"/>
      <c r="C79" s="122"/>
      <c r="D79" s="122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  <c r="AA79" s="122"/>
      <c r="AB79" s="122"/>
    </row>
    <row r="80" spans="1:28" ht="15.75" customHeight="1" x14ac:dyDescent="0.2">
      <c r="A80" s="122"/>
      <c r="B80" s="122"/>
      <c r="C80" s="122"/>
      <c r="D80" s="122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  <c r="AA80" s="122"/>
      <c r="AB80" s="122"/>
    </row>
    <row r="81" spans="1:28" ht="15.75" customHeight="1" x14ac:dyDescent="0.2">
      <c r="A81" s="122"/>
      <c r="B81" s="122"/>
      <c r="C81" s="122"/>
      <c r="D81" s="122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  <c r="AA81" s="122"/>
      <c r="AB81" s="122"/>
    </row>
    <row r="82" spans="1:28" ht="15.75" customHeight="1" x14ac:dyDescent="0.2">
      <c r="A82" s="122"/>
      <c r="B82" s="122"/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</row>
    <row r="83" spans="1:28" ht="15.75" customHeight="1" x14ac:dyDescent="0.2">
      <c r="A83" s="122"/>
      <c r="B83" s="122"/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  <c r="AA83" s="122"/>
      <c r="AB83" s="122"/>
    </row>
    <row r="84" spans="1:28" ht="15.75" customHeight="1" x14ac:dyDescent="0.2">
      <c r="A84" s="122"/>
      <c r="B84" s="122"/>
      <c r="C84" s="122"/>
      <c r="D84" s="122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  <c r="AA84" s="122"/>
      <c r="AB84" s="122"/>
    </row>
    <row r="85" spans="1:28" ht="15.75" customHeight="1" x14ac:dyDescent="0.2">
      <c r="A85" s="122"/>
      <c r="B85" s="122"/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</row>
    <row r="86" spans="1:28" ht="15.75" customHeight="1" x14ac:dyDescent="0.2">
      <c r="A86" s="122"/>
      <c r="B86" s="122"/>
      <c r="C86" s="122"/>
      <c r="D86" s="122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  <c r="AA86" s="122"/>
      <c r="AB86" s="122"/>
    </row>
    <row r="87" spans="1:28" ht="15.75" customHeight="1" x14ac:dyDescent="0.2">
      <c r="A87" s="122"/>
      <c r="B87" s="122"/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  <c r="AA87" s="122"/>
      <c r="AB87" s="122"/>
    </row>
    <row r="88" spans="1:28" ht="15.75" customHeight="1" x14ac:dyDescent="0.2">
      <c r="A88" s="122"/>
      <c r="B88" s="122"/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</row>
    <row r="89" spans="1:28" ht="15.75" customHeight="1" x14ac:dyDescent="0.2">
      <c r="A89" s="122"/>
      <c r="B89" s="122"/>
      <c r="C89" s="122"/>
      <c r="D89" s="122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  <c r="AA89" s="122"/>
      <c r="AB89" s="122"/>
    </row>
    <row r="90" spans="1:28" ht="15.75" customHeight="1" x14ac:dyDescent="0.2">
      <c r="A90" s="122"/>
      <c r="B90" s="122"/>
      <c r="C90" s="122"/>
      <c r="D90" s="122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  <c r="AA90" s="122"/>
      <c r="AB90" s="122"/>
    </row>
    <row r="91" spans="1:28" ht="15.75" customHeight="1" x14ac:dyDescent="0.2">
      <c r="A91" s="122"/>
      <c r="B91" s="122"/>
      <c r="C91" s="122"/>
      <c r="D91" s="122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  <c r="AA91" s="122"/>
      <c r="AB91" s="122"/>
    </row>
    <row r="92" spans="1:28" ht="15.75" customHeight="1" x14ac:dyDescent="0.2">
      <c r="A92" s="122"/>
      <c r="B92" s="122"/>
      <c r="C92" s="122"/>
      <c r="D92" s="122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2"/>
      <c r="AB92" s="122"/>
    </row>
    <row r="93" spans="1:28" ht="15.75" customHeight="1" x14ac:dyDescent="0.2">
      <c r="A93" s="122"/>
      <c r="B93" s="122"/>
      <c r="C93" s="122"/>
      <c r="D93" s="122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</row>
    <row r="94" spans="1:28" ht="15.75" customHeight="1" x14ac:dyDescent="0.2">
      <c r="A94" s="122"/>
      <c r="B94" s="122"/>
      <c r="C94" s="122"/>
      <c r="D94" s="122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  <c r="AA94" s="122"/>
      <c r="AB94" s="122"/>
    </row>
    <row r="95" spans="1:28" ht="15.75" customHeight="1" x14ac:dyDescent="0.2">
      <c r="A95" s="122"/>
      <c r="B95" s="122"/>
      <c r="C95" s="122"/>
      <c r="D95" s="122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  <c r="AA95" s="122"/>
      <c r="AB95" s="122"/>
    </row>
    <row r="96" spans="1:28" ht="15.75" customHeight="1" x14ac:dyDescent="0.2">
      <c r="A96" s="122"/>
      <c r="B96" s="122"/>
      <c r="C96" s="122"/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  <c r="AA96" s="122"/>
      <c r="AB96" s="122"/>
    </row>
    <row r="97" spans="1:28" ht="15.75" customHeight="1" x14ac:dyDescent="0.2">
      <c r="A97" s="122"/>
      <c r="B97" s="122"/>
      <c r="C97" s="122"/>
      <c r="D97" s="122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  <c r="AA97" s="122"/>
      <c r="AB97" s="122"/>
    </row>
    <row r="98" spans="1:28" ht="15.75" customHeight="1" x14ac:dyDescent="0.2">
      <c r="A98" s="122"/>
      <c r="B98" s="122"/>
      <c r="C98" s="122"/>
      <c r="D98" s="122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  <c r="AA98" s="122"/>
      <c r="AB98" s="122"/>
    </row>
    <row r="99" spans="1:28" ht="15.75" customHeight="1" x14ac:dyDescent="0.2">
      <c r="A99" s="122"/>
      <c r="B99" s="122"/>
      <c r="C99" s="122"/>
      <c r="D99" s="122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  <c r="AA99" s="122"/>
      <c r="AB99" s="122"/>
    </row>
    <row r="100" spans="1:28" ht="15.75" customHeight="1" x14ac:dyDescent="0.2">
      <c r="A100" s="122"/>
      <c r="B100" s="122"/>
      <c r="C100" s="122"/>
      <c r="D100" s="122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  <c r="AA100" s="122"/>
      <c r="AB100" s="122"/>
    </row>
    <row r="101" spans="1:28" ht="15.75" customHeight="1" x14ac:dyDescent="0.2">
      <c r="A101" s="122"/>
      <c r="B101" s="122"/>
      <c r="C101" s="122"/>
      <c r="D101" s="122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  <c r="AA101" s="122"/>
      <c r="AB101" s="122"/>
    </row>
    <row r="102" spans="1:28" ht="15.75" customHeight="1" x14ac:dyDescent="0.2">
      <c r="A102" s="122"/>
      <c r="B102" s="122"/>
      <c r="C102" s="122"/>
      <c r="D102" s="122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  <c r="AA102" s="122"/>
      <c r="AB102" s="122"/>
    </row>
    <row r="103" spans="1:28" ht="15.75" customHeight="1" x14ac:dyDescent="0.2">
      <c r="A103" s="122"/>
      <c r="B103" s="122"/>
      <c r="C103" s="122"/>
      <c r="D103" s="122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  <c r="AA103" s="122"/>
      <c r="AB103" s="122"/>
    </row>
    <row r="104" spans="1:28" ht="15.75" customHeight="1" x14ac:dyDescent="0.2">
      <c r="A104" s="122"/>
      <c r="B104" s="122"/>
      <c r="C104" s="122"/>
      <c r="D104" s="122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  <c r="AA104" s="122"/>
      <c r="AB104" s="122"/>
    </row>
    <row r="105" spans="1:28" ht="15.75" customHeight="1" x14ac:dyDescent="0.2">
      <c r="A105" s="122"/>
      <c r="B105" s="122"/>
      <c r="C105" s="122"/>
      <c r="D105" s="122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</row>
    <row r="106" spans="1:28" ht="15.75" customHeight="1" x14ac:dyDescent="0.2">
      <c r="A106" s="122"/>
      <c r="B106" s="122"/>
      <c r="C106" s="122"/>
      <c r="D106" s="122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2"/>
      <c r="AB106" s="122"/>
    </row>
    <row r="107" spans="1:28" ht="15.75" customHeight="1" x14ac:dyDescent="0.2">
      <c r="A107" s="122"/>
      <c r="B107" s="122"/>
      <c r="C107" s="122"/>
      <c r="D107" s="122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  <c r="AA107" s="122"/>
      <c r="AB107" s="122"/>
    </row>
    <row r="108" spans="1:28" ht="15.75" customHeight="1" x14ac:dyDescent="0.2">
      <c r="A108" s="122"/>
      <c r="B108" s="122"/>
      <c r="C108" s="122"/>
      <c r="D108" s="122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</row>
    <row r="109" spans="1:28" ht="15.75" customHeight="1" x14ac:dyDescent="0.2">
      <c r="A109" s="122"/>
      <c r="B109" s="122"/>
      <c r="C109" s="122"/>
      <c r="D109" s="122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</row>
    <row r="110" spans="1:28" ht="15.75" customHeight="1" x14ac:dyDescent="0.2">
      <c r="A110" s="122"/>
      <c r="B110" s="122"/>
      <c r="C110" s="122"/>
      <c r="D110" s="122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</row>
    <row r="111" spans="1:28" ht="15.75" customHeight="1" x14ac:dyDescent="0.2">
      <c r="A111" s="122"/>
      <c r="B111" s="122"/>
      <c r="C111" s="122"/>
      <c r="D111" s="122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  <c r="AA111" s="122"/>
      <c r="AB111" s="122"/>
    </row>
    <row r="112" spans="1:28" ht="15.75" customHeight="1" x14ac:dyDescent="0.2">
      <c r="A112" s="122"/>
      <c r="B112" s="122"/>
      <c r="C112" s="122"/>
      <c r="D112" s="122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  <c r="AA112" s="122"/>
      <c r="AB112" s="122"/>
    </row>
    <row r="113" spans="1:28" ht="15.75" customHeight="1" x14ac:dyDescent="0.2">
      <c r="A113" s="122"/>
      <c r="B113" s="122"/>
      <c r="C113" s="122"/>
      <c r="D113" s="122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  <c r="AA113" s="122"/>
      <c r="AB113" s="122"/>
    </row>
    <row r="114" spans="1:28" ht="15.75" customHeight="1" x14ac:dyDescent="0.2">
      <c r="A114" s="122"/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</row>
    <row r="115" spans="1:28" ht="15.75" customHeight="1" x14ac:dyDescent="0.2">
      <c r="A115" s="122"/>
      <c r="B115" s="122"/>
      <c r="C115" s="122"/>
      <c r="D115" s="122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  <c r="AA115" s="122"/>
      <c r="AB115" s="122"/>
    </row>
    <row r="116" spans="1:28" ht="15.75" customHeight="1" x14ac:dyDescent="0.2">
      <c r="A116" s="122"/>
      <c r="B116" s="122"/>
      <c r="C116" s="122"/>
      <c r="D116" s="122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  <c r="AA116" s="122"/>
      <c r="AB116" s="122"/>
    </row>
    <row r="117" spans="1:28" ht="15.75" customHeight="1" x14ac:dyDescent="0.2">
      <c r="A117" s="122"/>
      <c r="B117" s="122"/>
      <c r="C117" s="122"/>
      <c r="D117" s="122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  <c r="AA117" s="122"/>
      <c r="AB117" s="122"/>
    </row>
    <row r="118" spans="1:28" ht="15.75" customHeight="1" x14ac:dyDescent="0.2">
      <c r="A118" s="122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</row>
    <row r="119" spans="1:28" ht="15.75" customHeight="1" x14ac:dyDescent="0.2">
      <c r="A119" s="122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</row>
    <row r="120" spans="1:28" ht="15.75" customHeight="1" x14ac:dyDescent="0.2">
      <c r="A120" s="122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</row>
    <row r="121" spans="1:28" ht="15.75" customHeight="1" x14ac:dyDescent="0.2">
      <c r="A121" s="122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</row>
    <row r="122" spans="1:28" ht="15.75" customHeight="1" x14ac:dyDescent="0.2">
      <c r="A122" s="122"/>
      <c r="B122" s="122"/>
      <c r="C122" s="122"/>
      <c r="D122" s="122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  <c r="AA122" s="122"/>
      <c r="AB122" s="122"/>
    </row>
    <row r="123" spans="1:28" ht="15.75" customHeight="1" x14ac:dyDescent="0.2">
      <c r="A123" s="122"/>
      <c r="B123" s="122"/>
      <c r="C123" s="122"/>
      <c r="D123" s="122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  <c r="AA123" s="122"/>
      <c r="AB123" s="122"/>
    </row>
    <row r="124" spans="1:28" ht="15.75" customHeight="1" x14ac:dyDescent="0.2">
      <c r="A124" s="122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  <c r="AA124" s="122"/>
      <c r="AB124" s="122"/>
    </row>
    <row r="125" spans="1:28" ht="15.75" customHeight="1" x14ac:dyDescent="0.2">
      <c r="A125" s="122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  <c r="AA125" s="122"/>
      <c r="AB125" s="122"/>
    </row>
    <row r="126" spans="1:28" ht="15.75" customHeight="1" x14ac:dyDescent="0.2">
      <c r="A126" s="122"/>
      <c r="B126" s="122"/>
      <c r="C126" s="122"/>
      <c r="D126" s="122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  <c r="AA126" s="122"/>
      <c r="AB126" s="122"/>
    </row>
    <row r="127" spans="1:28" ht="15.75" customHeight="1" x14ac:dyDescent="0.2">
      <c r="A127" s="122"/>
      <c r="B127" s="122"/>
      <c r="C127" s="122"/>
      <c r="D127" s="122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  <c r="AA127" s="122"/>
      <c r="AB127" s="122"/>
    </row>
    <row r="128" spans="1:28" ht="15.75" customHeight="1" x14ac:dyDescent="0.2">
      <c r="A128" s="122"/>
      <c r="B128" s="122"/>
      <c r="C128" s="122"/>
      <c r="D128" s="122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  <c r="AA128" s="122"/>
      <c r="AB128" s="122"/>
    </row>
    <row r="129" spans="1:28" ht="15.75" customHeight="1" x14ac:dyDescent="0.2">
      <c r="A129" s="122"/>
      <c r="B129" s="122"/>
      <c r="C129" s="122"/>
      <c r="D129" s="122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  <c r="AA129" s="122"/>
      <c r="AB129" s="122"/>
    </row>
    <row r="130" spans="1:28" ht="15.75" customHeight="1" x14ac:dyDescent="0.2">
      <c r="A130" s="122"/>
      <c r="B130" s="122"/>
      <c r="C130" s="122"/>
      <c r="D130" s="122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  <c r="AA130" s="122"/>
      <c r="AB130" s="122"/>
    </row>
    <row r="131" spans="1:28" ht="15.75" customHeight="1" x14ac:dyDescent="0.2">
      <c r="A131" s="122"/>
      <c r="B131" s="122"/>
      <c r="C131" s="122"/>
      <c r="D131" s="122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  <c r="AA131" s="122"/>
      <c r="AB131" s="122"/>
    </row>
    <row r="132" spans="1:28" ht="15.75" customHeight="1" x14ac:dyDescent="0.2">
      <c r="A132" s="122"/>
      <c r="B132" s="122"/>
      <c r="C132" s="122"/>
      <c r="D132" s="122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  <c r="AA132" s="122"/>
      <c r="AB132" s="122"/>
    </row>
    <row r="133" spans="1:28" ht="15.75" customHeight="1" x14ac:dyDescent="0.2">
      <c r="A133" s="122"/>
      <c r="B133" s="122"/>
      <c r="C133" s="122"/>
      <c r="D133" s="122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  <c r="AA133" s="122"/>
      <c r="AB133" s="122"/>
    </row>
    <row r="134" spans="1:28" ht="15.75" customHeight="1" x14ac:dyDescent="0.2">
      <c r="A134" s="122"/>
      <c r="B134" s="122"/>
      <c r="C134" s="122"/>
      <c r="D134" s="122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  <c r="AA134" s="122"/>
      <c r="AB134" s="122"/>
    </row>
    <row r="135" spans="1:28" ht="15.75" customHeight="1" x14ac:dyDescent="0.2">
      <c r="A135" s="122"/>
      <c r="B135" s="122"/>
      <c r="C135" s="122"/>
      <c r="D135" s="122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  <c r="AA135" s="122"/>
      <c r="AB135" s="122"/>
    </row>
    <row r="136" spans="1:28" ht="15.75" customHeight="1" x14ac:dyDescent="0.2">
      <c r="A136" s="122"/>
      <c r="B136" s="122"/>
      <c r="C136" s="122"/>
      <c r="D136" s="122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  <c r="AA136" s="122"/>
      <c r="AB136" s="122"/>
    </row>
    <row r="137" spans="1:28" ht="15.75" customHeight="1" x14ac:dyDescent="0.2">
      <c r="A137" s="122"/>
      <c r="B137" s="122"/>
      <c r="C137" s="122"/>
      <c r="D137" s="122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  <c r="AA137" s="122"/>
      <c r="AB137" s="122"/>
    </row>
    <row r="138" spans="1:28" ht="15.75" customHeight="1" x14ac:dyDescent="0.2">
      <c r="A138" s="122"/>
      <c r="B138" s="122"/>
      <c r="C138" s="122"/>
      <c r="D138" s="122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  <c r="AA138" s="122"/>
      <c r="AB138" s="122"/>
    </row>
    <row r="139" spans="1:28" ht="15.75" customHeight="1" x14ac:dyDescent="0.2">
      <c r="A139" s="122"/>
      <c r="B139" s="122"/>
      <c r="C139" s="122"/>
      <c r="D139" s="122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  <c r="AA139" s="122"/>
      <c r="AB139" s="122"/>
    </row>
    <row r="140" spans="1:28" ht="15.75" customHeight="1" x14ac:dyDescent="0.2">
      <c r="A140" s="122"/>
      <c r="B140" s="122"/>
      <c r="C140" s="122"/>
      <c r="D140" s="122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  <c r="AA140" s="122"/>
      <c r="AB140" s="122"/>
    </row>
    <row r="141" spans="1:28" ht="15.75" customHeight="1" x14ac:dyDescent="0.2">
      <c r="A141" s="122"/>
      <c r="B141" s="122"/>
      <c r="C141" s="122"/>
      <c r="D141" s="122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  <c r="AA141" s="122"/>
      <c r="AB141" s="122"/>
    </row>
    <row r="142" spans="1:28" ht="15.75" customHeight="1" x14ac:dyDescent="0.2">
      <c r="A142" s="122"/>
      <c r="B142" s="122"/>
      <c r="C142" s="122"/>
      <c r="D142" s="122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</row>
    <row r="143" spans="1:28" ht="15.75" customHeight="1" x14ac:dyDescent="0.2">
      <c r="A143" s="122"/>
      <c r="B143" s="122"/>
      <c r="C143" s="122"/>
      <c r="D143" s="122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</row>
    <row r="144" spans="1:28" ht="15.75" customHeight="1" x14ac:dyDescent="0.2">
      <c r="A144" s="122"/>
      <c r="B144" s="122"/>
      <c r="C144" s="122"/>
      <c r="D144" s="122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</row>
    <row r="145" spans="1:28" ht="15.75" customHeight="1" x14ac:dyDescent="0.2">
      <c r="A145" s="122"/>
      <c r="B145" s="122"/>
      <c r="C145" s="122"/>
      <c r="D145" s="122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</row>
    <row r="146" spans="1:28" ht="15.75" customHeight="1" x14ac:dyDescent="0.2">
      <c r="A146" s="122"/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</row>
    <row r="147" spans="1:28" ht="15.75" customHeight="1" x14ac:dyDescent="0.2">
      <c r="A147" s="122"/>
      <c r="B147" s="122"/>
      <c r="C147" s="122"/>
      <c r="D147" s="122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</row>
    <row r="148" spans="1:28" ht="15.75" customHeight="1" x14ac:dyDescent="0.2">
      <c r="A148" s="122"/>
      <c r="B148" s="122"/>
      <c r="C148" s="122"/>
      <c r="D148" s="122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</row>
    <row r="149" spans="1:28" ht="15.75" customHeight="1" x14ac:dyDescent="0.2">
      <c r="A149" s="122"/>
      <c r="B149" s="122"/>
      <c r="C149" s="122"/>
      <c r="D149" s="122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</row>
    <row r="150" spans="1:28" ht="15.75" customHeight="1" x14ac:dyDescent="0.2">
      <c r="A150" s="122"/>
      <c r="B150" s="122"/>
      <c r="C150" s="122"/>
      <c r="D150" s="122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</row>
    <row r="151" spans="1:28" ht="15.75" customHeight="1" x14ac:dyDescent="0.2">
      <c r="A151" s="122"/>
      <c r="B151" s="122"/>
      <c r="C151" s="122"/>
      <c r="D151" s="122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</row>
    <row r="152" spans="1:28" ht="15.75" customHeight="1" x14ac:dyDescent="0.2">
      <c r="A152" s="122"/>
      <c r="B152" s="122"/>
      <c r="C152" s="122"/>
      <c r="D152" s="122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2"/>
      <c r="AB152" s="122"/>
    </row>
    <row r="153" spans="1:28" ht="15.75" customHeight="1" x14ac:dyDescent="0.2">
      <c r="A153" s="122"/>
      <c r="B153" s="122"/>
      <c r="C153" s="122"/>
      <c r="D153" s="122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2"/>
      <c r="AB153" s="122"/>
    </row>
    <row r="154" spans="1:28" ht="15.75" customHeight="1" x14ac:dyDescent="0.2">
      <c r="A154" s="122"/>
      <c r="B154" s="122"/>
      <c r="C154" s="122"/>
      <c r="D154" s="122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  <c r="AA154" s="122"/>
      <c r="AB154" s="122"/>
    </row>
    <row r="155" spans="1:28" ht="15.75" customHeight="1" x14ac:dyDescent="0.2">
      <c r="A155" s="122"/>
      <c r="B155" s="122"/>
      <c r="C155" s="122"/>
      <c r="D155" s="122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  <c r="AA155" s="122"/>
      <c r="AB155" s="122"/>
    </row>
    <row r="156" spans="1:28" ht="15.75" customHeight="1" x14ac:dyDescent="0.2">
      <c r="A156" s="122"/>
      <c r="B156" s="122"/>
      <c r="C156" s="122"/>
      <c r="D156" s="122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  <c r="AA156" s="122"/>
      <c r="AB156" s="122"/>
    </row>
    <row r="157" spans="1:28" ht="15.75" customHeight="1" x14ac:dyDescent="0.2">
      <c r="A157" s="122"/>
      <c r="B157" s="122"/>
      <c r="C157" s="122"/>
      <c r="D157" s="122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  <c r="AA157" s="122"/>
      <c r="AB157" s="122"/>
    </row>
    <row r="158" spans="1:28" ht="15.75" customHeight="1" x14ac:dyDescent="0.2">
      <c r="A158" s="122"/>
      <c r="B158" s="122"/>
      <c r="C158" s="122"/>
      <c r="D158" s="122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  <c r="AA158" s="122"/>
      <c r="AB158" s="122"/>
    </row>
    <row r="159" spans="1:28" ht="15.75" customHeight="1" x14ac:dyDescent="0.2">
      <c r="A159" s="122"/>
      <c r="B159" s="122"/>
      <c r="C159" s="122"/>
      <c r="D159" s="122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  <c r="AA159" s="122"/>
      <c r="AB159" s="122"/>
    </row>
    <row r="160" spans="1:28" ht="15.75" customHeight="1" x14ac:dyDescent="0.2">
      <c r="A160" s="122"/>
      <c r="B160" s="122"/>
      <c r="C160" s="122"/>
      <c r="D160" s="122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  <c r="AA160" s="122"/>
      <c r="AB160" s="122"/>
    </row>
    <row r="161" spans="1:28" ht="15.75" customHeight="1" x14ac:dyDescent="0.2">
      <c r="A161" s="122"/>
      <c r="B161" s="122"/>
      <c r="C161" s="122"/>
      <c r="D161" s="122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  <c r="AA161" s="122"/>
      <c r="AB161" s="122"/>
    </row>
    <row r="162" spans="1:28" ht="15.75" customHeight="1" x14ac:dyDescent="0.2">
      <c r="A162" s="122"/>
      <c r="B162" s="122"/>
      <c r="C162" s="122"/>
      <c r="D162" s="122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  <c r="AA162" s="122"/>
      <c r="AB162" s="122"/>
    </row>
    <row r="163" spans="1:28" ht="15.75" customHeight="1" x14ac:dyDescent="0.2">
      <c r="A163" s="122"/>
      <c r="B163" s="122"/>
      <c r="C163" s="122"/>
      <c r="D163" s="122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  <c r="AA163" s="122"/>
      <c r="AB163" s="122"/>
    </row>
    <row r="164" spans="1:28" ht="15.75" customHeight="1" x14ac:dyDescent="0.2">
      <c r="A164" s="122"/>
      <c r="B164" s="122"/>
      <c r="C164" s="122"/>
      <c r="D164" s="122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  <c r="AA164" s="122"/>
      <c r="AB164" s="122"/>
    </row>
    <row r="165" spans="1:28" ht="15.75" customHeight="1" x14ac:dyDescent="0.2">
      <c r="A165" s="122"/>
      <c r="B165" s="122"/>
      <c r="C165" s="122"/>
      <c r="D165" s="122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  <c r="AA165" s="122"/>
      <c r="AB165" s="122"/>
    </row>
    <row r="166" spans="1:28" ht="15.75" customHeight="1" x14ac:dyDescent="0.2">
      <c r="A166" s="122"/>
      <c r="B166" s="122"/>
      <c r="C166" s="122"/>
      <c r="D166" s="122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  <c r="AA166" s="122"/>
      <c r="AB166" s="122"/>
    </row>
    <row r="167" spans="1:28" ht="15.75" customHeight="1" x14ac:dyDescent="0.2">
      <c r="A167" s="122"/>
      <c r="B167" s="122"/>
      <c r="C167" s="122"/>
      <c r="D167" s="122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  <c r="AA167" s="122"/>
      <c r="AB167" s="122"/>
    </row>
    <row r="168" spans="1:28" ht="15.75" customHeight="1" x14ac:dyDescent="0.2">
      <c r="A168" s="122"/>
      <c r="B168" s="122"/>
      <c r="C168" s="122"/>
      <c r="D168" s="122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  <c r="AA168" s="122"/>
      <c r="AB168" s="122"/>
    </row>
    <row r="169" spans="1:28" ht="15.75" customHeight="1" x14ac:dyDescent="0.2">
      <c r="A169" s="122"/>
      <c r="B169" s="122"/>
      <c r="C169" s="122"/>
      <c r="D169" s="122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  <c r="AA169" s="122"/>
      <c r="AB169" s="122"/>
    </row>
    <row r="170" spans="1:28" ht="15.75" customHeight="1" x14ac:dyDescent="0.2">
      <c r="A170" s="122"/>
      <c r="B170" s="122"/>
      <c r="C170" s="122"/>
      <c r="D170" s="122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  <c r="AA170" s="122"/>
      <c r="AB170" s="122"/>
    </row>
    <row r="171" spans="1:28" ht="15.75" customHeight="1" x14ac:dyDescent="0.2">
      <c r="A171" s="122"/>
      <c r="B171" s="122"/>
      <c r="C171" s="122"/>
      <c r="D171" s="122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  <c r="AA171" s="122"/>
      <c r="AB171" s="122"/>
    </row>
    <row r="172" spans="1:28" ht="15.75" customHeight="1" x14ac:dyDescent="0.2">
      <c r="A172" s="122"/>
      <c r="B172" s="122"/>
      <c r="C172" s="122"/>
      <c r="D172" s="122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  <c r="AA172" s="122"/>
      <c r="AB172" s="122"/>
    </row>
    <row r="173" spans="1:28" ht="15.75" customHeight="1" x14ac:dyDescent="0.2">
      <c r="A173" s="122"/>
      <c r="B173" s="122"/>
      <c r="C173" s="122"/>
      <c r="D173" s="122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  <c r="AA173" s="122"/>
      <c r="AB173" s="122"/>
    </row>
    <row r="174" spans="1:28" ht="15.75" customHeight="1" x14ac:dyDescent="0.2">
      <c r="A174" s="122"/>
      <c r="B174" s="122"/>
      <c r="C174" s="122"/>
      <c r="D174" s="122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  <c r="AA174" s="122"/>
      <c r="AB174" s="122"/>
    </row>
    <row r="175" spans="1:28" ht="15.75" customHeight="1" x14ac:dyDescent="0.2">
      <c r="A175" s="122"/>
      <c r="B175" s="122"/>
      <c r="C175" s="122"/>
      <c r="D175" s="122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  <c r="AA175" s="122"/>
      <c r="AB175" s="122"/>
    </row>
    <row r="176" spans="1:28" ht="15.75" customHeight="1" x14ac:dyDescent="0.2">
      <c r="A176" s="122"/>
      <c r="B176" s="122"/>
      <c r="C176" s="122"/>
      <c r="D176" s="122"/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  <c r="AA176" s="122"/>
      <c r="AB176" s="122"/>
    </row>
    <row r="177" spans="1:28" ht="15.75" customHeight="1" x14ac:dyDescent="0.2">
      <c r="A177" s="122"/>
      <c r="B177" s="122"/>
      <c r="C177" s="122"/>
      <c r="D177" s="122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  <c r="AA177" s="122"/>
      <c r="AB177" s="122"/>
    </row>
    <row r="178" spans="1:28" ht="15.75" customHeight="1" x14ac:dyDescent="0.2">
      <c r="A178" s="122"/>
      <c r="B178" s="122"/>
      <c r="C178" s="122"/>
      <c r="D178" s="122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  <c r="AA178" s="122"/>
      <c r="AB178" s="122"/>
    </row>
    <row r="179" spans="1:28" ht="15.75" customHeight="1" x14ac:dyDescent="0.2">
      <c r="A179" s="122"/>
      <c r="B179" s="122"/>
      <c r="C179" s="122"/>
      <c r="D179" s="122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  <c r="AA179" s="122"/>
      <c r="AB179" s="122"/>
    </row>
    <row r="180" spans="1:28" ht="15.75" customHeight="1" x14ac:dyDescent="0.2">
      <c r="A180" s="122"/>
      <c r="B180" s="122"/>
      <c r="C180" s="122"/>
      <c r="D180" s="122"/>
      <c r="E180" s="122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  <c r="AA180" s="122"/>
      <c r="AB180" s="122"/>
    </row>
    <row r="181" spans="1:28" ht="15.75" customHeight="1" x14ac:dyDescent="0.2">
      <c r="A181" s="122"/>
      <c r="B181" s="122"/>
      <c r="C181" s="122"/>
      <c r="D181" s="122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  <c r="AA181" s="122"/>
      <c r="AB181" s="122"/>
    </row>
    <row r="182" spans="1:28" ht="15.75" customHeight="1" x14ac:dyDescent="0.2">
      <c r="A182" s="122"/>
      <c r="B182" s="122"/>
      <c r="C182" s="122"/>
      <c r="D182" s="122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  <c r="AA182" s="122"/>
      <c r="AB182" s="122"/>
    </row>
    <row r="183" spans="1:28" ht="15.75" customHeight="1" x14ac:dyDescent="0.2">
      <c r="A183" s="122"/>
      <c r="B183" s="122"/>
      <c r="C183" s="122"/>
      <c r="D183" s="122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  <c r="AA183" s="122"/>
      <c r="AB183" s="122"/>
    </row>
    <row r="184" spans="1:28" ht="15.75" customHeight="1" x14ac:dyDescent="0.2">
      <c r="A184" s="122"/>
      <c r="B184" s="122"/>
      <c r="C184" s="122"/>
      <c r="D184" s="122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  <c r="AA184" s="122"/>
      <c r="AB184" s="122"/>
    </row>
    <row r="185" spans="1:28" ht="15.75" customHeight="1" x14ac:dyDescent="0.2">
      <c r="A185" s="122"/>
      <c r="B185" s="122"/>
      <c r="C185" s="122"/>
      <c r="D185" s="122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  <c r="AA185" s="122"/>
      <c r="AB185" s="122"/>
    </row>
    <row r="186" spans="1:28" ht="15.75" customHeight="1" x14ac:dyDescent="0.2">
      <c r="A186" s="122"/>
      <c r="B186" s="122"/>
      <c r="C186" s="122"/>
      <c r="D186" s="122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  <c r="AA186" s="122"/>
      <c r="AB186" s="122"/>
    </row>
    <row r="187" spans="1:28" ht="15.75" customHeight="1" x14ac:dyDescent="0.2">
      <c r="A187" s="122"/>
      <c r="B187" s="122"/>
      <c r="C187" s="122"/>
      <c r="D187" s="122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  <c r="AA187" s="122"/>
      <c r="AB187" s="122"/>
    </row>
    <row r="188" spans="1:28" ht="15.75" customHeight="1" x14ac:dyDescent="0.2">
      <c r="A188" s="122"/>
      <c r="B188" s="122"/>
      <c r="C188" s="122"/>
      <c r="D188" s="122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  <c r="AA188" s="122"/>
      <c r="AB188" s="122"/>
    </row>
    <row r="189" spans="1:28" ht="15.75" customHeight="1" x14ac:dyDescent="0.2">
      <c r="A189" s="122"/>
      <c r="B189" s="122"/>
      <c r="C189" s="122"/>
      <c r="D189" s="122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  <c r="AA189" s="122"/>
      <c r="AB189" s="122"/>
    </row>
    <row r="190" spans="1:28" ht="15.75" customHeight="1" x14ac:dyDescent="0.2">
      <c r="A190" s="122"/>
      <c r="B190" s="122"/>
      <c r="C190" s="122"/>
      <c r="D190" s="122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  <c r="AA190" s="122"/>
      <c r="AB190" s="122"/>
    </row>
    <row r="191" spans="1:28" ht="15.75" customHeight="1" x14ac:dyDescent="0.2">
      <c r="A191" s="122"/>
      <c r="B191" s="122"/>
      <c r="C191" s="122"/>
      <c r="D191" s="122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  <c r="AA191" s="122"/>
      <c r="AB191" s="122"/>
    </row>
    <row r="192" spans="1:28" ht="15.75" customHeight="1" x14ac:dyDescent="0.2">
      <c r="A192" s="122"/>
      <c r="B192" s="122"/>
      <c r="C192" s="122"/>
      <c r="D192" s="122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  <c r="AA192" s="122"/>
      <c r="AB192" s="122"/>
    </row>
    <row r="193" spans="1:28" ht="15.75" customHeight="1" x14ac:dyDescent="0.2">
      <c r="A193" s="122"/>
      <c r="B193" s="122"/>
      <c r="C193" s="122"/>
      <c r="D193" s="122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  <c r="AA193" s="122"/>
      <c r="AB193" s="122"/>
    </row>
    <row r="194" spans="1:28" ht="15.75" customHeight="1" x14ac:dyDescent="0.2">
      <c r="A194" s="122"/>
      <c r="B194" s="122"/>
      <c r="C194" s="122"/>
      <c r="D194" s="122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  <c r="AA194" s="122"/>
      <c r="AB194" s="122"/>
    </row>
    <row r="195" spans="1:28" ht="15.75" customHeight="1" x14ac:dyDescent="0.2">
      <c r="A195" s="122"/>
      <c r="B195" s="122"/>
      <c r="C195" s="122"/>
      <c r="D195" s="122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  <c r="AA195" s="122"/>
      <c r="AB195" s="122"/>
    </row>
    <row r="196" spans="1:28" ht="15.75" customHeight="1" x14ac:dyDescent="0.2">
      <c r="A196" s="122"/>
      <c r="B196" s="122"/>
      <c r="C196" s="122"/>
      <c r="D196" s="122"/>
      <c r="E196" s="122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  <c r="AA196" s="122"/>
      <c r="AB196" s="122"/>
    </row>
    <row r="197" spans="1:28" ht="15.75" customHeight="1" x14ac:dyDescent="0.2">
      <c r="A197" s="122"/>
      <c r="B197" s="122"/>
      <c r="C197" s="122"/>
      <c r="D197" s="122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  <c r="AA197" s="122"/>
      <c r="AB197" s="122"/>
    </row>
    <row r="198" spans="1:28" ht="15.75" customHeight="1" x14ac:dyDescent="0.2">
      <c r="A198" s="122"/>
      <c r="B198" s="122"/>
      <c r="C198" s="122"/>
      <c r="D198" s="122"/>
      <c r="E198" s="122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  <c r="AA198" s="122"/>
      <c r="AB198" s="122"/>
    </row>
    <row r="199" spans="1:28" ht="15.75" customHeight="1" x14ac:dyDescent="0.2">
      <c r="A199" s="122"/>
      <c r="B199" s="122"/>
      <c r="C199" s="122"/>
      <c r="D199" s="122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  <c r="AA199" s="122"/>
      <c r="AB199" s="122"/>
    </row>
    <row r="200" spans="1:28" ht="15.75" customHeight="1" x14ac:dyDescent="0.2">
      <c r="A200" s="122"/>
      <c r="B200" s="122"/>
      <c r="C200" s="122"/>
      <c r="D200" s="122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  <c r="AA200" s="122"/>
      <c r="AB200" s="122"/>
    </row>
    <row r="201" spans="1:28" ht="15.75" customHeight="1" x14ac:dyDescent="0.2">
      <c r="A201" s="122"/>
      <c r="B201" s="122"/>
      <c r="C201" s="122"/>
      <c r="D201" s="122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  <c r="AA201" s="122"/>
      <c r="AB201" s="122"/>
    </row>
    <row r="202" spans="1:28" ht="15.75" customHeight="1" x14ac:dyDescent="0.2">
      <c r="A202" s="122"/>
      <c r="B202" s="122"/>
      <c r="C202" s="122"/>
      <c r="D202" s="122"/>
      <c r="E202" s="122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  <c r="AA202" s="122"/>
      <c r="AB202" s="122"/>
    </row>
    <row r="203" spans="1:28" ht="15.75" customHeight="1" x14ac:dyDescent="0.2">
      <c r="A203" s="122"/>
      <c r="B203" s="122"/>
      <c r="C203" s="122"/>
      <c r="D203" s="122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  <c r="AA203" s="122"/>
      <c r="AB203" s="122"/>
    </row>
    <row r="204" spans="1:28" ht="15.75" customHeight="1" x14ac:dyDescent="0.2">
      <c r="A204" s="122"/>
      <c r="B204" s="122"/>
      <c r="C204" s="122"/>
      <c r="D204" s="122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  <c r="AA204" s="122"/>
      <c r="AB204" s="122"/>
    </row>
    <row r="205" spans="1:28" ht="15.75" customHeight="1" x14ac:dyDescent="0.2">
      <c r="A205" s="122"/>
      <c r="B205" s="122"/>
      <c r="C205" s="122"/>
      <c r="D205" s="122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  <c r="AA205" s="122"/>
      <c r="AB205" s="122"/>
    </row>
    <row r="206" spans="1:28" ht="15.75" customHeight="1" x14ac:dyDescent="0.2">
      <c r="A206" s="122"/>
      <c r="B206" s="122"/>
      <c r="C206" s="122"/>
      <c r="D206" s="122"/>
      <c r="E206" s="122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  <c r="AA206" s="122"/>
      <c r="AB206" s="122"/>
    </row>
    <row r="207" spans="1:28" ht="15.75" customHeight="1" x14ac:dyDescent="0.2">
      <c r="A207" s="122"/>
      <c r="B207" s="122"/>
      <c r="C207" s="122"/>
      <c r="D207" s="122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  <c r="AA207" s="122"/>
      <c r="AB207" s="122"/>
    </row>
    <row r="208" spans="1:28" ht="15.75" customHeight="1" x14ac:dyDescent="0.2">
      <c r="A208" s="122"/>
      <c r="B208" s="122"/>
      <c r="C208" s="122"/>
      <c r="D208" s="122"/>
      <c r="E208" s="122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  <c r="AA208" s="122"/>
      <c r="AB208" s="122"/>
    </row>
    <row r="209" spans="1:28" ht="15.75" customHeight="1" x14ac:dyDescent="0.2">
      <c r="A209" s="122"/>
      <c r="B209" s="122"/>
      <c r="C209" s="122"/>
      <c r="D209" s="122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  <c r="AA209" s="122"/>
      <c r="AB209" s="122"/>
    </row>
    <row r="210" spans="1:28" ht="15.75" customHeight="1" x14ac:dyDescent="0.2">
      <c r="A210" s="122"/>
      <c r="B210" s="122"/>
      <c r="C210" s="122"/>
      <c r="D210" s="122"/>
      <c r="E210" s="122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  <c r="AA210" s="122"/>
      <c r="AB210" s="122"/>
    </row>
    <row r="211" spans="1:28" ht="15.75" customHeight="1" x14ac:dyDescent="0.2">
      <c r="A211" s="122"/>
      <c r="B211" s="122"/>
      <c r="C211" s="122"/>
      <c r="D211" s="122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  <c r="AA211" s="122"/>
      <c r="AB211" s="122"/>
    </row>
    <row r="212" spans="1:28" ht="15.75" customHeight="1" x14ac:dyDescent="0.2">
      <c r="A212" s="122"/>
      <c r="B212" s="122"/>
      <c r="C212" s="122"/>
      <c r="D212" s="122"/>
      <c r="E212" s="122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  <c r="AA212" s="122"/>
      <c r="AB212" s="122"/>
    </row>
    <row r="213" spans="1:28" ht="15.75" customHeight="1" x14ac:dyDescent="0.2">
      <c r="A213" s="122"/>
      <c r="B213" s="122"/>
      <c r="C213" s="122"/>
      <c r="D213" s="122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  <c r="AA213" s="122"/>
      <c r="AB213" s="122"/>
    </row>
    <row r="214" spans="1:28" ht="15.75" customHeight="1" x14ac:dyDescent="0.2">
      <c r="A214" s="122"/>
      <c r="B214" s="122"/>
      <c r="C214" s="122"/>
      <c r="D214" s="122"/>
      <c r="E214" s="122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  <c r="AA214" s="122"/>
      <c r="AB214" s="122"/>
    </row>
    <row r="215" spans="1:28" ht="15.75" customHeight="1" x14ac:dyDescent="0.2">
      <c r="A215" s="122"/>
      <c r="B215" s="122"/>
      <c r="C215" s="122"/>
      <c r="D215" s="122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  <c r="AA215" s="122"/>
      <c r="AB215" s="122"/>
    </row>
    <row r="216" spans="1:28" ht="15.75" customHeight="1" x14ac:dyDescent="0.2">
      <c r="A216" s="122"/>
      <c r="B216" s="122"/>
      <c r="C216" s="122"/>
      <c r="D216" s="122"/>
      <c r="E216" s="122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  <c r="AA216" s="122"/>
      <c r="AB216" s="122"/>
    </row>
    <row r="217" spans="1:28" ht="15.75" customHeight="1" x14ac:dyDescent="0.2">
      <c r="A217" s="122"/>
      <c r="B217" s="122"/>
      <c r="C217" s="122"/>
      <c r="D217" s="122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  <c r="AA217" s="122"/>
      <c r="AB217" s="122"/>
    </row>
    <row r="218" spans="1:28" ht="15.75" customHeight="1" x14ac:dyDescent="0.2">
      <c r="A218" s="122"/>
      <c r="B218" s="122"/>
      <c r="C218" s="122"/>
      <c r="D218" s="122"/>
      <c r="E218" s="122"/>
      <c r="F218" s="12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  <c r="AA218" s="122"/>
      <c r="AB218" s="122"/>
    </row>
    <row r="219" spans="1:28" ht="15.75" customHeight="1" x14ac:dyDescent="0.2">
      <c r="A219" s="122"/>
      <c r="B219" s="122"/>
      <c r="C219" s="122"/>
      <c r="D219" s="122"/>
      <c r="E219" s="122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  <c r="AA219" s="122"/>
      <c r="AB219" s="122"/>
    </row>
    <row r="220" spans="1:28" ht="15.75" customHeight="1" x14ac:dyDescent="0.2">
      <c r="A220" s="122"/>
      <c r="B220" s="122"/>
      <c r="C220" s="122"/>
      <c r="D220" s="122"/>
      <c r="E220" s="122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  <c r="AA220" s="122"/>
      <c r="AB220" s="122"/>
    </row>
    <row r="221" spans="1:28" ht="15.75" customHeight="1" x14ac:dyDescent="0.2">
      <c r="A221" s="122"/>
      <c r="B221" s="122"/>
      <c r="C221" s="122"/>
      <c r="D221" s="122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  <c r="AA221" s="122"/>
      <c r="AB221" s="122"/>
    </row>
    <row r="222" spans="1:28" ht="15.75" customHeight="1" x14ac:dyDescent="0.2">
      <c r="A222" s="122"/>
      <c r="B222" s="122"/>
      <c r="C222" s="122"/>
      <c r="D222" s="122"/>
      <c r="E222" s="122"/>
      <c r="F222" s="122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  <c r="AA222" s="122"/>
      <c r="AB222" s="122"/>
    </row>
    <row r="223" spans="1:28" ht="15.75" customHeight="1" x14ac:dyDescent="0.2">
      <c r="A223" s="122"/>
      <c r="B223" s="122"/>
      <c r="C223" s="122"/>
      <c r="D223" s="122"/>
      <c r="E223" s="122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  <c r="AA223" s="122"/>
      <c r="AB223" s="122"/>
    </row>
    <row r="224" spans="1:28" ht="15.75" customHeight="1" x14ac:dyDescent="0.2">
      <c r="A224" s="122"/>
      <c r="B224" s="122"/>
      <c r="C224" s="122"/>
      <c r="D224" s="122"/>
      <c r="E224" s="122"/>
      <c r="F224" s="122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  <c r="AA224" s="122"/>
      <c r="AB224" s="122"/>
    </row>
    <row r="225" spans="1:28" ht="15.75" customHeight="1" x14ac:dyDescent="0.2">
      <c r="A225" s="122"/>
      <c r="B225" s="122"/>
      <c r="C225" s="122"/>
      <c r="D225" s="122"/>
      <c r="E225" s="122"/>
      <c r="F225" s="12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  <c r="AA225" s="122"/>
      <c r="AB225" s="122"/>
    </row>
    <row r="226" spans="1:28" ht="15.75" customHeight="1" x14ac:dyDescent="0.2">
      <c r="A226" s="122"/>
      <c r="B226" s="122"/>
      <c r="C226" s="122"/>
      <c r="D226" s="122"/>
      <c r="E226" s="122"/>
      <c r="F226" s="12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  <c r="AA226" s="122"/>
      <c r="AB226" s="122"/>
    </row>
    <row r="227" spans="1:28" ht="15.75" customHeight="1" x14ac:dyDescent="0.2">
      <c r="A227" s="122"/>
      <c r="B227" s="122"/>
      <c r="C227" s="122"/>
      <c r="D227" s="122"/>
      <c r="E227" s="122"/>
      <c r="F227" s="12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  <c r="AA227" s="122"/>
      <c r="AB227" s="122"/>
    </row>
    <row r="228" spans="1:28" ht="15.75" customHeight="1" x14ac:dyDescent="0.2">
      <c r="A228" s="122"/>
      <c r="B228" s="122"/>
      <c r="C228" s="122"/>
      <c r="D228" s="122"/>
      <c r="E228" s="122"/>
      <c r="F228" s="122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  <c r="AA228" s="122"/>
      <c r="AB228" s="122"/>
    </row>
    <row r="229" spans="1:28" ht="15.75" customHeight="1" x14ac:dyDescent="0.2">
      <c r="A229" s="122"/>
      <c r="B229" s="122"/>
      <c r="C229" s="122"/>
      <c r="D229" s="122"/>
      <c r="E229" s="122"/>
      <c r="F229" s="12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  <c r="AA229" s="122"/>
      <c r="AB229" s="122"/>
    </row>
    <row r="230" spans="1:28" ht="15.75" customHeight="1" x14ac:dyDescent="0.2">
      <c r="A230" s="122"/>
      <c r="B230" s="122"/>
      <c r="C230" s="122"/>
      <c r="D230" s="122"/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  <c r="AA230" s="122"/>
      <c r="AB230" s="122"/>
    </row>
    <row r="231" spans="1:28" ht="15.75" customHeight="1" x14ac:dyDescent="0.2">
      <c r="A231" s="122"/>
      <c r="B231" s="122"/>
      <c r="C231" s="122"/>
      <c r="D231" s="122"/>
      <c r="E231" s="122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  <c r="AA231" s="122"/>
      <c r="AB231" s="122"/>
    </row>
    <row r="232" spans="1:28" ht="15.75" customHeight="1" x14ac:dyDescent="0.2">
      <c r="A232" s="122"/>
      <c r="B232" s="122"/>
      <c r="C232" s="122"/>
      <c r="D232" s="122"/>
      <c r="E232" s="122"/>
      <c r="F232" s="122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  <c r="AA232" s="122"/>
      <c r="AB232" s="122"/>
    </row>
    <row r="233" spans="1:28" ht="15.75" customHeight="1" x14ac:dyDescent="0.2">
      <c r="A233" s="122"/>
      <c r="B233" s="122"/>
      <c r="C233" s="122"/>
      <c r="D233" s="122"/>
      <c r="E233" s="122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  <c r="AA233" s="122"/>
      <c r="AB233" s="122"/>
    </row>
    <row r="234" spans="1:28" ht="15.75" customHeight="1" x14ac:dyDescent="0.2">
      <c r="A234" s="122"/>
      <c r="B234" s="122"/>
      <c r="C234" s="122"/>
      <c r="D234" s="122"/>
      <c r="E234" s="122"/>
      <c r="F234" s="122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  <c r="AA234" s="122"/>
      <c r="AB234" s="122"/>
    </row>
    <row r="235" spans="1:28" ht="15.75" customHeight="1" x14ac:dyDescent="0.2">
      <c r="A235" s="122"/>
      <c r="B235" s="122"/>
      <c r="C235" s="122"/>
      <c r="D235" s="122"/>
      <c r="E235" s="122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  <c r="AA235" s="122"/>
      <c r="AB235" s="122"/>
    </row>
    <row r="236" spans="1:28" ht="15.75" customHeight="1" x14ac:dyDescent="0.2">
      <c r="A236" s="122"/>
      <c r="B236" s="122"/>
      <c r="C236" s="122"/>
      <c r="D236" s="122"/>
      <c r="E236" s="122"/>
      <c r="F236" s="122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  <c r="AA236" s="122"/>
      <c r="AB236" s="122"/>
    </row>
    <row r="237" spans="1:28" ht="15.75" customHeight="1" x14ac:dyDescent="0.2">
      <c r="A237" s="122"/>
      <c r="B237" s="122"/>
      <c r="C237" s="122"/>
      <c r="D237" s="122"/>
      <c r="E237" s="122"/>
      <c r="F237" s="122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  <c r="AA237" s="122"/>
      <c r="AB237" s="122"/>
    </row>
    <row r="238" spans="1:28" ht="15.75" customHeight="1" x14ac:dyDescent="0.2">
      <c r="A238" s="122"/>
      <c r="B238" s="122"/>
      <c r="C238" s="122"/>
      <c r="D238" s="122"/>
      <c r="E238" s="122"/>
      <c r="F238" s="122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  <c r="AA238" s="122"/>
      <c r="AB238" s="122"/>
    </row>
    <row r="239" spans="1:28" ht="15.75" customHeight="1" x14ac:dyDescent="0.2">
      <c r="A239" s="122"/>
      <c r="B239" s="122"/>
      <c r="C239" s="122"/>
      <c r="D239" s="122"/>
      <c r="E239" s="122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  <c r="AA239" s="122"/>
      <c r="AB239" s="122"/>
    </row>
    <row r="240" spans="1:28" ht="15.75" customHeight="1" x14ac:dyDescent="0.2">
      <c r="A240" s="122"/>
      <c r="B240" s="122"/>
      <c r="C240" s="122"/>
      <c r="D240" s="122"/>
      <c r="E240" s="122"/>
      <c r="F240" s="122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  <c r="AA240" s="122"/>
      <c r="AB240" s="122"/>
    </row>
    <row r="241" spans="1:28" ht="15.75" customHeight="1" x14ac:dyDescent="0.2">
      <c r="A241" s="122"/>
      <c r="B241" s="122"/>
      <c r="C241" s="122"/>
      <c r="D241" s="122"/>
      <c r="E241" s="122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  <c r="AA241" s="122"/>
      <c r="AB241" s="122"/>
    </row>
    <row r="242" spans="1:28" ht="15.75" customHeight="1" x14ac:dyDescent="0.2">
      <c r="A242" s="122"/>
      <c r="B242" s="122"/>
      <c r="C242" s="122"/>
      <c r="D242" s="122"/>
      <c r="E242" s="122"/>
      <c r="F242" s="122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  <c r="AA242" s="122"/>
      <c r="AB242" s="122"/>
    </row>
    <row r="243" spans="1:28" ht="15.75" customHeight="1" x14ac:dyDescent="0.2">
      <c r="A243" s="122"/>
      <c r="B243" s="122"/>
      <c r="C243" s="122"/>
      <c r="D243" s="122"/>
      <c r="E243" s="122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  <c r="AA243" s="122"/>
      <c r="AB243" s="122"/>
    </row>
    <row r="244" spans="1:28" ht="15.75" customHeight="1" x14ac:dyDescent="0.2">
      <c r="A244" s="122"/>
      <c r="B244" s="122"/>
      <c r="C244" s="122"/>
      <c r="D244" s="122"/>
      <c r="E244" s="122"/>
      <c r="F244" s="122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  <c r="AA244" s="122"/>
      <c r="AB244" s="122"/>
    </row>
    <row r="245" spans="1:28" ht="15.75" customHeight="1" x14ac:dyDescent="0.2">
      <c r="A245" s="122"/>
      <c r="B245" s="122"/>
      <c r="C245" s="122"/>
      <c r="D245" s="122"/>
      <c r="E245" s="122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  <c r="AA245" s="122"/>
      <c r="AB245" s="122"/>
    </row>
    <row r="246" spans="1:28" ht="15.75" customHeight="1" x14ac:dyDescent="0.2">
      <c r="A246" s="122"/>
      <c r="B246" s="122"/>
      <c r="C246" s="122"/>
      <c r="D246" s="122"/>
      <c r="E246" s="122"/>
      <c r="F246" s="122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  <c r="AA246" s="122"/>
      <c r="AB246" s="122"/>
    </row>
    <row r="247" spans="1:28" ht="15.75" customHeight="1" x14ac:dyDescent="0.2">
      <c r="A247" s="122"/>
      <c r="B247" s="122"/>
      <c r="C247" s="122"/>
      <c r="D247" s="122"/>
      <c r="E247" s="122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  <c r="AA247" s="122"/>
      <c r="AB247" s="122"/>
    </row>
    <row r="248" spans="1:28" ht="15.75" customHeight="1" x14ac:dyDescent="0.2">
      <c r="A248" s="122"/>
      <c r="B248" s="122"/>
      <c r="C248" s="122"/>
      <c r="D248" s="122"/>
      <c r="E248" s="122"/>
      <c r="F248" s="122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  <c r="AA248" s="122"/>
      <c r="AB248" s="122"/>
    </row>
    <row r="249" spans="1:28" ht="15.75" customHeight="1" x14ac:dyDescent="0.2">
      <c r="A249" s="122"/>
      <c r="B249" s="122"/>
      <c r="C249" s="122"/>
      <c r="D249" s="122"/>
      <c r="E249" s="122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  <c r="AA249" s="122"/>
      <c r="AB249" s="122"/>
    </row>
    <row r="250" spans="1:28" ht="15.75" customHeight="1" x14ac:dyDescent="0.2">
      <c r="A250" s="122"/>
      <c r="B250" s="122"/>
      <c r="C250" s="122"/>
      <c r="D250" s="122"/>
      <c r="E250" s="122"/>
      <c r="F250" s="122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  <c r="AA250" s="122"/>
      <c r="AB250" s="122"/>
    </row>
    <row r="251" spans="1:28" ht="15.75" customHeight="1" x14ac:dyDescent="0.2">
      <c r="A251" s="122"/>
      <c r="B251" s="122"/>
      <c r="C251" s="122"/>
      <c r="D251" s="122"/>
      <c r="E251" s="122"/>
      <c r="F251" s="122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  <c r="AA251" s="122"/>
      <c r="AB251" s="122"/>
    </row>
    <row r="252" spans="1:28" ht="15.75" customHeight="1" x14ac:dyDescent="0.2">
      <c r="A252" s="122"/>
      <c r="B252" s="122"/>
      <c r="C252" s="122"/>
      <c r="D252" s="122"/>
      <c r="E252" s="122"/>
      <c r="F252" s="122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  <c r="AA252" s="122"/>
      <c r="AB252" s="122"/>
    </row>
    <row r="253" spans="1:28" ht="15.75" customHeight="1" x14ac:dyDescent="0.2">
      <c r="A253" s="122"/>
      <c r="B253" s="122"/>
      <c r="C253" s="122"/>
      <c r="D253" s="122"/>
      <c r="E253" s="122"/>
      <c r="F253" s="122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  <c r="AA253" s="122"/>
      <c r="AB253" s="122"/>
    </row>
    <row r="254" spans="1:28" ht="15.75" customHeight="1" x14ac:dyDescent="0.2">
      <c r="A254" s="122"/>
      <c r="B254" s="122"/>
      <c r="C254" s="122"/>
      <c r="D254" s="122"/>
      <c r="E254" s="122"/>
      <c r="F254" s="122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  <c r="AA254" s="122"/>
      <c r="AB254" s="122"/>
    </row>
    <row r="255" spans="1:28" ht="15.75" customHeight="1" x14ac:dyDescent="0.2">
      <c r="A255" s="122"/>
      <c r="B255" s="122"/>
      <c r="C255" s="122"/>
      <c r="D255" s="122"/>
      <c r="E255" s="122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  <c r="AA255" s="122"/>
      <c r="AB255" s="122"/>
    </row>
    <row r="256" spans="1:28" ht="15.75" customHeight="1" x14ac:dyDescent="0.2">
      <c r="A256" s="122"/>
      <c r="B256" s="122"/>
      <c r="C256" s="122"/>
      <c r="D256" s="122"/>
      <c r="E256" s="122"/>
      <c r="F256" s="122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  <c r="AA256" s="122"/>
      <c r="AB256" s="122"/>
    </row>
    <row r="257" spans="1:28" ht="15.75" customHeight="1" x14ac:dyDescent="0.2">
      <c r="A257" s="122"/>
      <c r="B257" s="122"/>
      <c r="C257" s="122"/>
      <c r="D257" s="122"/>
      <c r="E257" s="122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  <c r="AA257" s="122"/>
      <c r="AB257" s="122"/>
    </row>
    <row r="258" spans="1:28" ht="15.75" customHeight="1" x14ac:dyDescent="0.2">
      <c r="A258" s="122"/>
      <c r="B258" s="122"/>
      <c r="C258" s="122"/>
      <c r="D258" s="122"/>
      <c r="E258" s="122"/>
      <c r="F258" s="122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  <c r="AA258" s="122"/>
      <c r="AB258" s="122"/>
    </row>
    <row r="259" spans="1:28" ht="15.75" customHeight="1" x14ac:dyDescent="0.2">
      <c r="A259" s="122"/>
      <c r="B259" s="122"/>
      <c r="C259" s="122"/>
      <c r="D259" s="122"/>
      <c r="E259" s="122"/>
      <c r="F259" s="122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  <c r="AA259" s="122"/>
      <c r="AB259" s="122"/>
    </row>
    <row r="260" spans="1:28" ht="15.75" customHeight="1" x14ac:dyDescent="0.2">
      <c r="A260" s="122"/>
      <c r="B260" s="122"/>
      <c r="C260" s="122"/>
      <c r="D260" s="122"/>
      <c r="E260" s="122"/>
      <c r="F260" s="122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  <c r="AA260" s="122"/>
      <c r="AB260" s="122"/>
    </row>
    <row r="261" spans="1:28" ht="15.75" customHeight="1" x14ac:dyDescent="0.2">
      <c r="A261" s="122"/>
      <c r="B261" s="122"/>
      <c r="C261" s="122"/>
      <c r="D261" s="122"/>
      <c r="E261" s="122"/>
      <c r="F261" s="122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  <c r="AA261" s="122"/>
      <c r="AB261" s="122"/>
    </row>
    <row r="262" spans="1:28" ht="15.75" customHeight="1" x14ac:dyDescent="0.2">
      <c r="A262" s="122"/>
      <c r="B262" s="122"/>
      <c r="C262" s="122"/>
      <c r="D262" s="122"/>
      <c r="E262" s="122"/>
      <c r="F262" s="122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  <c r="AA262" s="122"/>
      <c r="AB262" s="122"/>
    </row>
    <row r="263" spans="1:28" ht="15.75" customHeight="1" x14ac:dyDescent="0.2">
      <c r="A263" s="122"/>
      <c r="B263" s="122"/>
      <c r="C263" s="122"/>
      <c r="D263" s="122"/>
      <c r="E263" s="122"/>
      <c r="F263" s="122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  <c r="AA263" s="122"/>
      <c r="AB263" s="122"/>
    </row>
    <row r="264" spans="1:28" ht="15.75" customHeight="1" x14ac:dyDescent="0.2">
      <c r="A264" s="122"/>
      <c r="B264" s="122"/>
      <c r="C264" s="122"/>
      <c r="D264" s="122"/>
      <c r="E264" s="122"/>
      <c r="F264" s="122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  <c r="AA264" s="122"/>
      <c r="AB264" s="122"/>
    </row>
    <row r="265" spans="1:28" ht="15.75" customHeight="1" x14ac:dyDescent="0.2">
      <c r="A265" s="122"/>
      <c r="B265" s="122"/>
      <c r="C265" s="122"/>
      <c r="D265" s="122"/>
      <c r="E265" s="122"/>
      <c r="F265" s="122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  <c r="AA265" s="122"/>
      <c r="AB265" s="122"/>
    </row>
    <row r="266" spans="1:28" ht="15.75" customHeight="1" x14ac:dyDescent="0.2">
      <c r="A266" s="122"/>
      <c r="B266" s="122"/>
      <c r="C266" s="122"/>
      <c r="D266" s="122"/>
      <c r="E266" s="122"/>
      <c r="F266" s="122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  <c r="AA266" s="122"/>
      <c r="AB266" s="122"/>
    </row>
    <row r="267" spans="1:28" ht="15.75" customHeight="1" x14ac:dyDescent="0.2">
      <c r="A267" s="122"/>
      <c r="B267" s="122"/>
      <c r="C267" s="122"/>
      <c r="D267" s="122"/>
      <c r="E267" s="122"/>
      <c r="F267" s="122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  <c r="AA267" s="122"/>
      <c r="AB267" s="122"/>
    </row>
    <row r="268" spans="1:28" ht="15.75" customHeight="1" x14ac:dyDescent="0.2">
      <c r="A268" s="122"/>
      <c r="B268" s="122"/>
      <c r="C268" s="122"/>
      <c r="D268" s="122"/>
      <c r="E268" s="122"/>
      <c r="F268" s="122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  <c r="AA268" s="122"/>
      <c r="AB268" s="122"/>
    </row>
    <row r="269" spans="1:28" ht="15.75" customHeight="1" x14ac:dyDescent="0.2">
      <c r="A269" s="122"/>
      <c r="B269" s="122"/>
      <c r="C269" s="122"/>
      <c r="D269" s="122"/>
      <c r="E269" s="122"/>
      <c r="F269" s="122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  <c r="AA269" s="122"/>
      <c r="AB269" s="122"/>
    </row>
    <row r="270" spans="1:28" ht="15.75" customHeight="1" x14ac:dyDescent="0.2">
      <c r="A270" s="122"/>
      <c r="B270" s="122"/>
      <c r="C270" s="122"/>
      <c r="D270" s="122"/>
      <c r="E270" s="122"/>
      <c r="F270" s="122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  <c r="AA270" s="122"/>
      <c r="AB270" s="122"/>
    </row>
    <row r="271" spans="1:28" ht="15.75" customHeight="1" x14ac:dyDescent="0.2">
      <c r="A271" s="122"/>
      <c r="B271" s="122"/>
      <c r="C271" s="122"/>
      <c r="D271" s="122"/>
      <c r="E271" s="122"/>
      <c r="F271" s="122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  <c r="AA271" s="122"/>
      <c r="AB271" s="122"/>
    </row>
    <row r="272" spans="1:28" ht="15.75" customHeight="1" x14ac:dyDescent="0.2">
      <c r="A272" s="122"/>
      <c r="B272" s="122"/>
      <c r="C272" s="122"/>
      <c r="D272" s="122"/>
      <c r="E272" s="122"/>
      <c r="F272" s="122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  <c r="AA272" s="122"/>
      <c r="AB272" s="122"/>
    </row>
    <row r="273" spans="1:28" ht="15.75" customHeight="1" x14ac:dyDescent="0.2">
      <c r="A273" s="122"/>
      <c r="B273" s="122"/>
      <c r="C273" s="122"/>
      <c r="D273" s="122"/>
      <c r="E273" s="122"/>
      <c r="F273" s="122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  <c r="AA273" s="122"/>
      <c r="AB273" s="122"/>
    </row>
    <row r="274" spans="1:28" ht="15.75" customHeight="1" x14ac:dyDescent="0.2">
      <c r="A274" s="122"/>
      <c r="B274" s="122"/>
      <c r="C274" s="122"/>
      <c r="D274" s="122"/>
      <c r="E274" s="122"/>
      <c r="F274" s="122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  <c r="AA274" s="122"/>
      <c r="AB274" s="122"/>
    </row>
    <row r="275" spans="1:28" ht="15.75" customHeight="1" x14ac:dyDescent="0.2">
      <c r="A275" s="122"/>
      <c r="B275" s="122"/>
      <c r="C275" s="122"/>
      <c r="D275" s="122"/>
      <c r="E275" s="122"/>
      <c r="F275" s="122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  <c r="AA275" s="122"/>
      <c r="AB275" s="122"/>
    </row>
    <row r="276" spans="1:28" ht="15.75" customHeight="1" x14ac:dyDescent="0.2">
      <c r="A276" s="122"/>
      <c r="B276" s="122"/>
      <c r="C276" s="122"/>
      <c r="D276" s="122"/>
      <c r="E276" s="122"/>
      <c r="F276" s="122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  <c r="AA276" s="122"/>
      <c r="AB276" s="122"/>
    </row>
    <row r="277" spans="1:28" ht="15.75" customHeight="1" x14ac:dyDescent="0.2">
      <c r="A277" s="122"/>
      <c r="B277" s="122"/>
      <c r="C277" s="122"/>
      <c r="D277" s="122"/>
      <c r="E277" s="122"/>
      <c r="F277" s="122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  <c r="AA277" s="122"/>
      <c r="AB277" s="122"/>
    </row>
    <row r="278" spans="1:28" ht="15.75" customHeight="1" x14ac:dyDescent="0.2">
      <c r="A278" s="122"/>
      <c r="B278" s="122"/>
      <c r="C278" s="122"/>
      <c r="D278" s="122"/>
      <c r="E278" s="122"/>
      <c r="F278" s="122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  <c r="AA278" s="122"/>
      <c r="AB278" s="122"/>
    </row>
    <row r="279" spans="1:28" ht="15.75" customHeight="1" x14ac:dyDescent="0.2">
      <c r="A279" s="122"/>
      <c r="B279" s="122"/>
      <c r="C279" s="122"/>
      <c r="D279" s="122"/>
      <c r="E279" s="122"/>
      <c r="F279" s="122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  <c r="AA279" s="122"/>
      <c r="AB279" s="122"/>
    </row>
    <row r="280" spans="1:28" ht="15.75" customHeight="1" x14ac:dyDescent="0.2">
      <c r="A280" s="122"/>
      <c r="B280" s="122"/>
      <c r="C280" s="122"/>
      <c r="D280" s="122"/>
      <c r="E280" s="122"/>
      <c r="F280" s="122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  <c r="AA280" s="122"/>
      <c r="AB280" s="122"/>
    </row>
    <row r="281" spans="1:28" ht="15.75" customHeight="1" x14ac:dyDescent="0.2">
      <c r="A281" s="122"/>
      <c r="B281" s="122"/>
      <c r="C281" s="122"/>
      <c r="D281" s="122"/>
      <c r="E281" s="122"/>
      <c r="F281" s="122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  <c r="AA281" s="122"/>
      <c r="AB281" s="122"/>
    </row>
    <row r="282" spans="1:28" ht="15.75" customHeight="1" x14ac:dyDescent="0.2">
      <c r="A282" s="122"/>
      <c r="B282" s="122"/>
      <c r="C282" s="122"/>
      <c r="D282" s="122"/>
      <c r="E282" s="122"/>
      <c r="F282" s="122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  <c r="AA282" s="122"/>
      <c r="AB282" s="122"/>
    </row>
    <row r="283" spans="1:28" ht="15.75" customHeight="1" x14ac:dyDescent="0.2">
      <c r="A283" s="122"/>
      <c r="B283" s="122"/>
      <c r="C283" s="122"/>
      <c r="D283" s="122"/>
      <c r="E283" s="122"/>
      <c r="F283" s="122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  <c r="AA283" s="122"/>
      <c r="AB283" s="122"/>
    </row>
    <row r="284" spans="1:28" ht="15.75" customHeight="1" x14ac:dyDescent="0.2">
      <c r="A284" s="122"/>
      <c r="B284" s="122"/>
      <c r="C284" s="122"/>
      <c r="D284" s="122"/>
      <c r="E284" s="122"/>
      <c r="F284" s="122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  <c r="AA284" s="122"/>
      <c r="AB284" s="122"/>
    </row>
    <row r="285" spans="1:28" ht="15.75" customHeight="1" x14ac:dyDescent="0.2">
      <c r="A285" s="122"/>
      <c r="B285" s="122"/>
      <c r="C285" s="122"/>
      <c r="D285" s="122"/>
      <c r="E285" s="122"/>
      <c r="F285" s="122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  <c r="AA285" s="122"/>
      <c r="AB285" s="122"/>
    </row>
    <row r="286" spans="1:28" ht="15.75" customHeight="1" x14ac:dyDescent="0.2">
      <c r="A286" s="122"/>
      <c r="B286" s="122"/>
      <c r="C286" s="122"/>
      <c r="D286" s="122"/>
      <c r="E286" s="122"/>
      <c r="F286" s="122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  <c r="AA286" s="122"/>
      <c r="AB286" s="122"/>
    </row>
    <row r="287" spans="1:28" ht="15.75" customHeight="1" x14ac:dyDescent="0.2">
      <c r="A287" s="122"/>
      <c r="B287" s="122"/>
      <c r="C287" s="122"/>
      <c r="D287" s="122"/>
      <c r="E287" s="122"/>
      <c r="F287" s="122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  <c r="AA287" s="122"/>
      <c r="AB287" s="122"/>
    </row>
    <row r="288" spans="1:28" ht="15.75" customHeight="1" x14ac:dyDescent="0.2">
      <c r="A288" s="122"/>
      <c r="B288" s="122"/>
      <c r="C288" s="122"/>
      <c r="D288" s="122"/>
      <c r="E288" s="122"/>
      <c r="F288" s="122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  <c r="AA288" s="122"/>
      <c r="AB288" s="122"/>
    </row>
    <row r="289" spans="1:28" ht="15.75" customHeight="1" x14ac:dyDescent="0.2">
      <c r="A289" s="122"/>
      <c r="B289" s="122"/>
      <c r="C289" s="122"/>
      <c r="D289" s="122"/>
      <c r="E289" s="122"/>
      <c r="F289" s="122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  <c r="AA289" s="122"/>
      <c r="AB289" s="122"/>
    </row>
    <row r="290" spans="1:28" ht="15.75" customHeight="1" x14ac:dyDescent="0.2">
      <c r="A290" s="122"/>
      <c r="B290" s="122"/>
      <c r="C290" s="122"/>
      <c r="D290" s="122"/>
      <c r="E290" s="122"/>
      <c r="F290" s="122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  <c r="AA290" s="122"/>
      <c r="AB290" s="122"/>
    </row>
    <row r="291" spans="1:28" ht="15.75" customHeight="1" x14ac:dyDescent="0.2">
      <c r="A291" s="122"/>
      <c r="B291" s="122"/>
      <c r="C291" s="122"/>
      <c r="D291" s="122"/>
      <c r="E291" s="122"/>
      <c r="F291" s="122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  <c r="AA291" s="122"/>
      <c r="AB291" s="122"/>
    </row>
    <row r="292" spans="1:28" ht="15.75" customHeight="1" x14ac:dyDescent="0.2">
      <c r="A292" s="122"/>
      <c r="B292" s="122"/>
      <c r="C292" s="122"/>
      <c r="D292" s="122"/>
      <c r="E292" s="122"/>
      <c r="F292" s="122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  <c r="AA292" s="122"/>
      <c r="AB292" s="122"/>
    </row>
    <row r="293" spans="1:28" ht="15.75" customHeight="1" x14ac:dyDescent="0.2">
      <c r="A293" s="122"/>
      <c r="B293" s="122"/>
      <c r="C293" s="122"/>
      <c r="D293" s="122"/>
      <c r="E293" s="122"/>
      <c r="F293" s="122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  <c r="AA293" s="122"/>
      <c r="AB293" s="122"/>
    </row>
    <row r="294" spans="1:28" ht="15.75" customHeight="1" x14ac:dyDescent="0.2">
      <c r="A294" s="122"/>
      <c r="B294" s="122"/>
      <c r="C294" s="122"/>
      <c r="D294" s="122"/>
      <c r="E294" s="122"/>
      <c r="F294" s="122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  <c r="AA294" s="122"/>
      <c r="AB294" s="122"/>
    </row>
    <row r="295" spans="1:28" ht="15.75" customHeight="1" x14ac:dyDescent="0.2">
      <c r="A295" s="122"/>
      <c r="B295" s="122"/>
      <c r="C295" s="122"/>
      <c r="D295" s="122"/>
      <c r="E295" s="122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  <c r="AA295" s="122"/>
      <c r="AB295" s="122"/>
    </row>
    <row r="296" spans="1:28" ht="15.75" customHeight="1" x14ac:dyDescent="0.2">
      <c r="A296" s="122"/>
      <c r="B296" s="122"/>
      <c r="C296" s="122"/>
      <c r="D296" s="122"/>
      <c r="E296" s="122"/>
      <c r="F296" s="122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  <c r="AA296" s="122"/>
      <c r="AB296" s="122"/>
    </row>
    <row r="297" spans="1:28" ht="15.75" customHeight="1" x14ac:dyDescent="0.2">
      <c r="A297" s="122"/>
      <c r="B297" s="122"/>
      <c r="C297" s="122"/>
      <c r="D297" s="122"/>
      <c r="E297" s="122"/>
      <c r="F297" s="122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  <c r="AA297" s="122"/>
      <c r="AB297" s="122"/>
    </row>
    <row r="298" spans="1:28" ht="15.75" customHeight="1" x14ac:dyDescent="0.2">
      <c r="A298" s="122"/>
      <c r="B298" s="122"/>
      <c r="C298" s="122"/>
      <c r="D298" s="122"/>
      <c r="E298" s="122"/>
      <c r="F298" s="122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  <c r="AA298" s="122"/>
      <c r="AB298" s="122"/>
    </row>
    <row r="299" spans="1:28" ht="15.75" customHeight="1" x14ac:dyDescent="0.2">
      <c r="A299" s="122"/>
      <c r="B299" s="122"/>
      <c r="C299" s="122"/>
      <c r="D299" s="122"/>
      <c r="E299" s="122"/>
      <c r="F299" s="122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  <c r="AA299" s="122"/>
      <c r="AB299" s="122"/>
    </row>
    <row r="300" spans="1:28" ht="15.75" customHeight="1" x14ac:dyDescent="0.2">
      <c r="A300" s="122"/>
      <c r="B300" s="122"/>
      <c r="C300" s="122"/>
      <c r="D300" s="122"/>
      <c r="E300" s="122"/>
      <c r="F300" s="122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  <c r="AA300" s="122"/>
      <c r="AB300" s="122"/>
    </row>
    <row r="301" spans="1:28" ht="15.75" customHeight="1" x14ac:dyDescent="0.2">
      <c r="A301" s="122"/>
      <c r="B301" s="122"/>
      <c r="C301" s="122"/>
      <c r="D301" s="122"/>
      <c r="E301" s="122"/>
      <c r="F301" s="122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  <c r="AA301" s="122"/>
      <c r="AB301" s="122"/>
    </row>
    <row r="302" spans="1:28" ht="15.75" customHeight="1" x14ac:dyDescent="0.2">
      <c r="A302" s="122"/>
      <c r="B302" s="122"/>
      <c r="C302" s="122"/>
      <c r="D302" s="122"/>
      <c r="E302" s="122"/>
      <c r="F302" s="122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  <c r="AA302" s="122"/>
      <c r="AB302" s="122"/>
    </row>
    <row r="303" spans="1:28" ht="15.75" customHeight="1" x14ac:dyDescent="0.2">
      <c r="A303" s="122"/>
      <c r="B303" s="122"/>
      <c r="C303" s="122"/>
      <c r="D303" s="122"/>
      <c r="E303" s="122"/>
      <c r="F303" s="122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  <c r="AA303" s="122"/>
      <c r="AB303" s="122"/>
    </row>
    <row r="304" spans="1:28" ht="15.75" customHeight="1" x14ac:dyDescent="0.2">
      <c r="A304" s="122"/>
      <c r="B304" s="122"/>
      <c r="C304" s="122"/>
      <c r="D304" s="122"/>
      <c r="E304" s="122"/>
      <c r="F304" s="122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  <c r="AA304" s="122"/>
      <c r="AB304" s="122"/>
    </row>
    <row r="305" spans="1:28" ht="15.75" customHeight="1" x14ac:dyDescent="0.2">
      <c r="A305" s="122"/>
      <c r="B305" s="122"/>
      <c r="C305" s="122"/>
      <c r="D305" s="122"/>
      <c r="E305" s="122"/>
      <c r="F305" s="122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  <c r="AA305" s="122"/>
      <c r="AB305" s="122"/>
    </row>
    <row r="306" spans="1:28" ht="15.75" customHeight="1" x14ac:dyDescent="0.2">
      <c r="A306" s="122"/>
      <c r="B306" s="122"/>
      <c r="C306" s="122"/>
      <c r="D306" s="122"/>
      <c r="E306" s="122"/>
      <c r="F306" s="122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  <c r="AA306" s="122"/>
      <c r="AB306" s="122"/>
    </row>
    <row r="307" spans="1:28" ht="15.75" customHeight="1" x14ac:dyDescent="0.2">
      <c r="A307" s="122"/>
      <c r="B307" s="122"/>
      <c r="C307" s="122"/>
      <c r="D307" s="122"/>
      <c r="E307" s="122"/>
      <c r="F307" s="122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  <c r="AA307" s="122"/>
      <c r="AB307" s="122"/>
    </row>
    <row r="308" spans="1:28" ht="15.75" customHeight="1" x14ac:dyDescent="0.2">
      <c r="A308" s="122"/>
      <c r="B308" s="122"/>
      <c r="C308" s="122"/>
      <c r="D308" s="122"/>
      <c r="E308" s="122"/>
      <c r="F308" s="122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  <c r="AA308" s="122"/>
      <c r="AB308" s="122"/>
    </row>
    <row r="309" spans="1:28" ht="15.75" customHeight="1" x14ac:dyDescent="0.2">
      <c r="A309" s="122"/>
      <c r="B309" s="122"/>
      <c r="C309" s="122"/>
      <c r="D309" s="122"/>
      <c r="E309" s="122"/>
      <c r="F309" s="122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  <c r="AA309" s="122"/>
      <c r="AB309" s="122"/>
    </row>
    <row r="310" spans="1:28" ht="15.75" customHeight="1" x14ac:dyDescent="0.2">
      <c r="A310" s="122"/>
      <c r="B310" s="122"/>
      <c r="C310" s="122"/>
      <c r="D310" s="122"/>
      <c r="E310" s="122"/>
      <c r="F310" s="122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  <c r="AA310" s="122"/>
      <c r="AB310" s="122"/>
    </row>
    <row r="311" spans="1:28" ht="15.75" customHeight="1" x14ac:dyDescent="0.2">
      <c r="A311" s="122"/>
      <c r="B311" s="122"/>
      <c r="C311" s="122"/>
      <c r="D311" s="122"/>
      <c r="E311" s="122"/>
      <c r="F311" s="122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  <c r="AA311" s="122"/>
      <c r="AB311" s="122"/>
    </row>
    <row r="312" spans="1:28" ht="15.75" customHeight="1" x14ac:dyDescent="0.2">
      <c r="A312" s="122"/>
      <c r="B312" s="122"/>
      <c r="C312" s="122"/>
      <c r="D312" s="122"/>
      <c r="E312" s="122"/>
      <c r="F312" s="122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  <c r="AA312" s="122"/>
      <c r="AB312" s="122"/>
    </row>
    <row r="313" spans="1:28" ht="15.75" customHeight="1" x14ac:dyDescent="0.2">
      <c r="A313" s="122"/>
      <c r="B313" s="122"/>
      <c r="C313" s="122"/>
      <c r="D313" s="122"/>
      <c r="E313" s="122"/>
      <c r="F313" s="122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  <c r="AA313" s="122"/>
      <c r="AB313" s="122"/>
    </row>
    <row r="314" spans="1:28" ht="15.75" customHeight="1" x14ac:dyDescent="0.2">
      <c r="A314" s="122"/>
      <c r="B314" s="122"/>
      <c r="C314" s="122"/>
      <c r="D314" s="122"/>
      <c r="E314" s="122"/>
      <c r="F314" s="122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  <c r="AA314" s="122"/>
      <c r="AB314" s="122"/>
    </row>
    <row r="315" spans="1:28" ht="15.75" customHeight="1" x14ac:dyDescent="0.2">
      <c r="A315" s="122"/>
      <c r="B315" s="122"/>
      <c r="C315" s="122"/>
      <c r="D315" s="122"/>
      <c r="E315" s="122"/>
      <c r="F315" s="122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  <c r="AA315" s="122"/>
      <c r="AB315" s="122"/>
    </row>
    <row r="316" spans="1:28" ht="15.75" customHeight="1" x14ac:dyDescent="0.2">
      <c r="A316" s="122"/>
      <c r="B316" s="122"/>
      <c r="C316" s="122"/>
      <c r="D316" s="122"/>
      <c r="E316" s="122"/>
      <c r="F316" s="122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  <c r="AA316" s="122"/>
      <c r="AB316" s="122"/>
    </row>
    <row r="317" spans="1:28" ht="15.75" customHeight="1" x14ac:dyDescent="0.2">
      <c r="A317" s="122"/>
      <c r="B317" s="122"/>
      <c r="C317" s="122"/>
      <c r="D317" s="122"/>
      <c r="E317" s="122"/>
      <c r="F317" s="122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  <c r="AA317" s="122"/>
      <c r="AB317" s="122"/>
    </row>
    <row r="318" spans="1:28" ht="15.75" customHeight="1" x14ac:dyDescent="0.2">
      <c r="A318" s="122"/>
      <c r="B318" s="122"/>
      <c r="C318" s="122"/>
      <c r="D318" s="122"/>
      <c r="E318" s="122"/>
      <c r="F318" s="122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  <c r="AA318" s="122"/>
      <c r="AB318" s="122"/>
    </row>
    <row r="319" spans="1:28" ht="15.75" customHeight="1" x14ac:dyDescent="0.2">
      <c r="A319" s="122"/>
      <c r="B319" s="122"/>
      <c r="C319" s="122"/>
      <c r="D319" s="122"/>
      <c r="E319" s="122"/>
      <c r="F319" s="122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  <c r="AA319" s="122"/>
      <c r="AB319" s="122"/>
    </row>
    <row r="320" spans="1:28" ht="15.75" customHeight="1" x14ac:dyDescent="0.2">
      <c r="A320" s="122"/>
      <c r="B320" s="122"/>
      <c r="C320" s="122"/>
      <c r="D320" s="122"/>
      <c r="E320" s="122"/>
      <c r="F320" s="122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  <c r="AA320" s="122"/>
      <c r="AB320" s="122"/>
    </row>
    <row r="321" spans="1:28" ht="15.75" customHeight="1" x14ac:dyDescent="0.2">
      <c r="A321" s="122"/>
      <c r="B321" s="122"/>
      <c r="C321" s="122"/>
      <c r="D321" s="122"/>
      <c r="E321" s="122"/>
      <c r="F321" s="122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  <c r="AA321" s="122"/>
      <c r="AB321" s="122"/>
    </row>
    <row r="322" spans="1:28" ht="15.75" customHeight="1" x14ac:dyDescent="0.2">
      <c r="A322" s="122"/>
      <c r="B322" s="122"/>
      <c r="C322" s="122"/>
      <c r="D322" s="122"/>
      <c r="E322" s="122"/>
      <c r="F322" s="122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  <c r="AA322" s="122"/>
      <c r="AB322" s="122"/>
    </row>
    <row r="323" spans="1:28" ht="15.75" customHeight="1" x14ac:dyDescent="0.2">
      <c r="A323" s="122"/>
      <c r="B323" s="122"/>
      <c r="C323" s="122"/>
      <c r="D323" s="122"/>
      <c r="E323" s="122"/>
      <c r="F323" s="122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  <c r="AA323" s="122"/>
      <c r="AB323" s="122"/>
    </row>
    <row r="324" spans="1:28" ht="15.75" customHeight="1" x14ac:dyDescent="0.2">
      <c r="A324" s="122"/>
      <c r="B324" s="122"/>
      <c r="C324" s="122"/>
      <c r="D324" s="122"/>
      <c r="E324" s="122"/>
      <c r="F324" s="122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  <c r="AA324" s="122"/>
      <c r="AB324" s="122"/>
    </row>
    <row r="325" spans="1:28" ht="15.75" customHeight="1" x14ac:dyDescent="0.2">
      <c r="A325" s="122"/>
      <c r="B325" s="122"/>
      <c r="C325" s="122"/>
      <c r="D325" s="122"/>
      <c r="E325" s="122"/>
      <c r="F325" s="122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  <c r="AA325" s="122"/>
      <c r="AB325" s="122"/>
    </row>
    <row r="326" spans="1:28" ht="15.75" customHeight="1" x14ac:dyDescent="0.2">
      <c r="A326" s="122"/>
      <c r="B326" s="122"/>
      <c r="C326" s="122"/>
      <c r="D326" s="122"/>
      <c r="E326" s="122"/>
      <c r="F326" s="122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  <c r="AA326" s="122"/>
      <c r="AB326" s="122"/>
    </row>
    <row r="327" spans="1:28" ht="15.75" customHeight="1" x14ac:dyDescent="0.2">
      <c r="A327" s="122"/>
      <c r="B327" s="122"/>
      <c r="C327" s="122"/>
      <c r="D327" s="122"/>
      <c r="E327" s="122"/>
      <c r="F327" s="122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  <c r="AA327" s="122"/>
      <c r="AB327" s="122"/>
    </row>
    <row r="328" spans="1:28" ht="15.75" customHeight="1" x14ac:dyDescent="0.2">
      <c r="A328" s="122"/>
      <c r="B328" s="122"/>
      <c r="C328" s="122"/>
      <c r="D328" s="122"/>
      <c r="E328" s="122"/>
      <c r="F328" s="122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  <c r="AA328" s="122"/>
      <c r="AB328" s="122"/>
    </row>
    <row r="329" spans="1:28" ht="15.75" customHeight="1" x14ac:dyDescent="0.2">
      <c r="A329" s="122"/>
      <c r="B329" s="122"/>
      <c r="C329" s="122"/>
      <c r="D329" s="122"/>
      <c r="E329" s="122"/>
      <c r="F329" s="122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  <c r="AA329" s="122"/>
      <c r="AB329" s="122"/>
    </row>
    <row r="330" spans="1:28" ht="15.75" customHeight="1" x14ac:dyDescent="0.2">
      <c r="A330" s="122"/>
      <c r="B330" s="122"/>
      <c r="C330" s="122"/>
      <c r="D330" s="122"/>
      <c r="E330" s="122"/>
      <c r="F330" s="122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  <c r="AA330" s="122"/>
      <c r="AB330" s="122"/>
    </row>
    <row r="331" spans="1:28" ht="15.75" customHeight="1" x14ac:dyDescent="0.2">
      <c r="A331" s="122"/>
      <c r="B331" s="122"/>
      <c r="C331" s="122"/>
      <c r="D331" s="122"/>
      <c r="E331" s="122"/>
      <c r="F331" s="122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  <c r="AA331" s="122"/>
      <c r="AB331" s="122"/>
    </row>
    <row r="332" spans="1:28" ht="15.75" customHeight="1" x14ac:dyDescent="0.2">
      <c r="A332" s="122"/>
      <c r="B332" s="122"/>
      <c r="C332" s="122"/>
      <c r="D332" s="122"/>
      <c r="E332" s="122"/>
      <c r="F332" s="122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  <c r="AA332" s="122"/>
      <c r="AB332" s="122"/>
    </row>
    <row r="333" spans="1:28" ht="15.75" customHeight="1" x14ac:dyDescent="0.2">
      <c r="A333" s="122"/>
      <c r="B333" s="122"/>
      <c r="C333" s="122"/>
      <c r="D333" s="122"/>
      <c r="E333" s="122"/>
      <c r="F333" s="122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  <c r="AA333" s="122"/>
      <c r="AB333" s="122"/>
    </row>
    <row r="334" spans="1:28" ht="15.75" customHeight="1" x14ac:dyDescent="0.2">
      <c r="A334" s="122"/>
      <c r="B334" s="122"/>
      <c r="C334" s="122"/>
      <c r="D334" s="122"/>
      <c r="E334" s="122"/>
      <c r="F334" s="122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  <c r="AA334" s="122"/>
      <c r="AB334" s="122"/>
    </row>
    <row r="335" spans="1:28" ht="15.75" customHeight="1" x14ac:dyDescent="0.2">
      <c r="A335" s="122"/>
      <c r="B335" s="122"/>
      <c r="C335" s="122"/>
      <c r="D335" s="122"/>
      <c r="E335" s="122"/>
      <c r="F335" s="122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  <c r="AA335" s="122"/>
      <c r="AB335" s="122"/>
    </row>
    <row r="336" spans="1:28" ht="15.75" customHeight="1" x14ac:dyDescent="0.2">
      <c r="A336" s="122"/>
      <c r="B336" s="122"/>
      <c r="C336" s="122"/>
      <c r="D336" s="122"/>
      <c r="E336" s="122"/>
      <c r="F336" s="122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  <c r="AA336" s="122"/>
      <c r="AB336" s="122"/>
    </row>
    <row r="337" spans="1:28" ht="15.75" customHeight="1" x14ac:dyDescent="0.2">
      <c r="A337" s="122"/>
      <c r="B337" s="122"/>
      <c r="C337" s="122"/>
      <c r="D337" s="122"/>
      <c r="E337" s="122"/>
      <c r="F337" s="122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  <c r="AA337" s="122"/>
      <c r="AB337" s="122"/>
    </row>
    <row r="338" spans="1:28" ht="15.75" customHeight="1" x14ac:dyDescent="0.2">
      <c r="A338" s="122"/>
      <c r="B338" s="122"/>
      <c r="C338" s="122"/>
      <c r="D338" s="122"/>
      <c r="E338" s="122"/>
      <c r="F338" s="122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  <c r="AA338" s="122"/>
      <c r="AB338" s="122"/>
    </row>
    <row r="339" spans="1:28" ht="15.75" customHeight="1" x14ac:dyDescent="0.2">
      <c r="A339" s="122"/>
      <c r="B339" s="122"/>
      <c r="C339" s="122"/>
      <c r="D339" s="122"/>
      <c r="E339" s="122"/>
      <c r="F339" s="122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  <c r="AA339" s="122"/>
      <c r="AB339" s="122"/>
    </row>
    <row r="340" spans="1:28" ht="15.75" customHeight="1" x14ac:dyDescent="0.2">
      <c r="A340" s="122"/>
      <c r="B340" s="122"/>
      <c r="C340" s="122"/>
      <c r="D340" s="122"/>
      <c r="E340" s="122"/>
      <c r="F340" s="122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  <c r="AA340" s="122"/>
      <c r="AB340" s="122"/>
    </row>
    <row r="341" spans="1:28" ht="15.75" customHeight="1" x14ac:dyDescent="0.2">
      <c r="A341" s="122"/>
      <c r="B341" s="122"/>
      <c r="C341" s="122"/>
      <c r="D341" s="122"/>
      <c r="E341" s="122"/>
      <c r="F341" s="122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  <c r="AA341" s="122"/>
      <c r="AB341" s="122"/>
    </row>
    <row r="342" spans="1:28" ht="15.75" customHeight="1" x14ac:dyDescent="0.2">
      <c r="A342" s="122"/>
      <c r="B342" s="122"/>
      <c r="C342" s="122"/>
      <c r="D342" s="122"/>
      <c r="E342" s="122"/>
      <c r="F342" s="122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  <c r="AA342" s="122"/>
      <c r="AB342" s="122"/>
    </row>
    <row r="343" spans="1:28" ht="15.75" customHeight="1" x14ac:dyDescent="0.2">
      <c r="A343" s="122"/>
      <c r="B343" s="122"/>
      <c r="C343" s="122"/>
      <c r="D343" s="122"/>
      <c r="E343" s="122"/>
      <c r="F343" s="122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  <c r="AA343" s="122"/>
      <c r="AB343" s="122"/>
    </row>
    <row r="344" spans="1:28" ht="15.75" customHeight="1" x14ac:dyDescent="0.2">
      <c r="A344" s="122"/>
      <c r="B344" s="122"/>
      <c r="C344" s="122"/>
      <c r="D344" s="122"/>
      <c r="E344" s="122"/>
      <c r="F344" s="122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  <c r="AA344" s="122"/>
      <c r="AB344" s="122"/>
    </row>
    <row r="345" spans="1:28" ht="15.75" customHeight="1" x14ac:dyDescent="0.2">
      <c r="A345" s="122"/>
      <c r="B345" s="122"/>
      <c r="C345" s="122"/>
      <c r="D345" s="122"/>
      <c r="E345" s="122"/>
      <c r="F345" s="122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  <c r="AA345" s="122"/>
      <c r="AB345" s="122"/>
    </row>
    <row r="346" spans="1:28" ht="15.75" customHeight="1" x14ac:dyDescent="0.2">
      <c r="A346" s="122"/>
      <c r="B346" s="122"/>
      <c r="C346" s="122"/>
      <c r="D346" s="122"/>
      <c r="E346" s="122"/>
      <c r="F346" s="122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  <c r="AA346" s="122"/>
      <c r="AB346" s="122"/>
    </row>
    <row r="347" spans="1:28" ht="15.75" customHeight="1" x14ac:dyDescent="0.2">
      <c r="A347" s="122"/>
      <c r="B347" s="122"/>
      <c r="C347" s="122"/>
      <c r="D347" s="122"/>
      <c r="E347" s="122"/>
      <c r="F347" s="122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  <c r="AA347" s="122"/>
      <c r="AB347" s="122"/>
    </row>
    <row r="348" spans="1:28" ht="15.75" customHeight="1" x14ac:dyDescent="0.2">
      <c r="A348" s="122"/>
      <c r="B348" s="122"/>
      <c r="C348" s="122"/>
      <c r="D348" s="122"/>
      <c r="E348" s="122"/>
      <c r="F348" s="122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  <c r="AA348" s="122"/>
      <c r="AB348" s="122"/>
    </row>
    <row r="349" spans="1:28" ht="15.75" customHeight="1" x14ac:dyDescent="0.2">
      <c r="A349" s="122"/>
      <c r="B349" s="122"/>
      <c r="C349" s="122"/>
      <c r="D349" s="122"/>
      <c r="E349" s="122"/>
      <c r="F349" s="122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  <c r="AA349" s="122"/>
      <c r="AB349" s="122"/>
    </row>
    <row r="350" spans="1:28" ht="15.75" customHeight="1" x14ac:dyDescent="0.2">
      <c r="A350" s="122"/>
      <c r="B350" s="122"/>
      <c r="C350" s="122"/>
      <c r="D350" s="122"/>
      <c r="E350" s="122"/>
      <c r="F350" s="122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  <c r="AA350" s="122"/>
      <c r="AB350" s="122"/>
    </row>
    <row r="351" spans="1:28" ht="15.75" customHeight="1" x14ac:dyDescent="0.2">
      <c r="A351" s="122"/>
      <c r="B351" s="122"/>
      <c r="C351" s="122"/>
      <c r="D351" s="122"/>
      <c r="E351" s="122"/>
      <c r="F351" s="122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  <c r="AA351" s="122"/>
      <c r="AB351" s="122"/>
    </row>
    <row r="352" spans="1:28" ht="15.75" customHeight="1" x14ac:dyDescent="0.2">
      <c r="A352" s="122"/>
      <c r="B352" s="122"/>
      <c r="C352" s="122"/>
      <c r="D352" s="122"/>
      <c r="E352" s="122"/>
      <c r="F352" s="122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  <c r="AA352" s="122"/>
      <c r="AB352" s="122"/>
    </row>
    <row r="353" spans="1:28" ht="15.75" customHeight="1" x14ac:dyDescent="0.2">
      <c r="A353" s="122"/>
      <c r="B353" s="122"/>
      <c r="C353" s="122"/>
      <c r="D353" s="122"/>
      <c r="E353" s="122"/>
      <c r="F353" s="122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  <c r="AA353" s="122"/>
      <c r="AB353" s="122"/>
    </row>
    <row r="354" spans="1:28" ht="15.75" customHeight="1" x14ac:dyDescent="0.2">
      <c r="A354" s="122"/>
      <c r="B354" s="122"/>
      <c r="C354" s="122"/>
      <c r="D354" s="122"/>
      <c r="E354" s="122"/>
      <c r="F354" s="122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  <c r="AA354" s="122"/>
      <c r="AB354" s="122"/>
    </row>
    <row r="355" spans="1:28" ht="15.75" customHeight="1" x14ac:dyDescent="0.2">
      <c r="A355" s="122"/>
      <c r="B355" s="122"/>
      <c r="C355" s="122"/>
      <c r="D355" s="122"/>
      <c r="E355" s="122"/>
      <c r="F355" s="122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  <c r="AA355" s="122"/>
      <c r="AB355" s="122"/>
    </row>
    <row r="356" spans="1:28" ht="15.75" customHeight="1" x14ac:dyDescent="0.2">
      <c r="A356" s="122"/>
      <c r="B356" s="122"/>
      <c r="C356" s="122"/>
      <c r="D356" s="122"/>
      <c r="E356" s="122"/>
      <c r="F356" s="122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  <c r="AA356" s="122"/>
      <c r="AB356" s="122"/>
    </row>
    <row r="357" spans="1:28" ht="15.75" customHeight="1" x14ac:dyDescent="0.2">
      <c r="A357" s="122"/>
      <c r="B357" s="122"/>
      <c r="C357" s="122"/>
      <c r="D357" s="122"/>
      <c r="E357" s="122"/>
      <c r="F357" s="122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  <c r="AA357" s="122"/>
      <c r="AB357" s="122"/>
    </row>
    <row r="358" spans="1:28" ht="15.75" customHeight="1" x14ac:dyDescent="0.2">
      <c r="A358" s="122"/>
      <c r="B358" s="122"/>
      <c r="C358" s="122"/>
      <c r="D358" s="122"/>
      <c r="E358" s="122"/>
      <c r="F358" s="122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  <c r="AA358" s="122"/>
      <c r="AB358" s="122"/>
    </row>
    <row r="359" spans="1:28" ht="15.75" customHeight="1" x14ac:dyDescent="0.2">
      <c r="A359" s="122"/>
      <c r="B359" s="122"/>
      <c r="C359" s="122"/>
      <c r="D359" s="122"/>
      <c r="E359" s="122"/>
      <c r="F359" s="122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  <c r="AA359" s="122"/>
      <c r="AB359" s="122"/>
    </row>
    <row r="360" spans="1:28" ht="15.75" customHeight="1" x14ac:dyDescent="0.2">
      <c r="A360" s="122"/>
      <c r="B360" s="122"/>
      <c r="C360" s="122"/>
      <c r="D360" s="122"/>
      <c r="E360" s="122"/>
      <c r="F360" s="122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  <c r="AA360" s="122"/>
      <c r="AB360" s="122"/>
    </row>
    <row r="361" spans="1:28" ht="15.75" customHeight="1" x14ac:dyDescent="0.2">
      <c r="A361" s="122"/>
      <c r="B361" s="122"/>
      <c r="C361" s="122"/>
      <c r="D361" s="122"/>
      <c r="E361" s="122"/>
      <c r="F361" s="122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  <c r="AA361" s="122"/>
      <c r="AB361" s="122"/>
    </row>
    <row r="362" spans="1:28" ht="15.75" customHeight="1" x14ac:dyDescent="0.2">
      <c r="A362" s="122"/>
      <c r="B362" s="122"/>
      <c r="C362" s="122"/>
      <c r="D362" s="122"/>
      <c r="E362" s="122"/>
      <c r="F362" s="122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  <c r="AA362" s="122"/>
      <c r="AB362" s="122"/>
    </row>
    <row r="363" spans="1:28" ht="15.75" customHeight="1" x14ac:dyDescent="0.2">
      <c r="A363" s="122"/>
      <c r="B363" s="122"/>
      <c r="C363" s="122"/>
      <c r="D363" s="122"/>
      <c r="E363" s="122"/>
      <c r="F363" s="122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  <c r="AA363" s="122"/>
      <c r="AB363" s="122"/>
    </row>
    <row r="364" spans="1:28" ht="15.75" customHeight="1" x14ac:dyDescent="0.2">
      <c r="A364" s="122"/>
      <c r="B364" s="122"/>
      <c r="C364" s="122"/>
      <c r="D364" s="122"/>
      <c r="E364" s="122"/>
      <c r="F364" s="122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  <c r="AA364" s="122"/>
      <c r="AB364" s="122"/>
    </row>
    <row r="365" spans="1:28" ht="15.75" customHeight="1" x14ac:dyDescent="0.2">
      <c r="A365" s="122"/>
      <c r="B365" s="122"/>
      <c r="C365" s="122"/>
      <c r="D365" s="122"/>
      <c r="E365" s="122"/>
      <c r="F365" s="122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  <c r="AA365" s="122"/>
      <c r="AB365" s="122"/>
    </row>
    <row r="366" spans="1:28" ht="15.75" customHeight="1" x14ac:dyDescent="0.2">
      <c r="A366" s="122"/>
      <c r="B366" s="122"/>
      <c r="C366" s="122"/>
      <c r="D366" s="122"/>
      <c r="E366" s="122"/>
      <c r="F366" s="122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  <c r="AA366" s="122"/>
      <c r="AB366" s="122"/>
    </row>
    <row r="367" spans="1:28" ht="15.75" customHeight="1" x14ac:dyDescent="0.2">
      <c r="A367" s="122"/>
      <c r="B367" s="122"/>
      <c r="C367" s="122"/>
      <c r="D367" s="122"/>
      <c r="E367" s="122"/>
      <c r="F367" s="122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  <c r="AA367" s="122"/>
      <c r="AB367" s="122"/>
    </row>
    <row r="368" spans="1:28" ht="15.75" customHeight="1" x14ac:dyDescent="0.2">
      <c r="A368" s="122"/>
      <c r="B368" s="122"/>
      <c r="C368" s="122"/>
      <c r="D368" s="122"/>
      <c r="E368" s="122"/>
      <c r="F368" s="122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  <c r="AA368" s="122"/>
      <c r="AB368" s="122"/>
    </row>
    <row r="369" spans="1:28" ht="15.75" customHeight="1" x14ac:dyDescent="0.2">
      <c r="A369" s="122"/>
      <c r="B369" s="122"/>
      <c r="C369" s="122"/>
      <c r="D369" s="122"/>
      <c r="E369" s="122"/>
      <c r="F369" s="122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  <c r="AA369" s="122"/>
      <c r="AB369" s="122"/>
    </row>
    <row r="370" spans="1:28" ht="15.75" customHeight="1" x14ac:dyDescent="0.2">
      <c r="A370" s="122"/>
      <c r="B370" s="122"/>
      <c r="C370" s="122"/>
      <c r="D370" s="122"/>
      <c r="E370" s="122"/>
      <c r="F370" s="122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  <c r="AA370" s="122"/>
      <c r="AB370" s="122"/>
    </row>
    <row r="371" spans="1:28" ht="15.75" customHeight="1" x14ac:dyDescent="0.2">
      <c r="A371" s="122"/>
      <c r="B371" s="122"/>
      <c r="C371" s="122"/>
      <c r="D371" s="122"/>
      <c r="E371" s="122"/>
      <c r="F371" s="122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  <c r="AA371" s="122"/>
      <c r="AB371" s="122"/>
    </row>
    <row r="372" spans="1:28" ht="15.75" customHeight="1" x14ac:dyDescent="0.2">
      <c r="A372" s="122"/>
      <c r="B372" s="122"/>
      <c r="C372" s="122"/>
      <c r="D372" s="122"/>
      <c r="E372" s="122"/>
      <c r="F372" s="122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  <c r="AA372" s="122"/>
      <c r="AB372" s="122"/>
    </row>
    <row r="373" spans="1:28" ht="15.75" customHeight="1" x14ac:dyDescent="0.2">
      <c r="A373" s="122"/>
      <c r="B373" s="122"/>
      <c r="C373" s="122"/>
      <c r="D373" s="122"/>
      <c r="E373" s="122"/>
      <c r="F373" s="122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  <c r="AA373" s="122"/>
      <c r="AB373" s="122"/>
    </row>
    <row r="374" spans="1:28" ht="15.75" customHeight="1" x14ac:dyDescent="0.2">
      <c r="A374" s="122"/>
      <c r="B374" s="122"/>
      <c r="C374" s="122"/>
      <c r="D374" s="122"/>
      <c r="E374" s="122"/>
      <c r="F374" s="122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  <c r="AA374" s="122"/>
      <c r="AB374" s="122"/>
    </row>
    <row r="375" spans="1:28" ht="15.75" customHeight="1" x14ac:dyDescent="0.2">
      <c r="A375" s="122"/>
      <c r="B375" s="122"/>
      <c r="C375" s="122"/>
      <c r="D375" s="122"/>
      <c r="E375" s="122"/>
      <c r="F375" s="122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  <c r="AA375" s="122"/>
      <c r="AB375" s="122"/>
    </row>
    <row r="376" spans="1:28" ht="15.75" customHeight="1" x14ac:dyDescent="0.2">
      <c r="A376" s="122"/>
      <c r="B376" s="122"/>
      <c r="C376" s="122"/>
      <c r="D376" s="122"/>
      <c r="E376" s="122"/>
      <c r="F376" s="122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  <c r="AA376" s="122"/>
      <c r="AB376" s="122"/>
    </row>
    <row r="377" spans="1:28" ht="15.75" customHeight="1" x14ac:dyDescent="0.2">
      <c r="A377" s="122"/>
      <c r="B377" s="122"/>
      <c r="C377" s="122"/>
      <c r="D377" s="122"/>
      <c r="E377" s="122"/>
      <c r="F377" s="122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  <c r="AA377" s="122"/>
      <c r="AB377" s="122"/>
    </row>
    <row r="378" spans="1:28" ht="15.75" customHeight="1" x14ac:dyDescent="0.2">
      <c r="A378" s="122"/>
      <c r="B378" s="122"/>
      <c r="C378" s="122"/>
      <c r="D378" s="122"/>
      <c r="E378" s="122"/>
      <c r="F378" s="122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  <c r="AA378" s="122"/>
      <c r="AB378" s="122"/>
    </row>
    <row r="379" spans="1:28" ht="15.75" customHeight="1" x14ac:dyDescent="0.2">
      <c r="A379" s="122"/>
      <c r="B379" s="122"/>
      <c r="C379" s="122"/>
      <c r="D379" s="122"/>
      <c r="E379" s="122"/>
      <c r="F379" s="122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  <c r="AA379" s="122"/>
      <c r="AB379" s="122"/>
    </row>
    <row r="380" spans="1:28" ht="15.75" customHeight="1" x14ac:dyDescent="0.2">
      <c r="A380" s="122"/>
      <c r="B380" s="122"/>
      <c r="C380" s="122"/>
      <c r="D380" s="122"/>
      <c r="E380" s="122"/>
      <c r="F380" s="122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  <c r="AA380" s="122"/>
      <c r="AB380" s="122"/>
    </row>
    <row r="381" spans="1:28" ht="15.75" customHeight="1" x14ac:dyDescent="0.2">
      <c r="A381" s="122"/>
      <c r="B381" s="122"/>
      <c r="C381" s="122"/>
      <c r="D381" s="122"/>
      <c r="E381" s="122"/>
      <c r="F381" s="122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  <c r="AA381" s="122"/>
      <c r="AB381" s="122"/>
    </row>
    <row r="382" spans="1:28" ht="15.75" customHeight="1" x14ac:dyDescent="0.2">
      <c r="A382" s="122"/>
      <c r="B382" s="122"/>
      <c r="C382" s="122"/>
      <c r="D382" s="122"/>
      <c r="E382" s="122"/>
      <c r="F382" s="122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  <c r="AA382" s="122"/>
      <c r="AB382" s="122"/>
    </row>
    <row r="383" spans="1:28" ht="15.75" customHeight="1" x14ac:dyDescent="0.2">
      <c r="A383" s="122"/>
      <c r="B383" s="122"/>
      <c r="C383" s="122"/>
      <c r="D383" s="122"/>
      <c r="E383" s="122"/>
      <c r="F383" s="122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  <c r="AA383" s="122"/>
      <c r="AB383" s="122"/>
    </row>
    <row r="384" spans="1:28" ht="15.75" customHeight="1" x14ac:dyDescent="0.2">
      <c r="A384" s="122"/>
      <c r="B384" s="122"/>
      <c r="C384" s="122"/>
      <c r="D384" s="122"/>
      <c r="E384" s="122"/>
      <c r="F384" s="122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  <c r="AA384" s="122"/>
      <c r="AB384" s="122"/>
    </row>
    <row r="385" spans="1:28" ht="15.75" customHeight="1" x14ac:dyDescent="0.2">
      <c r="A385" s="122"/>
      <c r="B385" s="122"/>
      <c r="C385" s="122"/>
      <c r="D385" s="122"/>
      <c r="E385" s="122"/>
      <c r="F385" s="122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  <c r="AA385" s="122"/>
      <c r="AB385" s="122"/>
    </row>
    <row r="386" spans="1:28" ht="15.75" customHeight="1" x14ac:dyDescent="0.2">
      <c r="A386" s="122"/>
      <c r="B386" s="122"/>
      <c r="C386" s="122"/>
      <c r="D386" s="122"/>
      <c r="E386" s="122"/>
      <c r="F386" s="122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  <c r="AA386" s="122"/>
      <c r="AB386" s="122"/>
    </row>
    <row r="387" spans="1:28" ht="15.75" customHeight="1" x14ac:dyDescent="0.2">
      <c r="A387" s="122"/>
      <c r="B387" s="122"/>
      <c r="C387" s="122"/>
      <c r="D387" s="122"/>
      <c r="E387" s="122"/>
      <c r="F387" s="122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  <c r="AA387" s="122"/>
      <c r="AB387" s="122"/>
    </row>
    <row r="388" spans="1:28" ht="15.75" customHeight="1" x14ac:dyDescent="0.2">
      <c r="A388" s="122"/>
      <c r="B388" s="122"/>
      <c r="C388" s="122"/>
      <c r="D388" s="122"/>
      <c r="E388" s="122"/>
      <c r="F388" s="122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  <c r="AA388" s="122"/>
      <c r="AB388" s="122"/>
    </row>
    <row r="389" spans="1:28" ht="15.75" customHeight="1" x14ac:dyDescent="0.2">
      <c r="A389" s="122"/>
      <c r="B389" s="122"/>
      <c r="C389" s="122"/>
      <c r="D389" s="122"/>
      <c r="E389" s="122"/>
      <c r="F389" s="122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  <c r="AA389" s="122"/>
      <c r="AB389" s="122"/>
    </row>
    <row r="390" spans="1:28" ht="15.75" customHeight="1" x14ac:dyDescent="0.2">
      <c r="A390" s="122"/>
      <c r="B390" s="122"/>
      <c r="C390" s="122"/>
      <c r="D390" s="122"/>
      <c r="E390" s="122"/>
      <c r="F390" s="122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  <c r="AA390" s="122"/>
      <c r="AB390" s="122"/>
    </row>
    <row r="391" spans="1:28" ht="15.75" customHeight="1" x14ac:dyDescent="0.2">
      <c r="A391" s="122"/>
      <c r="B391" s="122"/>
      <c r="C391" s="122"/>
      <c r="D391" s="122"/>
      <c r="E391" s="122"/>
      <c r="F391" s="122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  <c r="AA391" s="122"/>
      <c r="AB391" s="122"/>
    </row>
    <row r="392" spans="1:28" ht="15.75" customHeight="1" x14ac:dyDescent="0.2">
      <c r="A392" s="122"/>
      <c r="B392" s="122"/>
      <c r="C392" s="122"/>
      <c r="D392" s="122"/>
      <c r="E392" s="122"/>
      <c r="F392" s="122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  <c r="AA392" s="122"/>
      <c r="AB392" s="122"/>
    </row>
    <row r="393" spans="1:28" ht="15.75" customHeight="1" x14ac:dyDescent="0.2">
      <c r="A393" s="122"/>
      <c r="B393" s="122"/>
      <c r="C393" s="122"/>
      <c r="D393" s="122"/>
      <c r="E393" s="122"/>
      <c r="F393" s="122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  <c r="AA393" s="122"/>
      <c r="AB393" s="122"/>
    </row>
    <row r="394" spans="1:28" ht="15.75" customHeight="1" x14ac:dyDescent="0.2">
      <c r="A394" s="122"/>
      <c r="B394" s="122"/>
      <c r="C394" s="122"/>
      <c r="D394" s="122"/>
      <c r="E394" s="122"/>
      <c r="F394" s="122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  <c r="AA394" s="122"/>
      <c r="AB394" s="122"/>
    </row>
    <row r="395" spans="1:28" ht="15.75" customHeight="1" x14ac:dyDescent="0.2">
      <c r="A395" s="122"/>
      <c r="B395" s="122"/>
      <c r="C395" s="122"/>
      <c r="D395" s="122"/>
      <c r="E395" s="122"/>
      <c r="F395" s="122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  <c r="AA395" s="122"/>
      <c r="AB395" s="122"/>
    </row>
    <row r="396" spans="1:28" ht="15.75" customHeight="1" x14ac:dyDescent="0.2">
      <c r="A396" s="122"/>
      <c r="B396" s="122"/>
      <c r="C396" s="122"/>
      <c r="D396" s="122"/>
      <c r="E396" s="122"/>
      <c r="F396" s="122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  <c r="AA396" s="122"/>
      <c r="AB396" s="122"/>
    </row>
    <row r="397" spans="1:28" ht="15.75" customHeight="1" x14ac:dyDescent="0.2">
      <c r="A397" s="122"/>
      <c r="B397" s="122"/>
      <c r="C397" s="122"/>
      <c r="D397" s="122"/>
      <c r="E397" s="122"/>
      <c r="F397" s="122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  <c r="AA397" s="122"/>
      <c r="AB397" s="122"/>
    </row>
    <row r="398" spans="1:28" ht="15.75" customHeight="1" x14ac:dyDescent="0.2">
      <c r="A398" s="122"/>
      <c r="B398" s="122"/>
      <c r="C398" s="122"/>
      <c r="D398" s="122"/>
      <c r="E398" s="122"/>
      <c r="F398" s="122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  <c r="AA398" s="122"/>
      <c r="AB398" s="122"/>
    </row>
    <row r="399" spans="1:28" ht="15.75" customHeight="1" x14ac:dyDescent="0.2">
      <c r="A399" s="122"/>
      <c r="B399" s="122"/>
      <c r="C399" s="122"/>
      <c r="D399" s="122"/>
      <c r="E399" s="122"/>
      <c r="F399" s="122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  <c r="AA399" s="122"/>
      <c r="AB399" s="122"/>
    </row>
    <row r="400" spans="1:28" ht="15.75" customHeight="1" x14ac:dyDescent="0.2">
      <c r="A400" s="122"/>
      <c r="B400" s="122"/>
      <c r="C400" s="122"/>
      <c r="D400" s="122"/>
      <c r="E400" s="122"/>
      <c r="F400" s="122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  <c r="AA400" s="122"/>
      <c r="AB400" s="122"/>
    </row>
    <row r="401" spans="1:28" ht="15.75" customHeight="1" x14ac:dyDescent="0.2">
      <c r="A401" s="122"/>
      <c r="B401" s="122"/>
      <c r="C401" s="122"/>
      <c r="D401" s="122"/>
      <c r="E401" s="122"/>
      <c r="F401" s="122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  <c r="AA401" s="122"/>
      <c r="AB401" s="122"/>
    </row>
    <row r="402" spans="1:28" ht="15.75" customHeight="1" x14ac:dyDescent="0.2">
      <c r="A402" s="122"/>
      <c r="B402" s="122"/>
      <c r="C402" s="122"/>
      <c r="D402" s="122"/>
      <c r="E402" s="122"/>
      <c r="F402" s="122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  <c r="AA402" s="122"/>
      <c r="AB402" s="122"/>
    </row>
    <row r="403" spans="1:28" ht="15.75" customHeight="1" x14ac:dyDescent="0.2">
      <c r="A403" s="122"/>
      <c r="B403" s="122"/>
      <c r="C403" s="122"/>
      <c r="D403" s="122"/>
      <c r="E403" s="122"/>
      <c r="F403" s="122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  <c r="AA403" s="122"/>
      <c r="AB403" s="122"/>
    </row>
    <row r="404" spans="1:28" ht="15.75" customHeight="1" x14ac:dyDescent="0.2">
      <c r="A404" s="122"/>
      <c r="B404" s="122"/>
      <c r="C404" s="122"/>
      <c r="D404" s="122"/>
      <c r="E404" s="122"/>
      <c r="F404" s="122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  <c r="AA404" s="122"/>
      <c r="AB404" s="122"/>
    </row>
    <row r="405" spans="1:28" ht="15.75" customHeight="1" x14ac:dyDescent="0.2">
      <c r="A405" s="122"/>
      <c r="B405" s="122"/>
      <c r="C405" s="122"/>
      <c r="D405" s="122"/>
      <c r="E405" s="122"/>
      <c r="F405" s="122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  <c r="AA405" s="122"/>
      <c r="AB405" s="122"/>
    </row>
    <row r="406" spans="1:28" ht="15.75" customHeight="1" x14ac:dyDescent="0.2">
      <c r="A406" s="122"/>
      <c r="B406" s="122"/>
      <c r="C406" s="122"/>
      <c r="D406" s="122"/>
      <c r="E406" s="122"/>
      <c r="F406" s="122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  <c r="AA406" s="122"/>
      <c r="AB406" s="122"/>
    </row>
    <row r="407" spans="1:28" ht="15.75" customHeight="1" x14ac:dyDescent="0.2">
      <c r="A407" s="122"/>
      <c r="B407" s="122"/>
      <c r="C407" s="122"/>
      <c r="D407" s="122"/>
      <c r="E407" s="122"/>
      <c r="F407" s="122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  <c r="AA407" s="122"/>
      <c r="AB407" s="122"/>
    </row>
    <row r="408" spans="1:28" ht="15.75" customHeight="1" x14ac:dyDescent="0.2">
      <c r="A408" s="122"/>
      <c r="B408" s="122"/>
      <c r="C408" s="122"/>
      <c r="D408" s="122"/>
      <c r="E408" s="122"/>
      <c r="F408" s="122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  <c r="AA408" s="122"/>
      <c r="AB408" s="122"/>
    </row>
    <row r="409" spans="1:28" ht="15.75" customHeight="1" x14ac:dyDescent="0.2">
      <c r="A409" s="122"/>
      <c r="B409" s="122"/>
      <c r="C409" s="122"/>
      <c r="D409" s="122"/>
      <c r="E409" s="122"/>
      <c r="F409" s="122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  <c r="AA409" s="122"/>
      <c r="AB409" s="122"/>
    </row>
    <row r="410" spans="1:28" ht="15.75" customHeight="1" x14ac:dyDescent="0.2">
      <c r="A410" s="122"/>
      <c r="B410" s="122"/>
      <c r="C410" s="122"/>
      <c r="D410" s="122"/>
      <c r="E410" s="122"/>
      <c r="F410" s="122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  <c r="AA410" s="122"/>
      <c r="AB410" s="122"/>
    </row>
    <row r="411" spans="1:28" ht="15.75" customHeight="1" x14ac:dyDescent="0.2">
      <c r="A411" s="122"/>
      <c r="B411" s="122"/>
      <c r="C411" s="122"/>
      <c r="D411" s="122"/>
      <c r="E411" s="122"/>
      <c r="F411" s="122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  <c r="AA411" s="122"/>
      <c r="AB411" s="122"/>
    </row>
    <row r="412" spans="1:28" ht="15.75" customHeight="1" x14ac:dyDescent="0.2">
      <c r="A412" s="122"/>
      <c r="B412" s="122"/>
      <c r="C412" s="122"/>
      <c r="D412" s="122"/>
      <c r="E412" s="122"/>
      <c r="F412" s="122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  <c r="AA412" s="122"/>
      <c r="AB412" s="122"/>
    </row>
    <row r="413" spans="1:28" ht="15.75" customHeight="1" x14ac:dyDescent="0.2">
      <c r="A413" s="122"/>
      <c r="B413" s="122"/>
      <c r="C413" s="122"/>
      <c r="D413" s="122"/>
      <c r="E413" s="122"/>
      <c r="F413" s="122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  <c r="AA413" s="122"/>
      <c r="AB413" s="122"/>
    </row>
    <row r="414" spans="1:28" ht="15.75" customHeight="1" x14ac:dyDescent="0.2">
      <c r="A414" s="122"/>
      <c r="B414" s="122"/>
      <c r="C414" s="122"/>
      <c r="D414" s="122"/>
      <c r="E414" s="122"/>
      <c r="F414" s="122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  <c r="AA414" s="122"/>
      <c r="AB414" s="122"/>
    </row>
    <row r="415" spans="1:28" ht="15.75" customHeight="1" x14ac:dyDescent="0.2">
      <c r="A415" s="122"/>
      <c r="B415" s="122"/>
      <c r="C415" s="122"/>
      <c r="D415" s="122"/>
      <c r="E415" s="122"/>
      <c r="F415" s="122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  <c r="AA415" s="122"/>
      <c r="AB415" s="122"/>
    </row>
    <row r="416" spans="1:28" ht="15.75" customHeight="1" x14ac:dyDescent="0.2">
      <c r="A416" s="122"/>
      <c r="B416" s="122"/>
      <c r="C416" s="122"/>
      <c r="D416" s="122"/>
      <c r="E416" s="122"/>
      <c r="F416" s="122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  <c r="AA416" s="122"/>
      <c r="AB416" s="122"/>
    </row>
    <row r="417" spans="1:28" ht="15.75" customHeight="1" x14ac:dyDescent="0.2">
      <c r="A417" s="122"/>
      <c r="B417" s="122"/>
      <c r="C417" s="122"/>
      <c r="D417" s="122"/>
      <c r="E417" s="122"/>
      <c r="F417" s="122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  <c r="AA417" s="122"/>
      <c r="AB417" s="122"/>
    </row>
    <row r="418" spans="1:28" ht="15.75" customHeight="1" x14ac:dyDescent="0.2">
      <c r="A418" s="122"/>
      <c r="B418" s="122"/>
      <c r="C418" s="122"/>
      <c r="D418" s="122"/>
      <c r="E418" s="122"/>
      <c r="F418" s="122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  <c r="AA418" s="122"/>
      <c r="AB418" s="122"/>
    </row>
    <row r="419" spans="1:28" ht="15.75" customHeight="1" x14ac:dyDescent="0.2">
      <c r="A419" s="122"/>
      <c r="B419" s="122"/>
      <c r="C419" s="122"/>
      <c r="D419" s="122"/>
      <c r="E419" s="122"/>
      <c r="F419" s="122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  <c r="AA419" s="122"/>
      <c r="AB419" s="122"/>
    </row>
    <row r="420" spans="1:28" ht="15.75" customHeight="1" x14ac:dyDescent="0.2">
      <c r="A420" s="122"/>
      <c r="B420" s="122"/>
      <c r="C420" s="122"/>
      <c r="D420" s="122"/>
      <c r="E420" s="122"/>
      <c r="F420" s="122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  <c r="AA420" s="122"/>
      <c r="AB420" s="122"/>
    </row>
    <row r="421" spans="1:28" ht="15.75" customHeight="1" x14ac:dyDescent="0.2">
      <c r="A421" s="122"/>
      <c r="B421" s="122"/>
      <c r="C421" s="122"/>
      <c r="D421" s="122"/>
      <c r="E421" s="122"/>
      <c r="F421" s="122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  <c r="AA421" s="122"/>
      <c r="AB421" s="122"/>
    </row>
    <row r="422" spans="1:28" ht="15.75" customHeight="1" x14ac:dyDescent="0.2">
      <c r="A422" s="122"/>
      <c r="B422" s="122"/>
      <c r="C422" s="122"/>
      <c r="D422" s="122"/>
      <c r="E422" s="122"/>
      <c r="F422" s="122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  <c r="AA422" s="122"/>
      <c r="AB422" s="122"/>
    </row>
    <row r="423" spans="1:28" ht="15.75" customHeight="1" x14ac:dyDescent="0.2">
      <c r="A423" s="122"/>
      <c r="B423" s="122"/>
      <c r="C423" s="122"/>
      <c r="D423" s="122"/>
      <c r="E423" s="122"/>
      <c r="F423" s="122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  <c r="AA423" s="122"/>
      <c r="AB423" s="122"/>
    </row>
    <row r="424" spans="1:28" ht="15.75" customHeight="1" x14ac:dyDescent="0.2">
      <c r="A424" s="122"/>
      <c r="B424" s="122"/>
      <c r="C424" s="122"/>
      <c r="D424" s="122"/>
      <c r="E424" s="122"/>
      <c r="F424" s="122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  <c r="AA424" s="122"/>
      <c r="AB424" s="122"/>
    </row>
    <row r="425" spans="1:28" ht="15.75" customHeight="1" x14ac:dyDescent="0.2">
      <c r="A425" s="122"/>
      <c r="B425" s="122"/>
      <c r="C425" s="122"/>
      <c r="D425" s="122"/>
      <c r="E425" s="122"/>
      <c r="F425" s="122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  <c r="AA425" s="122"/>
      <c r="AB425" s="122"/>
    </row>
    <row r="426" spans="1:28" ht="15.75" customHeight="1" x14ac:dyDescent="0.2">
      <c r="A426" s="122"/>
      <c r="B426" s="122"/>
      <c r="C426" s="122"/>
      <c r="D426" s="122"/>
      <c r="E426" s="122"/>
      <c r="F426" s="122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  <c r="AA426" s="122"/>
      <c r="AB426" s="122"/>
    </row>
    <row r="427" spans="1:28" ht="15.75" customHeight="1" x14ac:dyDescent="0.2">
      <c r="A427" s="122"/>
      <c r="B427" s="122"/>
      <c r="C427" s="122"/>
      <c r="D427" s="122"/>
      <c r="E427" s="122"/>
      <c r="F427" s="122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  <c r="AA427" s="122"/>
      <c r="AB427" s="122"/>
    </row>
    <row r="428" spans="1:28" ht="15.75" customHeight="1" x14ac:dyDescent="0.2">
      <c r="A428" s="122"/>
      <c r="B428" s="122"/>
      <c r="C428" s="122"/>
      <c r="D428" s="122"/>
      <c r="E428" s="122"/>
      <c r="F428" s="122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  <c r="AA428" s="122"/>
      <c r="AB428" s="122"/>
    </row>
    <row r="429" spans="1:28" ht="15.75" customHeight="1" x14ac:dyDescent="0.2">
      <c r="A429" s="122"/>
      <c r="B429" s="122"/>
      <c r="C429" s="122"/>
      <c r="D429" s="122"/>
      <c r="E429" s="122"/>
      <c r="F429" s="122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  <c r="AA429" s="122"/>
      <c r="AB429" s="122"/>
    </row>
    <row r="430" spans="1:28" ht="15.75" customHeight="1" x14ac:dyDescent="0.2">
      <c r="A430" s="122"/>
      <c r="B430" s="122"/>
      <c r="C430" s="122"/>
      <c r="D430" s="122"/>
      <c r="E430" s="122"/>
      <c r="F430" s="122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  <c r="AA430" s="122"/>
      <c r="AB430" s="122"/>
    </row>
    <row r="431" spans="1:28" ht="15.75" customHeight="1" x14ac:dyDescent="0.2">
      <c r="A431" s="122"/>
      <c r="B431" s="122"/>
      <c r="C431" s="122"/>
      <c r="D431" s="122"/>
      <c r="E431" s="122"/>
      <c r="F431" s="122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  <c r="AA431" s="122"/>
      <c r="AB431" s="122"/>
    </row>
    <row r="432" spans="1:28" ht="15.75" customHeight="1" x14ac:dyDescent="0.2">
      <c r="A432" s="122"/>
      <c r="B432" s="122"/>
      <c r="C432" s="122"/>
      <c r="D432" s="122"/>
      <c r="E432" s="122"/>
      <c r="F432" s="122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  <c r="AA432" s="122"/>
      <c r="AB432" s="122"/>
    </row>
    <row r="433" spans="1:28" ht="15.75" customHeight="1" x14ac:dyDescent="0.2">
      <c r="A433" s="122"/>
      <c r="B433" s="122"/>
      <c r="C433" s="122"/>
      <c r="D433" s="122"/>
      <c r="E433" s="122"/>
      <c r="F433" s="122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  <c r="AA433" s="122"/>
      <c r="AB433" s="122"/>
    </row>
    <row r="434" spans="1:28" ht="15.75" customHeight="1" x14ac:dyDescent="0.2">
      <c r="A434" s="122"/>
      <c r="B434" s="122"/>
      <c r="C434" s="122"/>
      <c r="D434" s="122"/>
      <c r="E434" s="122"/>
      <c r="F434" s="122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  <c r="AA434" s="122"/>
      <c r="AB434" s="122"/>
    </row>
    <row r="435" spans="1:28" ht="15.75" customHeight="1" x14ac:dyDescent="0.2">
      <c r="A435" s="122"/>
      <c r="B435" s="122"/>
      <c r="C435" s="122"/>
      <c r="D435" s="122"/>
      <c r="E435" s="122"/>
      <c r="F435" s="122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  <c r="AA435" s="122"/>
      <c r="AB435" s="122"/>
    </row>
    <row r="436" spans="1:28" ht="15.75" customHeight="1" x14ac:dyDescent="0.2">
      <c r="A436" s="122"/>
      <c r="B436" s="122"/>
      <c r="C436" s="122"/>
      <c r="D436" s="122"/>
      <c r="E436" s="122"/>
      <c r="F436" s="122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  <c r="AA436" s="122"/>
      <c r="AB436" s="122"/>
    </row>
    <row r="437" spans="1:28" ht="15.75" customHeight="1" x14ac:dyDescent="0.2">
      <c r="A437" s="122"/>
      <c r="B437" s="122"/>
      <c r="C437" s="122"/>
      <c r="D437" s="122"/>
      <c r="E437" s="122"/>
      <c r="F437" s="122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  <c r="AA437" s="122"/>
      <c r="AB437" s="122"/>
    </row>
    <row r="438" spans="1:28" ht="15.75" customHeight="1" x14ac:dyDescent="0.2">
      <c r="A438" s="122"/>
      <c r="B438" s="122"/>
      <c r="C438" s="122"/>
      <c r="D438" s="122"/>
      <c r="E438" s="122"/>
      <c r="F438" s="122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  <c r="AA438" s="122"/>
      <c r="AB438" s="122"/>
    </row>
    <row r="439" spans="1:28" ht="15.75" customHeight="1" x14ac:dyDescent="0.2">
      <c r="A439" s="122"/>
      <c r="B439" s="122"/>
      <c r="C439" s="122"/>
      <c r="D439" s="122"/>
      <c r="E439" s="122"/>
      <c r="F439" s="122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  <c r="AA439" s="122"/>
      <c r="AB439" s="122"/>
    </row>
    <row r="440" spans="1:28" ht="15.75" customHeight="1" x14ac:dyDescent="0.2">
      <c r="A440" s="122"/>
      <c r="B440" s="122"/>
      <c r="C440" s="122"/>
      <c r="D440" s="122"/>
      <c r="E440" s="122"/>
      <c r="F440" s="122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  <c r="AA440" s="122"/>
      <c r="AB440" s="122"/>
    </row>
    <row r="441" spans="1:28" ht="15.75" customHeight="1" x14ac:dyDescent="0.2">
      <c r="A441" s="122"/>
      <c r="B441" s="122"/>
      <c r="C441" s="122"/>
      <c r="D441" s="122"/>
      <c r="E441" s="122"/>
      <c r="F441" s="122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  <c r="AA441" s="122"/>
      <c r="AB441" s="122"/>
    </row>
    <row r="442" spans="1:28" ht="15.75" customHeight="1" x14ac:dyDescent="0.2">
      <c r="A442" s="122"/>
      <c r="B442" s="122"/>
      <c r="C442" s="122"/>
      <c r="D442" s="122"/>
      <c r="E442" s="122"/>
      <c r="F442" s="122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  <c r="AA442" s="122"/>
      <c r="AB442" s="122"/>
    </row>
    <row r="443" spans="1:28" ht="15.75" customHeight="1" x14ac:dyDescent="0.2">
      <c r="A443" s="122"/>
      <c r="B443" s="122"/>
      <c r="C443" s="122"/>
      <c r="D443" s="122"/>
      <c r="E443" s="122"/>
      <c r="F443" s="122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  <c r="AA443" s="122"/>
      <c r="AB443" s="122"/>
    </row>
    <row r="444" spans="1:28" ht="15.75" customHeight="1" x14ac:dyDescent="0.2">
      <c r="A444" s="122"/>
      <c r="B444" s="122"/>
      <c r="C444" s="122"/>
      <c r="D444" s="122"/>
      <c r="E444" s="122"/>
      <c r="F444" s="122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  <c r="AA444" s="122"/>
      <c r="AB444" s="122"/>
    </row>
    <row r="445" spans="1:28" ht="15.75" customHeight="1" x14ac:dyDescent="0.2">
      <c r="A445" s="122"/>
      <c r="B445" s="122"/>
      <c r="C445" s="122"/>
      <c r="D445" s="122"/>
      <c r="E445" s="122"/>
      <c r="F445" s="122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  <c r="AA445" s="122"/>
      <c r="AB445" s="122"/>
    </row>
    <row r="446" spans="1:28" ht="15.75" customHeight="1" x14ac:dyDescent="0.2">
      <c r="A446" s="122"/>
      <c r="B446" s="122"/>
      <c r="C446" s="122"/>
      <c r="D446" s="122"/>
      <c r="E446" s="122"/>
      <c r="F446" s="122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  <c r="AA446" s="122"/>
      <c r="AB446" s="122"/>
    </row>
    <row r="447" spans="1:28" ht="15.75" customHeight="1" x14ac:dyDescent="0.2">
      <c r="A447" s="122"/>
      <c r="B447" s="122"/>
      <c r="C447" s="122"/>
      <c r="D447" s="122"/>
      <c r="E447" s="122"/>
      <c r="F447" s="122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  <c r="AA447" s="122"/>
      <c r="AB447" s="122"/>
    </row>
    <row r="448" spans="1:28" ht="15.75" customHeight="1" x14ac:dyDescent="0.2">
      <c r="A448" s="122"/>
      <c r="B448" s="122"/>
      <c r="C448" s="122"/>
      <c r="D448" s="122"/>
      <c r="E448" s="122"/>
      <c r="F448" s="122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  <c r="AA448" s="122"/>
      <c r="AB448" s="122"/>
    </row>
    <row r="449" spans="1:28" ht="15.75" customHeight="1" x14ac:dyDescent="0.2">
      <c r="A449" s="122"/>
      <c r="B449" s="122"/>
      <c r="C449" s="122"/>
      <c r="D449" s="122"/>
      <c r="E449" s="122"/>
      <c r="F449" s="122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  <c r="AA449" s="122"/>
      <c r="AB449" s="122"/>
    </row>
    <row r="450" spans="1:28" ht="15.75" customHeight="1" x14ac:dyDescent="0.2">
      <c r="A450" s="122"/>
      <c r="B450" s="122"/>
      <c r="C450" s="122"/>
      <c r="D450" s="122"/>
      <c r="E450" s="122"/>
      <c r="F450" s="122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  <c r="AA450" s="122"/>
      <c r="AB450" s="122"/>
    </row>
    <row r="451" spans="1:28" ht="15.75" customHeight="1" x14ac:dyDescent="0.2">
      <c r="A451" s="122"/>
      <c r="B451" s="122"/>
      <c r="C451" s="122"/>
      <c r="D451" s="122"/>
      <c r="E451" s="122"/>
      <c r="F451" s="122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  <c r="AA451" s="122"/>
      <c r="AB451" s="122"/>
    </row>
    <row r="452" spans="1:28" ht="15.75" customHeight="1" x14ac:dyDescent="0.2">
      <c r="A452" s="122"/>
      <c r="B452" s="122"/>
      <c r="C452" s="122"/>
      <c r="D452" s="122"/>
      <c r="E452" s="122"/>
      <c r="F452" s="122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  <c r="AA452" s="122"/>
      <c r="AB452" s="122"/>
    </row>
    <row r="453" spans="1:28" ht="15.75" customHeight="1" x14ac:dyDescent="0.2">
      <c r="A453" s="122"/>
      <c r="B453" s="122"/>
      <c r="C453" s="122"/>
      <c r="D453" s="122"/>
      <c r="E453" s="122"/>
      <c r="F453" s="122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  <c r="AA453" s="122"/>
      <c r="AB453" s="122"/>
    </row>
    <row r="454" spans="1:28" ht="15.75" customHeight="1" x14ac:dyDescent="0.2">
      <c r="A454" s="122"/>
      <c r="B454" s="122"/>
      <c r="C454" s="122"/>
      <c r="D454" s="122"/>
      <c r="E454" s="122"/>
      <c r="F454" s="122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  <c r="AA454" s="122"/>
      <c r="AB454" s="122"/>
    </row>
    <row r="455" spans="1:28" ht="15.75" customHeight="1" x14ac:dyDescent="0.2">
      <c r="A455" s="122"/>
      <c r="B455" s="122"/>
      <c r="C455" s="122"/>
      <c r="D455" s="122"/>
      <c r="E455" s="122"/>
      <c r="F455" s="122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  <c r="AA455" s="122"/>
      <c r="AB455" s="122"/>
    </row>
    <row r="456" spans="1:28" ht="15.75" customHeight="1" x14ac:dyDescent="0.2">
      <c r="A456" s="122"/>
      <c r="B456" s="122"/>
      <c r="C456" s="122"/>
      <c r="D456" s="122"/>
      <c r="E456" s="122"/>
      <c r="F456" s="122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  <c r="AA456" s="122"/>
      <c r="AB456" s="122"/>
    </row>
    <row r="457" spans="1:28" ht="15.75" customHeight="1" x14ac:dyDescent="0.2">
      <c r="A457" s="122"/>
      <c r="B457" s="122"/>
      <c r="C457" s="122"/>
      <c r="D457" s="122"/>
      <c r="E457" s="122"/>
      <c r="F457" s="122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  <c r="AA457" s="122"/>
      <c r="AB457" s="122"/>
    </row>
    <row r="458" spans="1:28" ht="15.75" customHeight="1" x14ac:dyDescent="0.2">
      <c r="A458" s="122"/>
      <c r="B458" s="122"/>
      <c r="C458" s="122"/>
      <c r="D458" s="122"/>
      <c r="E458" s="122"/>
      <c r="F458" s="122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  <c r="AA458" s="122"/>
      <c r="AB458" s="122"/>
    </row>
    <row r="459" spans="1:28" ht="15.75" customHeight="1" x14ac:dyDescent="0.2">
      <c r="A459" s="122"/>
      <c r="B459" s="122"/>
      <c r="C459" s="122"/>
      <c r="D459" s="122"/>
      <c r="E459" s="122"/>
      <c r="F459" s="122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  <c r="AA459" s="122"/>
      <c r="AB459" s="122"/>
    </row>
    <row r="460" spans="1:28" ht="15.75" customHeight="1" x14ac:dyDescent="0.2">
      <c r="A460" s="122"/>
      <c r="B460" s="122"/>
      <c r="C460" s="122"/>
      <c r="D460" s="122"/>
      <c r="E460" s="122"/>
      <c r="F460" s="122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  <c r="AA460" s="122"/>
      <c r="AB460" s="122"/>
    </row>
    <row r="461" spans="1:28" ht="15.75" customHeight="1" x14ac:dyDescent="0.2">
      <c r="A461" s="122"/>
      <c r="B461" s="122"/>
      <c r="C461" s="122"/>
      <c r="D461" s="122"/>
      <c r="E461" s="122"/>
      <c r="F461" s="122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  <c r="AA461" s="122"/>
      <c r="AB461" s="122"/>
    </row>
    <row r="462" spans="1:28" ht="15.75" customHeight="1" x14ac:dyDescent="0.2">
      <c r="A462" s="122"/>
      <c r="B462" s="122"/>
      <c r="C462" s="122"/>
      <c r="D462" s="122"/>
      <c r="E462" s="122"/>
      <c r="F462" s="122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  <c r="AA462" s="122"/>
      <c r="AB462" s="122"/>
    </row>
    <row r="463" spans="1:28" ht="15.75" customHeight="1" x14ac:dyDescent="0.2">
      <c r="A463" s="122"/>
      <c r="B463" s="122"/>
      <c r="C463" s="122"/>
      <c r="D463" s="122"/>
      <c r="E463" s="122"/>
      <c r="F463" s="122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  <c r="AA463" s="122"/>
      <c r="AB463" s="122"/>
    </row>
    <row r="464" spans="1:28" ht="15.75" customHeight="1" x14ac:dyDescent="0.2">
      <c r="A464" s="122"/>
      <c r="B464" s="122"/>
      <c r="C464" s="122"/>
      <c r="D464" s="122"/>
      <c r="E464" s="122"/>
      <c r="F464" s="122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  <c r="AA464" s="122"/>
      <c r="AB464" s="122"/>
    </row>
    <row r="465" spans="1:28" ht="15.75" customHeight="1" x14ac:dyDescent="0.2">
      <c r="A465" s="122"/>
      <c r="B465" s="122"/>
      <c r="C465" s="122"/>
      <c r="D465" s="122"/>
      <c r="E465" s="122"/>
      <c r="F465" s="122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  <c r="AA465" s="122"/>
      <c r="AB465" s="122"/>
    </row>
    <row r="466" spans="1:28" ht="15.75" customHeight="1" x14ac:dyDescent="0.2">
      <c r="A466" s="122"/>
      <c r="B466" s="122"/>
      <c r="C466" s="122"/>
      <c r="D466" s="122"/>
      <c r="E466" s="122"/>
      <c r="F466" s="122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  <c r="AA466" s="122"/>
      <c r="AB466" s="122"/>
    </row>
    <row r="467" spans="1:28" ht="15.75" customHeight="1" x14ac:dyDescent="0.2">
      <c r="A467" s="122"/>
      <c r="B467" s="122"/>
      <c r="C467" s="122"/>
      <c r="D467" s="122"/>
      <c r="E467" s="122"/>
      <c r="F467" s="122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  <c r="AA467" s="122"/>
      <c r="AB467" s="122"/>
    </row>
    <row r="468" spans="1:28" ht="15.75" customHeight="1" x14ac:dyDescent="0.2">
      <c r="A468" s="122"/>
      <c r="B468" s="122"/>
      <c r="C468" s="122"/>
      <c r="D468" s="122"/>
      <c r="E468" s="122"/>
      <c r="F468" s="122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  <c r="AA468" s="122"/>
      <c r="AB468" s="122"/>
    </row>
    <row r="469" spans="1:28" ht="15.75" customHeight="1" x14ac:dyDescent="0.2">
      <c r="A469" s="122"/>
      <c r="B469" s="122"/>
      <c r="C469" s="122"/>
      <c r="D469" s="122"/>
      <c r="E469" s="122"/>
      <c r="F469" s="122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  <c r="AA469" s="122"/>
      <c r="AB469" s="122"/>
    </row>
    <row r="470" spans="1:28" ht="15.75" customHeight="1" x14ac:dyDescent="0.2">
      <c r="A470" s="122"/>
      <c r="B470" s="122"/>
      <c r="C470" s="122"/>
      <c r="D470" s="122"/>
      <c r="E470" s="122"/>
      <c r="F470" s="122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  <c r="AA470" s="122"/>
      <c r="AB470" s="122"/>
    </row>
    <row r="471" spans="1:28" ht="15.75" customHeight="1" x14ac:dyDescent="0.2">
      <c r="A471" s="122"/>
      <c r="B471" s="122"/>
      <c r="C471" s="122"/>
      <c r="D471" s="122"/>
      <c r="E471" s="122"/>
      <c r="F471" s="122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  <c r="AA471" s="122"/>
      <c r="AB471" s="122"/>
    </row>
    <row r="472" spans="1:28" ht="15.75" customHeight="1" x14ac:dyDescent="0.2">
      <c r="A472" s="122"/>
      <c r="B472" s="122"/>
      <c r="C472" s="122"/>
      <c r="D472" s="122"/>
      <c r="E472" s="122"/>
      <c r="F472" s="122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  <c r="AA472" s="122"/>
      <c r="AB472" s="122"/>
    </row>
    <row r="473" spans="1:28" ht="15.75" customHeight="1" x14ac:dyDescent="0.2">
      <c r="A473" s="122"/>
      <c r="B473" s="122"/>
      <c r="C473" s="122"/>
      <c r="D473" s="122"/>
      <c r="E473" s="122"/>
      <c r="F473" s="122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  <c r="AA473" s="122"/>
      <c r="AB473" s="122"/>
    </row>
    <row r="474" spans="1:28" ht="15.75" customHeight="1" x14ac:dyDescent="0.2">
      <c r="A474" s="122"/>
      <c r="B474" s="122"/>
      <c r="C474" s="122"/>
      <c r="D474" s="122"/>
      <c r="E474" s="122"/>
      <c r="F474" s="122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  <c r="AA474" s="122"/>
      <c r="AB474" s="122"/>
    </row>
    <row r="475" spans="1:28" ht="15.75" customHeight="1" x14ac:dyDescent="0.2">
      <c r="A475" s="122"/>
      <c r="B475" s="122"/>
      <c r="C475" s="122"/>
      <c r="D475" s="122"/>
      <c r="E475" s="122"/>
      <c r="F475" s="122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  <c r="AA475" s="122"/>
      <c r="AB475" s="122"/>
    </row>
    <row r="476" spans="1:28" ht="15.75" customHeight="1" x14ac:dyDescent="0.2">
      <c r="A476" s="122"/>
      <c r="B476" s="122"/>
      <c r="C476" s="122"/>
      <c r="D476" s="122"/>
      <c r="E476" s="122"/>
      <c r="F476" s="122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  <c r="AA476" s="122"/>
      <c r="AB476" s="122"/>
    </row>
    <row r="477" spans="1:28" ht="15.75" customHeight="1" x14ac:dyDescent="0.2">
      <c r="A477" s="122"/>
      <c r="B477" s="122"/>
      <c r="C477" s="122"/>
      <c r="D477" s="122"/>
      <c r="E477" s="122"/>
      <c r="F477" s="122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  <c r="AA477" s="122"/>
      <c r="AB477" s="122"/>
    </row>
    <row r="478" spans="1:28" ht="15.75" customHeight="1" x14ac:dyDescent="0.2">
      <c r="A478" s="122"/>
      <c r="B478" s="122"/>
      <c r="C478" s="122"/>
      <c r="D478" s="122"/>
      <c r="E478" s="122"/>
      <c r="F478" s="122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  <c r="AA478" s="122"/>
      <c r="AB478" s="122"/>
    </row>
    <row r="479" spans="1:28" ht="15.75" customHeight="1" x14ac:dyDescent="0.2">
      <c r="A479" s="122"/>
      <c r="B479" s="122"/>
      <c r="C479" s="122"/>
      <c r="D479" s="122"/>
      <c r="E479" s="122"/>
      <c r="F479" s="122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  <c r="AA479" s="122"/>
      <c r="AB479" s="122"/>
    </row>
    <row r="480" spans="1:28" ht="15.75" customHeight="1" x14ac:dyDescent="0.2">
      <c r="A480" s="122"/>
      <c r="B480" s="122"/>
      <c r="C480" s="122"/>
      <c r="D480" s="122"/>
      <c r="E480" s="122"/>
      <c r="F480" s="122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  <c r="AA480" s="122"/>
      <c r="AB480" s="122"/>
    </row>
    <row r="481" spans="1:28" ht="15.75" customHeight="1" x14ac:dyDescent="0.2">
      <c r="A481" s="122"/>
      <c r="B481" s="122"/>
      <c r="C481" s="122"/>
      <c r="D481" s="122"/>
      <c r="E481" s="122"/>
      <c r="F481" s="122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  <c r="AA481" s="122"/>
      <c r="AB481" s="122"/>
    </row>
    <row r="482" spans="1:28" ht="15.75" customHeight="1" x14ac:dyDescent="0.2">
      <c r="A482" s="122"/>
      <c r="B482" s="122"/>
      <c r="C482" s="122"/>
      <c r="D482" s="122"/>
      <c r="E482" s="122"/>
      <c r="F482" s="122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  <c r="AA482" s="122"/>
      <c r="AB482" s="122"/>
    </row>
    <row r="483" spans="1:28" ht="15.75" customHeight="1" x14ac:dyDescent="0.2">
      <c r="A483" s="122"/>
      <c r="B483" s="122"/>
      <c r="C483" s="122"/>
      <c r="D483" s="122"/>
      <c r="E483" s="122"/>
      <c r="F483" s="122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  <c r="AA483" s="122"/>
      <c r="AB483" s="122"/>
    </row>
    <row r="484" spans="1:28" ht="15.75" customHeight="1" x14ac:dyDescent="0.2">
      <c r="A484" s="122"/>
      <c r="B484" s="122"/>
      <c r="C484" s="122"/>
      <c r="D484" s="122"/>
      <c r="E484" s="122"/>
      <c r="F484" s="122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  <c r="AA484" s="122"/>
      <c r="AB484" s="122"/>
    </row>
    <row r="485" spans="1:28" ht="15.75" customHeight="1" x14ac:dyDescent="0.2">
      <c r="A485" s="122"/>
      <c r="B485" s="122"/>
      <c r="C485" s="122"/>
      <c r="D485" s="122"/>
      <c r="E485" s="122"/>
      <c r="F485" s="122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  <c r="AA485" s="122"/>
      <c r="AB485" s="122"/>
    </row>
    <row r="486" spans="1:28" ht="15.75" customHeight="1" x14ac:dyDescent="0.2">
      <c r="A486" s="122"/>
      <c r="B486" s="122"/>
      <c r="C486" s="122"/>
      <c r="D486" s="122"/>
      <c r="E486" s="122"/>
      <c r="F486" s="122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  <c r="AA486" s="122"/>
      <c r="AB486" s="122"/>
    </row>
    <row r="487" spans="1:28" ht="15.75" customHeight="1" x14ac:dyDescent="0.2">
      <c r="A487" s="122"/>
      <c r="B487" s="122"/>
      <c r="C487" s="122"/>
      <c r="D487" s="122"/>
      <c r="E487" s="122"/>
      <c r="F487" s="122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  <c r="AA487" s="122"/>
      <c r="AB487" s="122"/>
    </row>
    <row r="488" spans="1:28" ht="15.75" customHeight="1" x14ac:dyDescent="0.2">
      <c r="A488" s="122"/>
      <c r="B488" s="122"/>
      <c r="C488" s="122"/>
      <c r="D488" s="122"/>
      <c r="E488" s="122"/>
      <c r="F488" s="122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  <c r="AA488" s="122"/>
      <c r="AB488" s="122"/>
    </row>
    <row r="489" spans="1:28" ht="15.75" customHeight="1" x14ac:dyDescent="0.2">
      <c r="A489" s="122"/>
      <c r="B489" s="122"/>
      <c r="C489" s="122"/>
      <c r="D489" s="122"/>
      <c r="E489" s="122"/>
      <c r="F489" s="122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  <c r="AA489" s="122"/>
      <c r="AB489" s="122"/>
    </row>
    <row r="490" spans="1:28" ht="15.75" customHeight="1" x14ac:dyDescent="0.2">
      <c r="A490" s="122"/>
      <c r="B490" s="122"/>
      <c r="C490" s="122"/>
      <c r="D490" s="122"/>
      <c r="E490" s="122"/>
      <c r="F490" s="122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  <c r="AA490" s="122"/>
      <c r="AB490" s="122"/>
    </row>
    <row r="491" spans="1:28" ht="15.75" customHeight="1" x14ac:dyDescent="0.2">
      <c r="A491" s="122"/>
      <c r="B491" s="122"/>
      <c r="C491" s="122"/>
      <c r="D491" s="122"/>
      <c r="E491" s="122"/>
      <c r="F491" s="122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  <c r="AA491" s="122"/>
      <c r="AB491" s="122"/>
    </row>
    <row r="492" spans="1:28" ht="15.75" customHeight="1" x14ac:dyDescent="0.2">
      <c r="A492" s="122"/>
      <c r="B492" s="122"/>
      <c r="C492" s="122"/>
      <c r="D492" s="122"/>
      <c r="E492" s="122"/>
      <c r="F492" s="122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  <c r="AA492" s="122"/>
      <c r="AB492" s="122"/>
    </row>
    <row r="493" spans="1:28" ht="15.75" customHeight="1" x14ac:dyDescent="0.2">
      <c r="A493" s="122"/>
      <c r="B493" s="122"/>
      <c r="C493" s="122"/>
      <c r="D493" s="122"/>
      <c r="E493" s="122"/>
      <c r="F493" s="122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  <c r="AA493" s="122"/>
      <c r="AB493" s="122"/>
    </row>
    <row r="494" spans="1:28" ht="15.75" customHeight="1" x14ac:dyDescent="0.2">
      <c r="A494" s="122"/>
      <c r="B494" s="122"/>
      <c r="C494" s="122"/>
      <c r="D494" s="122"/>
      <c r="E494" s="122"/>
      <c r="F494" s="122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  <c r="AA494" s="122"/>
      <c r="AB494" s="122"/>
    </row>
    <row r="495" spans="1:28" ht="15.75" customHeight="1" x14ac:dyDescent="0.2">
      <c r="A495" s="122"/>
      <c r="B495" s="122"/>
      <c r="C495" s="122"/>
      <c r="D495" s="122"/>
      <c r="E495" s="122"/>
      <c r="F495" s="122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  <c r="AA495" s="122"/>
      <c r="AB495" s="122"/>
    </row>
    <row r="496" spans="1:28" ht="15.75" customHeight="1" x14ac:dyDescent="0.2">
      <c r="A496" s="122"/>
      <c r="B496" s="122"/>
      <c r="C496" s="122"/>
      <c r="D496" s="122"/>
      <c r="E496" s="122"/>
      <c r="F496" s="122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  <c r="AA496" s="122"/>
      <c r="AB496" s="122"/>
    </row>
    <row r="497" spans="1:28" ht="15.75" customHeight="1" x14ac:dyDescent="0.2">
      <c r="A497" s="122"/>
      <c r="B497" s="122"/>
      <c r="C497" s="122"/>
      <c r="D497" s="122"/>
      <c r="E497" s="122"/>
      <c r="F497" s="122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  <c r="AA497" s="122"/>
      <c r="AB497" s="122"/>
    </row>
    <row r="498" spans="1:28" ht="15.75" customHeight="1" x14ac:dyDescent="0.2">
      <c r="A498" s="122"/>
      <c r="B498" s="122"/>
      <c r="C498" s="122"/>
      <c r="D498" s="122"/>
      <c r="E498" s="122"/>
      <c r="F498" s="122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  <c r="AA498" s="122"/>
      <c r="AB498" s="122"/>
    </row>
    <row r="499" spans="1:28" ht="15.75" customHeight="1" x14ac:dyDescent="0.2">
      <c r="A499" s="122"/>
      <c r="B499" s="122"/>
      <c r="C499" s="122"/>
      <c r="D499" s="122"/>
      <c r="E499" s="122"/>
      <c r="F499" s="122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  <c r="AA499" s="122"/>
      <c r="AB499" s="122"/>
    </row>
    <row r="500" spans="1:28" ht="15.75" customHeight="1" x14ac:dyDescent="0.2">
      <c r="A500" s="122"/>
      <c r="B500" s="122"/>
      <c r="C500" s="122"/>
      <c r="D500" s="122"/>
      <c r="E500" s="122"/>
      <c r="F500" s="122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  <c r="AA500" s="122"/>
      <c r="AB500" s="122"/>
    </row>
    <row r="501" spans="1:28" ht="15.75" customHeight="1" x14ac:dyDescent="0.2">
      <c r="A501" s="122"/>
      <c r="B501" s="122"/>
      <c r="C501" s="122"/>
      <c r="D501" s="122"/>
      <c r="E501" s="122"/>
      <c r="F501" s="122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  <c r="AA501" s="122"/>
      <c r="AB501" s="122"/>
    </row>
    <row r="502" spans="1:28" ht="15.75" customHeight="1" x14ac:dyDescent="0.2">
      <c r="A502" s="122"/>
      <c r="B502" s="122"/>
      <c r="C502" s="122"/>
      <c r="D502" s="122"/>
      <c r="E502" s="122"/>
      <c r="F502" s="122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  <c r="AA502" s="122"/>
      <c r="AB502" s="122"/>
    </row>
    <row r="503" spans="1:28" ht="15.75" customHeight="1" x14ac:dyDescent="0.2">
      <c r="A503" s="122"/>
      <c r="B503" s="122"/>
      <c r="C503" s="122"/>
      <c r="D503" s="122"/>
      <c r="E503" s="122"/>
      <c r="F503" s="122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  <c r="AA503" s="122"/>
      <c r="AB503" s="122"/>
    </row>
    <row r="504" spans="1:28" ht="15.75" customHeight="1" x14ac:dyDescent="0.2">
      <c r="A504" s="122"/>
      <c r="B504" s="122"/>
      <c r="C504" s="122"/>
      <c r="D504" s="122"/>
      <c r="E504" s="122"/>
      <c r="F504" s="122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  <c r="AA504" s="122"/>
      <c r="AB504" s="122"/>
    </row>
    <row r="505" spans="1:28" ht="15.75" customHeight="1" x14ac:dyDescent="0.2">
      <c r="A505" s="122"/>
      <c r="B505" s="122"/>
      <c r="C505" s="122"/>
      <c r="D505" s="122"/>
      <c r="E505" s="122"/>
      <c r="F505" s="122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  <c r="AA505" s="122"/>
      <c r="AB505" s="122"/>
    </row>
    <row r="506" spans="1:28" ht="15.75" customHeight="1" x14ac:dyDescent="0.2">
      <c r="A506" s="122"/>
      <c r="B506" s="122"/>
      <c r="C506" s="122"/>
      <c r="D506" s="122"/>
      <c r="E506" s="122"/>
      <c r="F506" s="122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  <c r="AA506" s="122"/>
      <c r="AB506" s="122"/>
    </row>
    <row r="507" spans="1:28" ht="15.75" customHeight="1" x14ac:dyDescent="0.2">
      <c r="A507" s="122"/>
      <c r="B507" s="122"/>
      <c r="C507" s="122"/>
      <c r="D507" s="122"/>
      <c r="E507" s="122"/>
      <c r="F507" s="122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  <c r="AA507" s="122"/>
      <c r="AB507" s="122"/>
    </row>
    <row r="508" spans="1:28" ht="15.75" customHeight="1" x14ac:dyDescent="0.2">
      <c r="A508" s="122"/>
      <c r="B508" s="122"/>
      <c r="C508" s="122"/>
      <c r="D508" s="122"/>
      <c r="E508" s="122"/>
      <c r="F508" s="122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  <c r="AA508" s="122"/>
      <c r="AB508" s="122"/>
    </row>
    <row r="509" spans="1:28" ht="15.75" customHeight="1" x14ac:dyDescent="0.2">
      <c r="A509" s="122"/>
      <c r="B509" s="122"/>
      <c r="C509" s="122"/>
      <c r="D509" s="122"/>
      <c r="E509" s="122"/>
      <c r="F509" s="122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  <c r="AA509" s="122"/>
      <c r="AB509" s="122"/>
    </row>
    <row r="510" spans="1:28" ht="15.75" customHeight="1" x14ac:dyDescent="0.2">
      <c r="A510" s="122"/>
      <c r="B510" s="122"/>
      <c r="C510" s="122"/>
      <c r="D510" s="122"/>
      <c r="E510" s="122"/>
      <c r="F510" s="122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  <c r="AA510" s="122"/>
      <c r="AB510" s="122"/>
    </row>
    <row r="511" spans="1:28" ht="15.75" customHeight="1" x14ac:dyDescent="0.2">
      <c r="A511" s="122"/>
      <c r="B511" s="122"/>
      <c r="C511" s="122"/>
      <c r="D511" s="122"/>
      <c r="E511" s="122"/>
      <c r="F511" s="122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  <c r="AA511" s="122"/>
      <c r="AB511" s="122"/>
    </row>
    <row r="512" spans="1:28" ht="15.75" customHeight="1" x14ac:dyDescent="0.2">
      <c r="A512" s="122"/>
      <c r="B512" s="122"/>
      <c r="C512" s="122"/>
      <c r="D512" s="122"/>
      <c r="E512" s="122"/>
      <c r="F512" s="122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  <c r="AA512" s="122"/>
      <c r="AB512" s="122"/>
    </row>
    <row r="513" spans="1:28" ht="15.75" customHeight="1" x14ac:dyDescent="0.2">
      <c r="A513" s="122"/>
      <c r="B513" s="122"/>
      <c r="C513" s="122"/>
      <c r="D513" s="122"/>
      <c r="E513" s="122"/>
      <c r="F513" s="122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  <c r="AA513" s="122"/>
      <c r="AB513" s="122"/>
    </row>
    <row r="514" spans="1:28" ht="15.75" customHeight="1" x14ac:dyDescent="0.2">
      <c r="A514" s="122"/>
      <c r="B514" s="122"/>
      <c r="C514" s="122"/>
      <c r="D514" s="122"/>
      <c r="E514" s="122"/>
      <c r="F514" s="122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  <c r="AA514" s="122"/>
      <c r="AB514" s="122"/>
    </row>
    <row r="515" spans="1:28" ht="15.75" customHeight="1" x14ac:dyDescent="0.2">
      <c r="A515" s="122"/>
      <c r="B515" s="122"/>
      <c r="C515" s="122"/>
      <c r="D515" s="122"/>
      <c r="E515" s="122"/>
      <c r="F515" s="122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  <c r="AA515" s="122"/>
      <c r="AB515" s="122"/>
    </row>
    <row r="516" spans="1:28" ht="15.75" customHeight="1" x14ac:dyDescent="0.2">
      <c r="A516" s="122"/>
      <c r="B516" s="122"/>
      <c r="C516" s="122"/>
      <c r="D516" s="122"/>
      <c r="E516" s="122"/>
      <c r="F516" s="122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  <c r="AA516" s="122"/>
      <c r="AB516" s="122"/>
    </row>
    <row r="517" spans="1:28" ht="15.75" customHeight="1" x14ac:dyDescent="0.2">
      <c r="A517" s="122"/>
      <c r="B517" s="122"/>
      <c r="C517" s="122"/>
      <c r="D517" s="122"/>
      <c r="E517" s="122"/>
      <c r="F517" s="122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  <c r="AA517" s="122"/>
      <c r="AB517" s="122"/>
    </row>
    <row r="518" spans="1:28" ht="15.75" customHeight="1" x14ac:dyDescent="0.2">
      <c r="A518" s="122"/>
      <c r="B518" s="122"/>
      <c r="C518" s="122"/>
      <c r="D518" s="122"/>
      <c r="E518" s="122"/>
      <c r="F518" s="122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  <c r="AA518" s="122"/>
      <c r="AB518" s="122"/>
    </row>
    <row r="519" spans="1:28" ht="15.75" customHeight="1" x14ac:dyDescent="0.2">
      <c r="A519" s="122"/>
      <c r="B519" s="122"/>
      <c r="C519" s="122"/>
      <c r="D519" s="122"/>
      <c r="E519" s="122"/>
      <c r="F519" s="122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  <c r="AA519" s="122"/>
      <c r="AB519" s="122"/>
    </row>
    <row r="520" spans="1:28" ht="15.75" customHeight="1" x14ac:dyDescent="0.2">
      <c r="A520" s="122"/>
      <c r="B520" s="122"/>
      <c r="C520" s="122"/>
      <c r="D520" s="122"/>
      <c r="E520" s="122"/>
      <c r="F520" s="122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  <c r="AA520" s="122"/>
      <c r="AB520" s="122"/>
    </row>
    <row r="521" spans="1:28" ht="15.75" customHeight="1" x14ac:dyDescent="0.2">
      <c r="A521" s="122"/>
      <c r="B521" s="122"/>
      <c r="C521" s="122"/>
      <c r="D521" s="122"/>
      <c r="E521" s="122"/>
      <c r="F521" s="122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  <c r="AA521" s="122"/>
      <c r="AB521" s="122"/>
    </row>
    <row r="522" spans="1:28" ht="15.75" customHeight="1" x14ac:dyDescent="0.2">
      <c r="A522" s="122"/>
      <c r="B522" s="122"/>
      <c r="C522" s="122"/>
      <c r="D522" s="122"/>
      <c r="E522" s="122"/>
      <c r="F522" s="122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  <c r="AA522" s="122"/>
      <c r="AB522" s="122"/>
    </row>
    <row r="523" spans="1:28" ht="15.75" customHeight="1" x14ac:dyDescent="0.2">
      <c r="A523" s="122"/>
      <c r="B523" s="122"/>
      <c r="C523" s="122"/>
      <c r="D523" s="122"/>
      <c r="E523" s="122"/>
      <c r="F523" s="122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  <c r="AA523" s="122"/>
      <c r="AB523" s="122"/>
    </row>
    <row r="524" spans="1:28" ht="15.75" customHeight="1" x14ac:dyDescent="0.2">
      <c r="A524" s="122"/>
      <c r="B524" s="122"/>
      <c r="C524" s="122"/>
      <c r="D524" s="122"/>
      <c r="E524" s="122"/>
      <c r="F524" s="122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  <c r="AA524" s="122"/>
      <c r="AB524" s="122"/>
    </row>
    <row r="525" spans="1:28" ht="15.75" customHeight="1" x14ac:dyDescent="0.2">
      <c r="A525" s="122"/>
      <c r="B525" s="122"/>
      <c r="C525" s="122"/>
      <c r="D525" s="122"/>
      <c r="E525" s="122"/>
      <c r="F525" s="122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  <c r="AA525" s="122"/>
      <c r="AB525" s="122"/>
    </row>
    <row r="526" spans="1:28" ht="15.75" customHeight="1" x14ac:dyDescent="0.2">
      <c r="A526" s="122"/>
      <c r="B526" s="122"/>
      <c r="C526" s="122"/>
      <c r="D526" s="122"/>
      <c r="E526" s="122"/>
      <c r="F526" s="122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  <c r="AA526" s="122"/>
      <c r="AB526" s="122"/>
    </row>
    <row r="527" spans="1:28" ht="15.75" customHeight="1" x14ac:dyDescent="0.2">
      <c r="A527" s="122"/>
      <c r="B527" s="122"/>
      <c r="C527" s="122"/>
      <c r="D527" s="122"/>
      <c r="E527" s="122"/>
      <c r="F527" s="122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  <c r="AA527" s="122"/>
      <c r="AB527" s="122"/>
    </row>
    <row r="528" spans="1:28" ht="15.75" customHeight="1" x14ac:dyDescent="0.2">
      <c r="A528" s="122"/>
      <c r="B528" s="122"/>
      <c r="C528" s="122"/>
      <c r="D528" s="122"/>
      <c r="E528" s="122"/>
      <c r="F528" s="122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  <c r="AA528" s="122"/>
      <c r="AB528" s="122"/>
    </row>
    <row r="529" spans="1:28" ht="15.75" customHeight="1" x14ac:dyDescent="0.2">
      <c r="A529" s="122"/>
      <c r="B529" s="122"/>
      <c r="C529" s="122"/>
      <c r="D529" s="122"/>
      <c r="E529" s="122"/>
      <c r="F529" s="122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  <c r="AA529" s="122"/>
      <c r="AB529" s="122"/>
    </row>
    <row r="530" spans="1:28" ht="15.75" customHeight="1" x14ac:dyDescent="0.2">
      <c r="A530" s="122"/>
      <c r="B530" s="122"/>
      <c r="C530" s="122"/>
      <c r="D530" s="122"/>
      <c r="E530" s="122"/>
      <c r="F530" s="122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  <c r="AA530" s="122"/>
      <c r="AB530" s="122"/>
    </row>
    <row r="531" spans="1:28" ht="15.75" customHeight="1" x14ac:dyDescent="0.2">
      <c r="A531" s="122"/>
      <c r="B531" s="122"/>
      <c r="C531" s="122"/>
      <c r="D531" s="122"/>
      <c r="E531" s="122"/>
      <c r="F531" s="122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  <c r="AA531" s="122"/>
      <c r="AB531" s="122"/>
    </row>
    <row r="532" spans="1:28" ht="15.75" customHeight="1" x14ac:dyDescent="0.2">
      <c r="A532" s="122"/>
      <c r="B532" s="122"/>
      <c r="C532" s="122"/>
      <c r="D532" s="122"/>
      <c r="E532" s="122"/>
      <c r="F532" s="122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  <c r="AA532" s="122"/>
      <c r="AB532" s="122"/>
    </row>
    <row r="533" spans="1:28" ht="15.75" customHeight="1" x14ac:dyDescent="0.2">
      <c r="A533" s="122"/>
      <c r="B533" s="122"/>
      <c r="C533" s="122"/>
      <c r="D533" s="122"/>
      <c r="E533" s="122"/>
      <c r="F533" s="122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  <c r="AA533" s="122"/>
      <c r="AB533" s="122"/>
    </row>
    <row r="534" spans="1:28" ht="15.75" customHeight="1" x14ac:dyDescent="0.2">
      <c r="A534" s="122"/>
      <c r="B534" s="122"/>
      <c r="C534" s="122"/>
      <c r="D534" s="122"/>
      <c r="E534" s="122"/>
      <c r="F534" s="122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  <c r="AA534" s="122"/>
      <c r="AB534" s="122"/>
    </row>
    <row r="535" spans="1:28" ht="15.75" customHeight="1" x14ac:dyDescent="0.2">
      <c r="A535" s="122"/>
      <c r="B535" s="122"/>
      <c r="C535" s="122"/>
      <c r="D535" s="122"/>
      <c r="E535" s="122"/>
      <c r="F535" s="122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  <c r="AA535" s="122"/>
      <c r="AB535" s="122"/>
    </row>
    <row r="536" spans="1:28" ht="15.75" customHeight="1" x14ac:dyDescent="0.2">
      <c r="A536" s="122"/>
      <c r="B536" s="122"/>
      <c r="C536" s="122"/>
      <c r="D536" s="122"/>
      <c r="E536" s="122"/>
      <c r="F536" s="122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  <c r="AA536" s="122"/>
      <c r="AB536" s="122"/>
    </row>
    <row r="537" spans="1:28" ht="15.75" customHeight="1" x14ac:dyDescent="0.2">
      <c r="A537" s="122"/>
      <c r="B537" s="122"/>
      <c r="C537" s="122"/>
      <c r="D537" s="122"/>
      <c r="E537" s="122"/>
      <c r="F537" s="122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  <c r="AA537" s="122"/>
      <c r="AB537" s="122"/>
    </row>
    <row r="538" spans="1:28" ht="15.75" customHeight="1" x14ac:dyDescent="0.2">
      <c r="A538" s="122"/>
      <c r="B538" s="122"/>
      <c r="C538" s="122"/>
      <c r="D538" s="122"/>
      <c r="E538" s="122"/>
      <c r="F538" s="122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  <c r="AA538" s="122"/>
      <c r="AB538" s="122"/>
    </row>
    <row r="539" spans="1:28" ht="15.75" customHeight="1" x14ac:dyDescent="0.2">
      <c r="A539" s="122"/>
      <c r="B539" s="122"/>
      <c r="C539" s="122"/>
      <c r="D539" s="122"/>
      <c r="E539" s="122"/>
      <c r="F539" s="122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  <c r="AA539" s="122"/>
      <c r="AB539" s="122"/>
    </row>
    <row r="540" spans="1:28" ht="15.75" customHeight="1" x14ac:dyDescent="0.2">
      <c r="A540" s="122"/>
      <c r="B540" s="122"/>
      <c r="C540" s="122"/>
      <c r="D540" s="122"/>
      <c r="E540" s="122"/>
      <c r="F540" s="122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  <c r="AA540" s="122"/>
      <c r="AB540" s="122"/>
    </row>
    <row r="541" spans="1:28" ht="15.75" customHeight="1" x14ac:dyDescent="0.2">
      <c r="A541" s="122"/>
      <c r="B541" s="122"/>
      <c r="C541" s="122"/>
      <c r="D541" s="122"/>
      <c r="E541" s="122"/>
      <c r="F541" s="122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  <c r="AA541" s="122"/>
      <c r="AB541" s="122"/>
    </row>
    <row r="542" spans="1:28" ht="15.75" customHeight="1" x14ac:dyDescent="0.2">
      <c r="A542" s="122"/>
      <c r="B542" s="122"/>
      <c r="C542" s="122"/>
      <c r="D542" s="122"/>
      <c r="E542" s="122"/>
      <c r="F542" s="122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  <c r="AA542" s="122"/>
      <c r="AB542" s="122"/>
    </row>
    <row r="543" spans="1:28" ht="15.75" customHeight="1" x14ac:dyDescent="0.2">
      <c r="A543" s="122"/>
      <c r="B543" s="122"/>
      <c r="C543" s="122"/>
      <c r="D543" s="122"/>
      <c r="E543" s="122"/>
      <c r="F543" s="122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  <c r="AA543" s="122"/>
      <c r="AB543" s="122"/>
    </row>
    <row r="544" spans="1:28" ht="15.75" customHeight="1" x14ac:dyDescent="0.2">
      <c r="A544" s="122"/>
      <c r="B544" s="122"/>
      <c r="C544" s="122"/>
      <c r="D544" s="122"/>
      <c r="E544" s="122"/>
      <c r="F544" s="122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  <c r="AA544" s="122"/>
      <c r="AB544" s="122"/>
    </row>
    <row r="545" spans="1:28" ht="15.75" customHeight="1" x14ac:dyDescent="0.2">
      <c r="A545" s="122"/>
      <c r="B545" s="122"/>
      <c r="C545" s="122"/>
      <c r="D545" s="122"/>
      <c r="E545" s="122"/>
      <c r="F545" s="122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  <c r="AA545" s="122"/>
      <c r="AB545" s="122"/>
    </row>
    <row r="546" spans="1:28" ht="15.75" customHeight="1" x14ac:dyDescent="0.2">
      <c r="A546" s="122"/>
      <c r="B546" s="122"/>
      <c r="C546" s="122"/>
      <c r="D546" s="122"/>
      <c r="E546" s="122"/>
      <c r="F546" s="122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  <c r="AA546" s="122"/>
      <c r="AB546" s="122"/>
    </row>
    <row r="547" spans="1:28" ht="15.75" customHeight="1" x14ac:dyDescent="0.2">
      <c r="A547" s="122"/>
      <c r="B547" s="122"/>
      <c r="C547" s="122"/>
      <c r="D547" s="122"/>
      <c r="E547" s="122"/>
      <c r="F547" s="122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  <c r="AA547" s="122"/>
      <c r="AB547" s="122"/>
    </row>
    <row r="548" spans="1:28" ht="15.75" customHeight="1" x14ac:dyDescent="0.2">
      <c r="A548" s="122"/>
      <c r="B548" s="122"/>
      <c r="C548" s="122"/>
      <c r="D548" s="122"/>
      <c r="E548" s="122"/>
      <c r="F548" s="122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  <c r="AA548" s="122"/>
      <c r="AB548" s="122"/>
    </row>
    <row r="549" spans="1:28" ht="15.75" customHeight="1" x14ac:dyDescent="0.2">
      <c r="A549" s="122"/>
      <c r="B549" s="122"/>
      <c r="C549" s="122"/>
      <c r="D549" s="122"/>
      <c r="E549" s="122"/>
      <c r="F549" s="122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  <c r="AA549" s="122"/>
      <c r="AB549" s="122"/>
    </row>
    <row r="550" spans="1:28" ht="15.75" customHeight="1" x14ac:dyDescent="0.2">
      <c r="A550" s="122"/>
      <c r="B550" s="122"/>
      <c r="C550" s="122"/>
      <c r="D550" s="122"/>
      <c r="E550" s="122"/>
      <c r="F550" s="122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  <c r="AA550" s="122"/>
      <c r="AB550" s="122"/>
    </row>
    <row r="551" spans="1:28" ht="15.75" customHeight="1" x14ac:dyDescent="0.2">
      <c r="A551" s="122"/>
      <c r="B551" s="122"/>
      <c r="C551" s="122"/>
      <c r="D551" s="122"/>
      <c r="E551" s="122"/>
      <c r="F551" s="122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  <c r="AA551" s="122"/>
      <c r="AB551" s="122"/>
    </row>
    <row r="552" spans="1:28" ht="15.75" customHeight="1" x14ac:dyDescent="0.2">
      <c r="A552" s="122"/>
      <c r="B552" s="122"/>
      <c r="C552" s="122"/>
      <c r="D552" s="122"/>
      <c r="E552" s="122"/>
      <c r="F552" s="122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  <c r="AA552" s="122"/>
      <c r="AB552" s="122"/>
    </row>
    <row r="553" spans="1:28" ht="15.75" customHeight="1" x14ac:dyDescent="0.2">
      <c r="A553" s="122"/>
      <c r="B553" s="122"/>
      <c r="C553" s="122"/>
      <c r="D553" s="122"/>
      <c r="E553" s="122"/>
      <c r="F553" s="122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  <c r="AA553" s="122"/>
      <c r="AB553" s="122"/>
    </row>
    <row r="554" spans="1:28" ht="15.75" customHeight="1" x14ac:dyDescent="0.2">
      <c r="A554" s="122"/>
      <c r="B554" s="122"/>
      <c r="C554" s="122"/>
      <c r="D554" s="122"/>
      <c r="E554" s="122"/>
      <c r="F554" s="122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  <c r="AA554" s="122"/>
      <c r="AB554" s="122"/>
    </row>
    <row r="555" spans="1:28" ht="15.75" customHeight="1" x14ac:dyDescent="0.2">
      <c r="A555" s="122"/>
      <c r="B555" s="122"/>
      <c r="C555" s="122"/>
      <c r="D555" s="122"/>
      <c r="E555" s="122"/>
      <c r="F555" s="122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  <c r="AA555" s="122"/>
      <c r="AB555" s="122"/>
    </row>
    <row r="556" spans="1:28" ht="15.75" customHeight="1" x14ac:dyDescent="0.2">
      <c r="A556" s="122"/>
      <c r="B556" s="122"/>
      <c r="C556" s="122"/>
      <c r="D556" s="122"/>
      <c r="E556" s="122"/>
      <c r="F556" s="122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  <c r="AA556" s="122"/>
      <c r="AB556" s="122"/>
    </row>
    <row r="557" spans="1:28" ht="15.75" customHeight="1" x14ac:dyDescent="0.2">
      <c r="A557" s="122"/>
      <c r="B557" s="122"/>
      <c r="C557" s="122"/>
      <c r="D557" s="122"/>
      <c r="E557" s="122"/>
      <c r="F557" s="122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  <c r="AA557" s="122"/>
      <c r="AB557" s="122"/>
    </row>
    <row r="558" spans="1:28" ht="15.75" customHeight="1" x14ac:dyDescent="0.2">
      <c r="A558" s="122"/>
      <c r="B558" s="122"/>
      <c r="C558" s="122"/>
      <c r="D558" s="122"/>
      <c r="E558" s="122"/>
      <c r="F558" s="122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  <c r="AA558" s="122"/>
      <c r="AB558" s="122"/>
    </row>
    <row r="559" spans="1:28" ht="15.75" customHeight="1" x14ac:dyDescent="0.2">
      <c r="A559" s="122"/>
      <c r="B559" s="122"/>
      <c r="C559" s="122"/>
      <c r="D559" s="122"/>
      <c r="E559" s="122"/>
      <c r="F559" s="122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  <c r="AA559" s="122"/>
      <c r="AB559" s="122"/>
    </row>
    <row r="560" spans="1:28" ht="15.75" customHeight="1" x14ac:dyDescent="0.2">
      <c r="A560" s="122"/>
      <c r="B560" s="122"/>
      <c r="C560" s="122"/>
      <c r="D560" s="122"/>
      <c r="E560" s="122"/>
      <c r="F560" s="122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  <c r="AA560" s="122"/>
      <c r="AB560" s="122"/>
    </row>
    <row r="561" spans="1:28" ht="15.75" customHeight="1" x14ac:dyDescent="0.2">
      <c r="A561" s="122"/>
      <c r="B561" s="122"/>
      <c r="C561" s="122"/>
      <c r="D561" s="122"/>
      <c r="E561" s="122"/>
      <c r="F561" s="122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  <c r="AA561" s="122"/>
      <c r="AB561" s="122"/>
    </row>
    <row r="562" spans="1:28" ht="15.75" customHeight="1" x14ac:dyDescent="0.2">
      <c r="A562" s="122"/>
      <c r="B562" s="122"/>
      <c r="C562" s="122"/>
      <c r="D562" s="122"/>
      <c r="E562" s="122"/>
      <c r="F562" s="122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  <c r="AA562" s="122"/>
      <c r="AB562" s="122"/>
    </row>
    <row r="563" spans="1:28" ht="15.75" customHeight="1" x14ac:dyDescent="0.2">
      <c r="A563" s="122"/>
      <c r="B563" s="122"/>
      <c r="C563" s="122"/>
      <c r="D563" s="122"/>
      <c r="E563" s="122"/>
      <c r="F563" s="122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  <c r="AA563" s="122"/>
      <c r="AB563" s="122"/>
    </row>
    <row r="564" spans="1:28" ht="15.75" customHeight="1" x14ac:dyDescent="0.2">
      <c r="A564" s="122"/>
      <c r="B564" s="122"/>
      <c r="C564" s="122"/>
      <c r="D564" s="122"/>
      <c r="E564" s="122"/>
      <c r="F564" s="122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  <c r="AA564" s="122"/>
      <c r="AB564" s="122"/>
    </row>
    <row r="565" spans="1:28" ht="15.75" customHeight="1" x14ac:dyDescent="0.2">
      <c r="A565" s="122"/>
      <c r="B565" s="122"/>
      <c r="C565" s="122"/>
      <c r="D565" s="122"/>
      <c r="E565" s="122"/>
      <c r="F565" s="122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  <c r="AA565" s="122"/>
      <c r="AB565" s="122"/>
    </row>
    <row r="566" spans="1:28" ht="15.75" customHeight="1" x14ac:dyDescent="0.2">
      <c r="A566" s="122"/>
      <c r="B566" s="122"/>
      <c r="C566" s="122"/>
      <c r="D566" s="122"/>
      <c r="E566" s="122"/>
      <c r="F566" s="122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  <c r="AA566" s="122"/>
      <c r="AB566" s="122"/>
    </row>
    <row r="567" spans="1:28" ht="15.75" customHeight="1" x14ac:dyDescent="0.2">
      <c r="A567" s="122"/>
      <c r="B567" s="122"/>
      <c r="C567" s="122"/>
      <c r="D567" s="122"/>
      <c r="E567" s="122"/>
      <c r="F567" s="122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  <c r="AA567" s="122"/>
      <c r="AB567" s="122"/>
    </row>
    <row r="568" spans="1:28" ht="15.75" customHeight="1" x14ac:dyDescent="0.2">
      <c r="A568" s="122"/>
      <c r="B568" s="122"/>
      <c r="C568" s="122"/>
      <c r="D568" s="122"/>
      <c r="E568" s="122"/>
      <c r="F568" s="122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  <c r="AA568" s="122"/>
      <c r="AB568" s="122"/>
    </row>
    <row r="569" spans="1:28" ht="15.75" customHeight="1" x14ac:dyDescent="0.2">
      <c r="A569" s="122"/>
      <c r="B569" s="122"/>
      <c r="C569" s="122"/>
      <c r="D569" s="122"/>
      <c r="E569" s="122"/>
      <c r="F569" s="122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  <c r="AA569" s="122"/>
      <c r="AB569" s="122"/>
    </row>
    <row r="570" spans="1:28" ht="15.75" customHeight="1" x14ac:dyDescent="0.2">
      <c r="A570" s="122"/>
      <c r="B570" s="122"/>
      <c r="C570" s="122"/>
      <c r="D570" s="122"/>
      <c r="E570" s="122"/>
      <c r="F570" s="122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  <c r="AA570" s="122"/>
      <c r="AB570" s="122"/>
    </row>
    <row r="571" spans="1:28" ht="15.75" customHeight="1" x14ac:dyDescent="0.2">
      <c r="A571" s="122"/>
      <c r="B571" s="122"/>
      <c r="C571" s="122"/>
      <c r="D571" s="122"/>
      <c r="E571" s="122"/>
      <c r="F571" s="122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  <c r="AA571" s="122"/>
      <c r="AB571" s="122"/>
    </row>
    <row r="572" spans="1:28" ht="15.75" customHeight="1" x14ac:dyDescent="0.2">
      <c r="A572" s="122"/>
      <c r="B572" s="122"/>
      <c r="C572" s="122"/>
      <c r="D572" s="122"/>
      <c r="E572" s="122"/>
      <c r="F572" s="122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  <c r="AA572" s="122"/>
      <c r="AB572" s="122"/>
    </row>
    <row r="573" spans="1:28" ht="15.75" customHeight="1" x14ac:dyDescent="0.2">
      <c r="A573" s="122"/>
      <c r="B573" s="122"/>
      <c r="C573" s="122"/>
      <c r="D573" s="122"/>
      <c r="E573" s="122"/>
      <c r="F573" s="122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  <c r="AA573" s="122"/>
      <c r="AB573" s="122"/>
    </row>
    <row r="574" spans="1:28" ht="15.75" customHeight="1" x14ac:dyDescent="0.2">
      <c r="A574" s="122"/>
      <c r="B574" s="122"/>
      <c r="C574" s="122"/>
      <c r="D574" s="122"/>
      <c r="E574" s="122"/>
      <c r="F574" s="122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  <c r="AA574" s="122"/>
      <c r="AB574" s="122"/>
    </row>
    <row r="575" spans="1:28" ht="15.75" customHeight="1" x14ac:dyDescent="0.2">
      <c r="A575" s="122"/>
      <c r="B575" s="122"/>
      <c r="C575" s="122"/>
      <c r="D575" s="122"/>
      <c r="E575" s="122"/>
      <c r="F575" s="122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  <c r="AA575" s="122"/>
      <c r="AB575" s="122"/>
    </row>
    <row r="576" spans="1:28" ht="15.75" customHeight="1" x14ac:dyDescent="0.2">
      <c r="A576" s="122"/>
      <c r="B576" s="122"/>
      <c r="C576" s="122"/>
      <c r="D576" s="122"/>
      <c r="E576" s="122"/>
      <c r="F576" s="122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  <c r="AA576" s="122"/>
      <c r="AB576" s="122"/>
    </row>
    <row r="577" spans="1:28" ht="15.75" customHeight="1" x14ac:dyDescent="0.2">
      <c r="A577" s="122"/>
      <c r="B577" s="122"/>
      <c r="C577" s="122"/>
      <c r="D577" s="122"/>
      <c r="E577" s="122"/>
      <c r="F577" s="122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  <c r="AA577" s="122"/>
      <c r="AB577" s="122"/>
    </row>
    <row r="578" spans="1:28" ht="15.75" customHeight="1" x14ac:dyDescent="0.2">
      <c r="A578" s="122"/>
      <c r="B578" s="122"/>
      <c r="C578" s="122"/>
      <c r="D578" s="122"/>
      <c r="E578" s="122"/>
      <c r="F578" s="122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  <c r="AA578" s="122"/>
      <c r="AB578" s="122"/>
    </row>
    <row r="579" spans="1:28" ht="15.75" customHeight="1" x14ac:dyDescent="0.2">
      <c r="A579" s="122"/>
      <c r="B579" s="122"/>
      <c r="C579" s="122"/>
      <c r="D579" s="122"/>
      <c r="E579" s="122"/>
      <c r="F579" s="122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  <c r="AA579" s="122"/>
      <c r="AB579" s="122"/>
    </row>
    <row r="580" spans="1:28" ht="15.75" customHeight="1" x14ac:dyDescent="0.2">
      <c r="A580" s="122"/>
      <c r="B580" s="122"/>
      <c r="C580" s="122"/>
      <c r="D580" s="122"/>
      <c r="E580" s="122"/>
      <c r="F580" s="122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  <c r="AA580" s="122"/>
      <c r="AB580" s="122"/>
    </row>
    <row r="581" spans="1:28" ht="15.75" customHeight="1" x14ac:dyDescent="0.2">
      <c r="A581" s="122"/>
      <c r="B581" s="122"/>
      <c r="C581" s="122"/>
      <c r="D581" s="122"/>
      <c r="E581" s="122"/>
      <c r="F581" s="122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  <c r="AA581" s="122"/>
      <c r="AB581" s="122"/>
    </row>
    <row r="582" spans="1:28" ht="15.75" customHeight="1" x14ac:dyDescent="0.2">
      <c r="A582" s="122"/>
      <c r="B582" s="122"/>
      <c r="C582" s="122"/>
      <c r="D582" s="122"/>
      <c r="E582" s="122"/>
      <c r="F582" s="122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  <c r="AA582" s="122"/>
      <c r="AB582" s="122"/>
    </row>
    <row r="583" spans="1:28" ht="15.75" customHeight="1" x14ac:dyDescent="0.2">
      <c r="A583" s="122"/>
      <c r="B583" s="122"/>
      <c r="C583" s="122"/>
      <c r="D583" s="122"/>
      <c r="E583" s="122"/>
      <c r="F583" s="122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  <c r="AA583" s="122"/>
      <c r="AB583" s="122"/>
    </row>
    <row r="584" spans="1:28" ht="15.75" customHeight="1" x14ac:dyDescent="0.2">
      <c r="A584" s="122"/>
      <c r="B584" s="122"/>
      <c r="C584" s="122"/>
      <c r="D584" s="122"/>
      <c r="E584" s="122"/>
      <c r="F584" s="122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  <c r="AA584" s="122"/>
      <c r="AB584" s="122"/>
    </row>
    <row r="585" spans="1:28" ht="15.75" customHeight="1" x14ac:dyDescent="0.2">
      <c r="A585" s="122"/>
      <c r="B585" s="122"/>
      <c r="C585" s="122"/>
      <c r="D585" s="122"/>
      <c r="E585" s="122"/>
      <c r="F585" s="122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  <c r="AA585" s="122"/>
      <c r="AB585" s="122"/>
    </row>
    <row r="586" spans="1:28" ht="15.75" customHeight="1" x14ac:dyDescent="0.2">
      <c r="A586" s="122"/>
      <c r="B586" s="122"/>
      <c r="C586" s="122"/>
      <c r="D586" s="122"/>
      <c r="E586" s="122"/>
      <c r="F586" s="122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  <c r="AA586" s="122"/>
      <c r="AB586" s="122"/>
    </row>
    <row r="587" spans="1:28" ht="15.75" customHeight="1" x14ac:dyDescent="0.2">
      <c r="A587" s="122"/>
      <c r="B587" s="122"/>
      <c r="C587" s="122"/>
      <c r="D587" s="122"/>
      <c r="E587" s="122"/>
      <c r="F587" s="122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  <c r="AA587" s="122"/>
      <c r="AB587" s="122"/>
    </row>
    <row r="588" spans="1:28" ht="15.75" customHeight="1" x14ac:dyDescent="0.2">
      <c r="A588" s="122"/>
      <c r="B588" s="122"/>
      <c r="C588" s="122"/>
      <c r="D588" s="122"/>
      <c r="E588" s="122"/>
      <c r="F588" s="122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  <c r="AA588" s="122"/>
      <c r="AB588" s="122"/>
    </row>
    <row r="589" spans="1:28" ht="15.75" customHeight="1" x14ac:dyDescent="0.2">
      <c r="A589" s="122"/>
      <c r="B589" s="122"/>
      <c r="C589" s="122"/>
      <c r="D589" s="122"/>
      <c r="E589" s="122"/>
      <c r="F589" s="122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  <c r="AA589" s="122"/>
      <c r="AB589" s="122"/>
    </row>
    <row r="590" spans="1:28" ht="15.75" customHeight="1" x14ac:dyDescent="0.2">
      <c r="A590" s="122"/>
      <c r="B590" s="122"/>
      <c r="C590" s="122"/>
      <c r="D590" s="122"/>
      <c r="E590" s="122"/>
      <c r="F590" s="122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  <c r="AA590" s="122"/>
      <c r="AB590" s="122"/>
    </row>
    <row r="591" spans="1:28" ht="15.75" customHeight="1" x14ac:dyDescent="0.2">
      <c r="A591" s="122"/>
      <c r="B591" s="122"/>
      <c r="C591" s="122"/>
      <c r="D591" s="122"/>
      <c r="E591" s="122"/>
      <c r="F591" s="122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  <c r="AA591" s="122"/>
      <c r="AB591" s="122"/>
    </row>
    <row r="592" spans="1:28" ht="15.75" customHeight="1" x14ac:dyDescent="0.2">
      <c r="A592" s="122"/>
      <c r="B592" s="122"/>
      <c r="C592" s="122"/>
      <c r="D592" s="122"/>
      <c r="E592" s="122"/>
      <c r="F592" s="122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  <c r="AA592" s="122"/>
      <c r="AB592" s="122"/>
    </row>
    <row r="593" spans="1:28" ht="15.75" customHeight="1" x14ac:dyDescent="0.2">
      <c r="A593" s="122"/>
      <c r="B593" s="122"/>
      <c r="C593" s="122"/>
      <c r="D593" s="122"/>
      <c r="E593" s="122"/>
      <c r="F593" s="122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  <c r="AA593" s="122"/>
      <c r="AB593" s="122"/>
    </row>
    <row r="594" spans="1:28" ht="15.75" customHeight="1" x14ac:dyDescent="0.2">
      <c r="A594" s="122"/>
      <c r="B594" s="122"/>
      <c r="C594" s="122"/>
      <c r="D594" s="122"/>
      <c r="E594" s="122"/>
      <c r="F594" s="122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  <c r="AA594" s="122"/>
      <c r="AB594" s="122"/>
    </row>
    <row r="595" spans="1:28" ht="15.75" customHeight="1" x14ac:dyDescent="0.2">
      <c r="A595" s="122"/>
      <c r="B595" s="122"/>
      <c r="C595" s="122"/>
      <c r="D595" s="122"/>
      <c r="E595" s="122"/>
      <c r="F595" s="122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  <c r="AA595" s="122"/>
      <c r="AB595" s="122"/>
    </row>
    <row r="596" spans="1:28" ht="15.75" customHeight="1" x14ac:dyDescent="0.2">
      <c r="A596" s="122"/>
      <c r="B596" s="122"/>
      <c r="C596" s="122"/>
      <c r="D596" s="122"/>
      <c r="E596" s="122"/>
      <c r="F596" s="122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  <c r="AA596" s="122"/>
      <c r="AB596" s="122"/>
    </row>
    <row r="597" spans="1:28" ht="15.75" customHeight="1" x14ac:dyDescent="0.2">
      <c r="A597" s="122"/>
      <c r="B597" s="122"/>
      <c r="C597" s="122"/>
      <c r="D597" s="122"/>
      <c r="E597" s="122"/>
      <c r="F597" s="122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  <c r="AA597" s="122"/>
      <c r="AB597" s="122"/>
    </row>
    <row r="598" spans="1:28" ht="15.75" customHeight="1" x14ac:dyDescent="0.2">
      <c r="A598" s="122"/>
      <c r="B598" s="122"/>
      <c r="C598" s="122"/>
      <c r="D598" s="122"/>
      <c r="E598" s="122"/>
      <c r="F598" s="122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  <c r="AA598" s="122"/>
      <c r="AB598" s="122"/>
    </row>
    <row r="599" spans="1:28" ht="15.75" customHeight="1" x14ac:dyDescent="0.2">
      <c r="A599" s="122"/>
      <c r="B599" s="122"/>
      <c r="C599" s="122"/>
      <c r="D599" s="122"/>
      <c r="E599" s="122"/>
      <c r="F599" s="122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  <c r="AA599" s="122"/>
      <c r="AB599" s="122"/>
    </row>
    <row r="600" spans="1:28" ht="15.75" customHeight="1" x14ac:dyDescent="0.2">
      <c r="A600" s="122"/>
      <c r="B600" s="122"/>
      <c r="C600" s="122"/>
      <c r="D600" s="122"/>
      <c r="E600" s="122"/>
      <c r="F600" s="122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  <c r="AA600" s="122"/>
      <c r="AB600" s="122"/>
    </row>
    <row r="601" spans="1:28" ht="15.75" customHeight="1" x14ac:dyDescent="0.2">
      <c r="A601" s="122"/>
      <c r="B601" s="122"/>
      <c r="C601" s="122"/>
      <c r="D601" s="122"/>
      <c r="E601" s="122"/>
      <c r="F601" s="122"/>
      <c r="G601" s="122"/>
      <c r="H601" s="122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  <c r="AA601" s="122"/>
      <c r="AB601" s="122"/>
    </row>
    <row r="602" spans="1:28" ht="15.75" customHeight="1" x14ac:dyDescent="0.2">
      <c r="A602" s="122"/>
      <c r="B602" s="122"/>
      <c r="C602" s="122"/>
      <c r="D602" s="122"/>
      <c r="E602" s="122"/>
      <c r="F602" s="122"/>
      <c r="G602" s="122"/>
      <c r="H602" s="122"/>
      <c r="I602" s="122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  <c r="AA602" s="122"/>
      <c r="AB602" s="122"/>
    </row>
    <row r="603" spans="1:28" ht="15.75" customHeight="1" x14ac:dyDescent="0.2">
      <c r="A603" s="122"/>
      <c r="B603" s="122"/>
      <c r="C603" s="122"/>
      <c r="D603" s="122"/>
      <c r="E603" s="122"/>
      <c r="F603" s="122"/>
      <c r="G603" s="122"/>
      <c r="H603" s="122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  <c r="AA603" s="122"/>
      <c r="AB603" s="122"/>
    </row>
    <row r="604" spans="1:28" ht="15.75" customHeight="1" x14ac:dyDescent="0.2">
      <c r="A604" s="122"/>
      <c r="B604" s="122"/>
      <c r="C604" s="122"/>
      <c r="D604" s="122"/>
      <c r="E604" s="122"/>
      <c r="F604" s="122"/>
      <c r="G604" s="122"/>
      <c r="H604" s="122"/>
      <c r="I604" s="122"/>
      <c r="J604" s="122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  <c r="AA604" s="122"/>
      <c r="AB604" s="122"/>
    </row>
    <row r="605" spans="1:28" ht="15.75" customHeight="1" x14ac:dyDescent="0.2">
      <c r="A605" s="122"/>
      <c r="B605" s="122"/>
      <c r="C605" s="122"/>
      <c r="D605" s="122"/>
      <c r="E605" s="122"/>
      <c r="F605" s="122"/>
      <c r="G605" s="122"/>
      <c r="H605" s="122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  <c r="AA605" s="122"/>
      <c r="AB605" s="122"/>
    </row>
    <row r="606" spans="1:28" ht="15.75" customHeight="1" x14ac:dyDescent="0.2">
      <c r="A606" s="122"/>
      <c r="B606" s="122"/>
      <c r="C606" s="122"/>
      <c r="D606" s="122"/>
      <c r="E606" s="122"/>
      <c r="F606" s="122"/>
      <c r="G606" s="122"/>
      <c r="H606" s="122"/>
      <c r="I606" s="122"/>
      <c r="J606" s="122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  <c r="AA606" s="122"/>
      <c r="AB606" s="122"/>
    </row>
    <row r="607" spans="1:28" ht="15.75" customHeight="1" x14ac:dyDescent="0.2">
      <c r="A607" s="122"/>
      <c r="B607" s="122"/>
      <c r="C607" s="122"/>
      <c r="D607" s="122"/>
      <c r="E607" s="122"/>
      <c r="F607" s="122"/>
      <c r="G607" s="122"/>
      <c r="H607" s="122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  <c r="AA607" s="122"/>
      <c r="AB607" s="122"/>
    </row>
    <row r="608" spans="1:28" ht="15.75" customHeight="1" x14ac:dyDescent="0.2">
      <c r="A608" s="122"/>
      <c r="B608" s="122"/>
      <c r="C608" s="122"/>
      <c r="D608" s="122"/>
      <c r="E608" s="122"/>
      <c r="F608" s="122"/>
      <c r="G608" s="122"/>
      <c r="H608" s="122"/>
      <c r="I608" s="122"/>
      <c r="J608" s="122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  <c r="AA608" s="122"/>
      <c r="AB608" s="122"/>
    </row>
    <row r="609" spans="1:28" ht="15.75" customHeight="1" x14ac:dyDescent="0.2">
      <c r="A609" s="122"/>
      <c r="B609" s="122"/>
      <c r="C609" s="122"/>
      <c r="D609" s="122"/>
      <c r="E609" s="122"/>
      <c r="F609" s="122"/>
      <c r="G609" s="12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  <c r="AA609" s="122"/>
      <c r="AB609" s="122"/>
    </row>
    <row r="610" spans="1:28" ht="15.75" customHeight="1" x14ac:dyDescent="0.2">
      <c r="A610" s="122"/>
      <c r="B610" s="122"/>
      <c r="C610" s="122"/>
      <c r="D610" s="122"/>
      <c r="E610" s="122"/>
      <c r="F610" s="122"/>
      <c r="G610" s="122"/>
      <c r="H610" s="122"/>
      <c r="I610" s="122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  <c r="AA610" s="122"/>
      <c r="AB610" s="122"/>
    </row>
    <row r="611" spans="1:28" ht="15.75" customHeight="1" x14ac:dyDescent="0.2">
      <c r="A611" s="122"/>
      <c r="B611" s="122"/>
      <c r="C611" s="122"/>
      <c r="D611" s="122"/>
      <c r="E611" s="122"/>
      <c r="F611" s="122"/>
      <c r="G611" s="122"/>
      <c r="H611" s="122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  <c r="AA611" s="122"/>
      <c r="AB611" s="122"/>
    </row>
    <row r="612" spans="1:28" ht="15.75" customHeight="1" x14ac:dyDescent="0.2">
      <c r="A612" s="122"/>
      <c r="B612" s="122"/>
      <c r="C612" s="122"/>
      <c r="D612" s="122"/>
      <c r="E612" s="122"/>
      <c r="F612" s="122"/>
      <c r="G612" s="122"/>
      <c r="H612" s="122"/>
      <c r="I612" s="122"/>
      <c r="J612" s="122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  <c r="AA612" s="122"/>
      <c r="AB612" s="122"/>
    </row>
    <row r="613" spans="1:28" ht="15.75" customHeight="1" x14ac:dyDescent="0.2">
      <c r="A613" s="122"/>
      <c r="B613" s="122"/>
      <c r="C613" s="122"/>
      <c r="D613" s="122"/>
      <c r="E613" s="122"/>
      <c r="F613" s="122"/>
      <c r="G613" s="122"/>
      <c r="H613" s="122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  <c r="AA613" s="122"/>
      <c r="AB613" s="122"/>
    </row>
    <row r="614" spans="1:28" ht="15.75" customHeight="1" x14ac:dyDescent="0.2">
      <c r="A614" s="122"/>
      <c r="B614" s="122"/>
      <c r="C614" s="122"/>
      <c r="D614" s="122"/>
      <c r="E614" s="122"/>
      <c r="F614" s="122"/>
      <c r="G614" s="122"/>
      <c r="H614" s="122"/>
      <c r="I614" s="122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  <c r="AA614" s="122"/>
      <c r="AB614" s="122"/>
    </row>
    <row r="615" spans="1:28" ht="15.75" customHeight="1" x14ac:dyDescent="0.2">
      <c r="A615" s="122"/>
      <c r="B615" s="122"/>
      <c r="C615" s="122"/>
      <c r="D615" s="122"/>
      <c r="E615" s="122"/>
      <c r="F615" s="122"/>
      <c r="G615" s="122"/>
      <c r="H615" s="122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  <c r="AA615" s="122"/>
      <c r="AB615" s="122"/>
    </row>
    <row r="616" spans="1:28" ht="15.75" customHeight="1" x14ac:dyDescent="0.2">
      <c r="A616" s="122"/>
      <c r="B616" s="122"/>
      <c r="C616" s="122"/>
      <c r="D616" s="122"/>
      <c r="E616" s="122"/>
      <c r="F616" s="122"/>
      <c r="G616" s="122"/>
      <c r="H616" s="122"/>
      <c r="I616" s="122"/>
      <c r="J616" s="122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  <c r="AA616" s="122"/>
      <c r="AB616" s="122"/>
    </row>
    <row r="617" spans="1:28" ht="15.75" customHeight="1" x14ac:dyDescent="0.2">
      <c r="A617" s="122"/>
      <c r="B617" s="122"/>
      <c r="C617" s="122"/>
      <c r="D617" s="122"/>
      <c r="E617" s="122"/>
      <c r="F617" s="122"/>
      <c r="G617" s="122"/>
      <c r="H617" s="122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  <c r="AA617" s="122"/>
      <c r="AB617" s="122"/>
    </row>
    <row r="618" spans="1:28" ht="15.75" customHeight="1" x14ac:dyDescent="0.2">
      <c r="A618" s="122"/>
      <c r="B618" s="122"/>
      <c r="C618" s="122"/>
      <c r="D618" s="122"/>
      <c r="E618" s="122"/>
      <c r="F618" s="122"/>
      <c r="G618" s="122"/>
      <c r="H618" s="122"/>
      <c r="I618" s="122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  <c r="AA618" s="122"/>
      <c r="AB618" s="122"/>
    </row>
    <row r="619" spans="1:28" ht="15.75" customHeight="1" x14ac:dyDescent="0.2">
      <c r="A619" s="122"/>
      <c r="B619" s="122"/>
      <c r="C619" s="122"/>
      <c r="D619" s="122"/>
      <c r="E619" s="122"/>
      <c r="F619" s="122"/>
      <c r="G619" s="122"/>
      <c r="H619" s="122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  <c r="AA619" s="122"/>
      <c r="AB619" s="122"/>
    </row>
    <row r="620" spans="1:28" ht="15.75" customHeight="1" x14ac:dyDescent="0.2">
      <c r="A620" s="122"/>
      <c r="B620" s="122"/>
      <c r="C620" s="122"/>
      <c r="D620" s="122"/>
      <c r="E620" s="122"/>
      <c r="F620" s="122"/>
      <c r="G620" s="122"/>
      <c r="H620" s="122"/>
      <c r="I620" s="122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  <c r="AA620" s="122"/>
      <c r="AB620" s="122"/>
    </row>
    <row r="621" spans="1:28" ht="15.75" customHeight="1" x14ac:dyDescent="0.2">
      <c r="A621" s="122"/>
      <c r="B621" s="122"/>
      <c r="C621" s="122"/>
      <c r="D621" s="122"/>
      <c r="E621" s="122"/>
      <c r="F621" s="122"/>
      <c r="G621" s="122"/>
      <c r="H621" s="122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  <c r="AA621" s="122"/>
      <c r="AB621" s="122"/>
    </row>
    <row r="622" spans="1:28" ht="15.75" customHeight="1" x14ac:dyDescent="0.2">
      <c r="A622" s="122"/>
      <c r="B622" s="122"/>
      <c r="C622" s="122"/>
      <c r="D622" s="122"/>
      <c r="E622" s="122"/>
      <c r="F622" s="122"/>
      <c r="G622" s="122"/>
      <c r="H622" s="122"/>
      <c r="I622" s="122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  <c r="AA622" s="122"/>
      <c r="AB622" s="122"/>
    </row>
    <row r="623" spans="1:28" ht="15.75" customHeight="1" x14ac:dyDescent="0.2">
      <c r="A623" s="122"/>
      <c r="B623" s="122"/>
      <c r="C623" s="122"/>
      <c r="D623" s="122"/>
      <c r="E623" s="122"/>
      <c r="F623" s="122"/>
      <c r="G623" s="122"/>
      <c r="H623" s="122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  <c r="AA623" s="122"/>
      <c r="AB623" s="122"/>
    </row>
    <row r="624" spans="1:28" ht="15.75" customHeight="1" x14ac:dyDescent="0.2">
      <c r="A624" s="122"/>
      <c r="B624" s="122"/>
      <c r="C624" s="122"/>
      <c r="D624" s="122"/>
      <c r="E624" s="122"/>
      <c r="F624" s="122"/>
      <c r="G624" s="122"/>
      <c r="H624" s="122"/>
      <c r="I624" s="122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  <c r="AA624" s="122"/>
      <c r="AB624" s="122"/>
    </row>
    <row r="625" spans="1:28" ht="15.75" customHeight="1" x14ac:dyDescent="0.2">
      <c r="A625" s="122"/>
      <c r="B625" s="122"/>
      <c r="C625" s="122"/>
      <c r="D625" s="122"/>
      <c r="E625" s="122"/>
      <c r="F625" s="122"/>
      <c r="G625" s="122"/>
      <c r="H625" s="122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  <c r="AA625" s="122"/>
      <c r="AB625" s="122"/>
    </row>
    <row r="626" spans="1:28" ht="15.75" customHeight="1" x14ac:dyDescent="0.2">
      <c r="A626" s="122"/>
      <c r="B626" s="122"/>
      <c r="C626" s="122"/>
      <c r="D626" s="122"/>
      <c r="E626" s="122"/>
      <c r="F626" s="122"/>
      <c r="G626" s="122"/>
      <c r="H626" s="122"/>
      <c r="I626" s="122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  <c r="AA626" s="122"/>
      <c r="AB626" s="122"/>
    </row>
    <row r="627" spans="1:28" ht="15.75" customHeight="1" x14ac:dyDescent="0.2">
      <c r="A627" s="122"/>
      <c r="B627" s="122"/>
      <c r="C627" s="122"/>
      <c r="D627" s="122"/>
      <c r="E627" s="122"/>
      <c r="F627" s="122"/>
      <c r="G627" s="122"/>
      <c r="H627" s="122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  <c r="AA627" s="122"/>
      <c r="AB627" s="122"/>
    </row>
    <row r="628" spans="1:28" ht="15.75" customHeight="1" x14ac:dyDescent="0.2">
      <c r="A628" s="122"/>
      <c r="B628" s="122"/>
      <c r="C628" s="122"/>
      <c r="D628" s="122"/>
      <c r="E628" s="122"/>
      <c r="F628" s="122"/>
      <c r="G628" s="122"/>
      <c r="H628" s="122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  <c r="AA628" s="122"/>
      <c r="AB628" s="122"/>
    </row>
    <row r="629" spans="1:28" ht="15.75" customHeight="1" x14ac:dyDescent="0.2">
      <c r="A629" s="122"/>
      <c r="B629" s="122"/>
      <c r="C629" s="122"/>
      <c r="D629" s="122"/>
      <c r="E629" s="122"/>
      <c r="F629" s="122"/>
      <c r="G629" s="122"/>
      <c r="H629" s="122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  <c r="AA629" s="122"/>
      <c r="AB629" s="122"/>
    </row>
    <row r="630" spans="1:28" ht="15.75" customHeight="1" x14ac:dyDescent="0.2">
      <c r="A630" s="122"/>
      <c r="B630" s="122"/>
      <c r="C630" s="122"/>
      <c r="D630" s="122"/>
      <c r="E630" s="122"/>
      <c r="F630" s="122"/>
      <c r="G630" s="122"/>
      <c r="H630" s="122"/>
      <c r="I630" s="122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  <c r="AA630" s="122"/>
      <c r="AB630" s="122"/>
    </row>
    <row r="631" spans="1:28" ht="15.75" customHeight="1" x14ac:dyDescent="0.2">
      <c r="A631" s="122"/>
      <c r="B631" s="122"/>
      <c r="C631" s="122"/>
      <c r="D631" s="122"/>
      <c r="E631" s="122"/>
      <c r="F631" s="122"/>
      <c r="G631" s="122"/>
      <c r="H631" s="122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  <c r="AA631" s="122"/>
      <c r="AB631" s="122"/>
    </row>
    <row r="632" spans="1:28" ht="15.75" customHeight="1" x14ac:dyDescent="0.2">
      <c r="A632" s="122"/>
      <c r="B632" s="122"/>
      <c r="C632" s="122"/>
      <c r="D632" s="122"/>
      <c r="E632" s="122"/>
      <c r="F632" s="122"/>
      <c r="G632" s="122"/>
      <c r="H632" s="122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  <c r="AA632" s="122"/>
      <c r="AB632" s="122"/>
    </row>
    <row r="633" spans="1:28" ht="15.75" customHeight="1" x14ac:dyDescent="0.2">
      <c r="A633" s="122"/>
      <c r="B633" s="122"/>
      <c r="C633" s="122"/>
      <c r="D633" s="122"/>
      <c r="E633" s="122"/>
      <c r="F633" s="122"/>
      <c r="G633" s="122"/>
      <c r="H633" s="122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  <c r="AA633" s="122"/>
      <c r="AB633" s="122"/>
    </row>
    <row r="634" spans="1:28" ht="15.75" customHeight="1" x14ac:dyDescent="0.2">
      <c r="A634" s="122"/>
      <c r="B634" s="122"/>
      <c r="C634" s="122"/>
      <c r="D634" s="122"/>
      <c r="E634" s="122"/>
      <c r="F634" s="122"/>
      <c r="G634" s="122"/>
      <c r="H634" s="122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  <c r="AA634" s="122"/>
      <c r="AB634" s="122"/>
    </row>
    <row r="635" spans="1:28" ht="15.75" customHeight="1" x14ac:dyDescent="0.2">
      <c r="A635" s="122"/>
      <c r="B635" s="122"/>
      <c r="C635" s="122"/>
      <c r="D635" s="122"/>
      <c r="E635" s="122"/>
      <c r="F635" s="122"/>
      <c r="G635" s="122"/>
      <c r="H635" s="122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  <c r="AA635" s="122"/>
      <c r="AB635" s="122"/>
    </row>
    <row r="636" spans="1:28" ht="15.75" customHeight="1" x14ac:dyDescent="0.2">
      <c r="A636" s="122"/>
      <c r="B636" s="122"/>
      <c r="C636" s="122"/>
      <c r="D636" s="122"/>
      <c r="E636" s="122"/>
      <c r="F636" s="122"/>
      <c r="G636" s="122"/>
      <c r="H636" s="122"/>
      <c r="I636" s="122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  <c r="AA636" s="122"/>
      <c r="AB636" s="122"/>
    </row>
    <row r="637" spans="1:28" ht="15.75" customHeight="1" x14ac:dyDescent="0.2">
      <c r="A637" s="122"/>
      <c r="B637" s="122"/>
      <c r="C637" s="122"/>
      <c r="D637" s="122"/>
      <c r="E637" s="122"/>
      <c r="F637" s="122"/>
      <c r="G637" s="122"/>
      <c r="H637" s="122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  <c r="AA637" s="122"/>
      <c r="AB637" s="122"/>
    </row>
    <row r="638" spans="1:28" ht="15.75" customHeight="1" x14ac:dyDescent="0.2">
      <c r="A638" s="122"/>
      <c r="B638" s="122"/>
      <c r="C638" s="122"/>
      <c r="D638" s="122"/>
      <c r="E638" s="122"/>
      <c r="F638" s="122"/>
      <c r="G638" s="122"/>
      <c r="H638" s="122"/>
      <c r="I638" s="122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  <c r="AA638" s="122"/>
      <c r="AB638" s="122"/>
    </row>
    <row r="639" spans="1:28" ht="15.75" customHeight="1" x14ac:dyDescent="0.2">
      <c r="A639" s="122"/>
      <c r="B639" s="122"/>
      <c r="C639" s="122"/>
      <c r="D639" s="122"/>
      <c r="E639" s="122"/>
      <c r="F639" s="122"/>
      <c r="G639" s="122"/>
      <c r="H639" s="122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  <c r="AA639" s="122"/>
      <c r="AB639" s="122"/>
    </row>
    <row r="640" spans="1:28" ht="15.75" customHeight="1" x14ac:dyDescent="0.2">
      <c r="A640" s="122"/>
      <c r="B640" s="122"/>
      <c r="C640" s="122"/>
      <c r="D640" s="122"/>
      <c r="E640" s="122"/>
      <c r="F640" s="122"/>
      <c r="G640" s="122"/>
      <c r="H640" s="122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  <c r="AA640" s="122"/>
      <c r="AB640" s="122"/>
    </row>
    <row r="641" spans="1:28" ht="15.75" customHeight="1" x14ac:dyDescent="0.2">
      <c r="A641" s="122"/>
      <c r="B641" s="122"/>
      <c r="C641" s="122"/>
      <c r="D641" s="122"/>
      <c r="E641" s="122"/>
      <c r="F641" s="122"/>
      <c r="G641" s="122"/>
      <c r="H641" s="122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  <c r="AA641" s="122"/>
      <c r="AB641" s="122"/>
    </row>
    <row r="642" spans="1:28" ht="15.75" customHeight="1" x14ac:dyDescent="0.2">
      <c r="A642" s="122"/>
      <c r="B642" s="122"/>
      <c r="C642" s="122"/>
      <c r="D642" s="122"/>
      <c r="E642" s="122"/>
      <c r="F642" s="122"/>
      <c r="G642" s="122"/>
      <c r="H642" s="122"/>
      <c r="I642" s="122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  <c r="AA642" s="122"/>
      <c r="AB642" s="122"/>
    </row>
    <row r="643" spans="1:28" ht="15.75" customHeight="1" x14ac:dyDescent="0.2">
      <c r="A643" s="122"/>
      <c r="B643" s="122"/>
      <c r="C643" s="122"/>
      <c r="D643" s="122"/>
      <c r="E643" s="122"/>
      <c r="F643" s="122"/>
      <c r="G643" s="12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  <c r="AA643" s="122"/>
      <c r="AB643" s="122"/>
    </row>
    <row r="644" spans="1:28" ht="15.75" customHeight="1" x14ac:dyDescent="0.2">
      <c r="A644" s="122"/>
      <c r="B644" s="122"/>
      <c r="C644" s="122"/>
      <c r="D644" s="122"/>
      <c r="E644" s="122"/>
      <c r="F644" s="122"/>
      <c r="G644" s="122"/>
      <c r="H644" s="122"/>
      <c r="I644" s="122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  <c r="AA644" s="122"/>
      <c r="AB644" s="122"/>
    </row>
    <row r="645" spans="1:28" ht="15.75" customHeight="1" x14ac:dyDescent="0.2">
      <c r="A645" s="122"/>
      <c r="B645" s="122"/>
      <c r="C645" s="122"/>
      <c r="D645" s="122"/>
      <c r="E645" s="122"/>
      <c r="F645" s="122"/>
      <c r="G645" s="122"/>
      <c r="H645" s="122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  <c r="AA645" s="122"/>
      <c r="AB645" s="122"/>
    </row>
    <row r="646" spans="1:28" ht="15.75" customHeight="1" x14ac:dyDescent="0.2">
      <c r="A646" s="122"/>
      <c r="B646" s="122"/>
      <c r="C646" s="122"/>
      <c r="D646" s="122"/>
      <c r="E646" s="122"/>
      <c r="F646" s="122"/>
      <c r="G646" s="122"/>
      <c r="H646" s="122"/>
      <c r="I646" s="122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  <c r="AA646" s="122"/>
      <c r="AB646" s="122"/>
    </row>
    <row r="647" spans="1:28" ht="15.75" customHeight="1" x14ac:dyDescent="0.2">
      <c r="A647" s="122"/>
      <c r="B647" s="122"/>
      <c r="C647" s="122"/>
      <c r="D647" s="122"/>
      <c r="E647" s="122"/>
      <c r="F647" s="122"/>
      <c r="G647" s="122"/>
      <c r="H647" s="122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  <c r="AA647" s="122"/>
      <c r="AB647" s="122"/>
    </row>
    <row r="648" spans="1:28" ht="15.75" customHeight="1" x14ac:dyDescent="0.2">
      <c r="A648" s="122"/>
      <c r="B648" s="122"/>
      <c r="C648" s="122"/>
      <c r="D648" s="122"/>
      <c r="E648" s="122"/>
      <c r="F648" s="122"/>
      <c r="G648" s="122"/>
      <c r="H648" s="122"/>
      <c r="I648" s="122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  <c r="AA648" s="122"/>
      <c r="AB648" s="122"/>
    </row>
    <row r="649" spans="1:28" ht="15.75" customHeight="1" x14ac:dyDescent="0.2">
      <c r="A649" s="122"/>
      <c r="B649" s="122"/>
      <c r="C649" s="122"/>
      <c r="D649" s="122"/>
      <c r="E649" s="122"/>
      <c r="F649" s="122"/>
      <c r="G649" s="12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  <c r="AA649" s="122"/>
      <c r="AB649" s="122"/>
    </row>
    <row r="650" spans="1:28" ht="15.75" customHeight="1" x14ac:dyDescent="0.2">
      <c r="A650" s="122"/>
      <c r="B650" s="122"/>
      <c r="C650" s="122"/>
      <c r="D650" s="122"/>
      <c r="E650" s="122"/>
      <c r="F650" s="122"/>
      <c r="G650" s="122"/>
      <c r="H650" s="122"/>
      <c r="I650" s="122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  <c r="AA650" s="122"/>
      <c r="AB650" s="122"/>
    </row>
    <row r="651" spans="1:28" ht="15.75" customHeight="1" x14ac:dyDescent="0.2">
      <c r="A651" s="122"/>
      <c r="B651" s="122"/>
      <c r="C651" s="122"/>
      <c r="D651" s="122"/>
      <c r="E651" s="122"/>
      <c r="F651" s="122"/>
      <c r="G651" s="122"/>
      <c r="H651" s="122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  <c r="AA651" s="122"/>
      <c r="AB651" s="122"/>
    </row>
    <row r="652" spans="1:28" ht="15.75" customHeight="1" x14ac:dyDescent="0.2">
      <c r="A652" s="122"/>
      <c r="B652" s="122"/>
      <c r="C652" s="122"/>
      <c r="D652" s="122"/>
      <c r="E652" s="122"/>
      <c r="F652" s="122"/>
      <c r="G652" s="122"/>
      <c r="H652" s="122"/>
      <c r="I652" s="122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  <c r="AA652" s="122"/>
      <c r="AB652" s="122"/>
    </row>
    <row r="653" spans="1:28" ht="15.75" customHeight="1" x14ac:dyDescent="0.2">
      <c r="A653" s="122"/>
      <c r="B653" s="122"/>
      <c r="C653" s="122"/>
      <c r="D653" s="122"/>
      <c r="E653" s="122"/>
      <c r="F653" s="122"/>
      <c r="G653" s="12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  <c r="AA653" s="122"/>
      <c r="AB653" s="122"/>
    </row>
    <row r="654" spans="1:28" ht="15.75" customHeight="1" x14ac:dyDescent="0.2">
      <c r="A654" s="122"/>
      <c r="B654" s="122"/>
      <c r="C654" s="122"/>
      <c r="D654" s="122"/>
      <c r="E654" s="122"/>
      <c r="F654" s="122"/>
      <c r="G654" s="122"/>
      <c r="H654" s="122"/>
      <c r="I654" s="122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  <c r="AA654" s="122"/>
      <c r="AB654" s="122"/>
    </row>
    <row r="655" spans="1:28" ht="15.75" customHeight="1" x14ac:dyDescent="0.2">
      <c r="A655" s="122"/>
      <c r="B655" s="122"/>
      <c r="C655" s="122"/>
      <c r="D655" s="122"/>
      <c r="E655" s="122"/>
      <c r="F655" s="122"/>
      <c r="G655" s="122"/>
      <c r="H655" s="122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  <c r="AA655" s="122"/>
      <c r="AB655" s="122"/>
    </row>
    <row r="656" spans="1:28" ht="15.75" customHeight="1" x14ac:dyDescent="0.2">
      <c r="A656" s="122"/>
      <c r="B656" s="122"/>
      <c r="C656" s="122"/>
      <c r="D656" s="122"/>
      <c r="E656" s="122"/>
      <c r="F656" s="122"/>
      <c r="G656" s="122"/>
      <c r="H656" s="122"/>
      <c r="I656" s="122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  <c r="AA656" s="122"/>
      <c r="AB656" s="122"/>
    </row>
    <row r="657" spans="1:28" ht="15.75" customHeight="1" x14ac:dyDescent="0.2">
      <c r="A657" s="122"/>
      <c r="B657" s="122"/>
      <c r="C657" s="122"/>
      <c r="D657" s="122"/>
      <c r="E657" s="122"/>
      <c r="F657" s="122"/>
      <c r="G657" s="122"/>
      <c r="H657" s="122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  <c r="AA657" s="122"/>
      <c r="AB657" s="122"/>
    </row>
    <row r="658" spans="1:28" ht="15.75" customHeight="1" x14ac:dyDescent="0.2">
      <c r="A658" s="122"/>
      <c r="B658" s="122"/>
      <c r="C658" s="122"/>
      <c r="D658" s="122"/>
      <c r="E658" s="122"/>
      <c r="F658" s="122"/>
      <c r="G658" s="122"/>
      <c r="H658" s="122"/>
      <c r="I658" s="122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  <c r="AA658" s="122"/>
      <c r="AB658" s="122"/>
    </row>
    <row r="659" spans="1:28" ht="15.75" customHeight="1" x14ac:dyDescent="0.2">
      <c r="A659" s="122"/>
      <c r="B659" s="122"/>
      <c r="C659" s="122"/>
      <c r="D659" s="122"/>
      <c r="E659" s="122"/>
      <c r="F659" s="122"/>
      <c r="G659" s="122"/>
      <c r="H659" s="122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  <c r="AA659" s="122"/>
      <c r="AB659" s="122"/>
    </row>
    <row r="660" spans="1:28" ht="15.75" customHeight="1" x14ac:dyDescent="0.2">
      <c r="A660" s="122"/>
      <c r="B660" s="122"/>
      <c r="C660" s="122"/>
      <c r="D660" s="122"/>
      <c r="E660" s="122"/>
      <c r="F660" s="122"/>
      <c r="G660" s="122"/>
      <c r="H660" s="122"/>
      <c r="I660" s="122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  <c r="AA660" s="122"/>
      <c r="AB660" s="122"/>
    </row>
    <row r="661" spans="1:28" ht="15.75" customHeight="1" x14ac:dyDescent="0.2">
      <c r="A661" s="122"/>
      <c r="B661" s="122"/>
      <c r="C661" s="122"/>
      <c r="D661" s="122"/>
      <c r="E661" s="122"/>
      <c r="F661" s="122"/>
      <c r="G661" s="122"/>
      <c r="H661" s="122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  <c r="AA661" s="122"/>
      <c r="AB661" s="122"/>
    </row>
    <row r="662" spans="1:28" ht="15.75" customHeight="1" x14ac:dyDescent="0.2">
      <c r="A662" s="122"/>
      <c r="B662" s="122"/>
      <c r="C662" s="122"/>
      <c r="D662" s="122"/>
      <c r="E662" s="122"/>
      <c r="F662" s="122"/>
      <c r="G662" s="122"/>
      <c r="H662" s="122"/>
      <c r="I662" s="122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  <c r="AA662" s="122"/>
      <c r="AB662" s="122"/>
    </row>
    <row r="663" spans="1:28" ht="15.75" customHeight="1" x14ac:dyDescent="0.2">
      <c r="A663" s="122"/>
      <c r="B663" s="122"/>
      <c r="C663" s="122"/>
      <c r="D663" s="122"/>
      <c r="E663" s="122"/>
      <c r="F663" s="122"/>
      <c r="G663" s="122"/>
      <c r="H663" s="122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  <c r="AA663" s="122"/>
      <c r="AB663" s="122"/>
    </row>
    <row r="664" spans="1:28" ht="15.75" customHeight="1" x14ac:dyDescent="0.2">
      <c r="A664" s="122"/>
      <c r="B664" s="122"/>
      <c r="C664" s="122"/>
      <c r="D664" s="122"/>
      <c r="E664" s="122"/>
      <c r="F664" s="122"/>
      <c r="G664" s="122"/>
      <c r="H664" s="122"/>
      <c r="I664" s="122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  <c r="AA664" s="122"/>
      <c r="AB664" s="122"/>
    </row>
    <row r="665" spans="1:28" ht="15.75" customHeight="1" x14ac:dyDescent="0.2">
      <c r="A665" s="122"/>
      <c r="B665" s="122"/>
      <c r="C665" s="122"/>
      <c r="D665" s="122"/>
      <c r="E665" s="122"/>
      <c r="F665" s="122"/>
      <c r="G665" s="122"/>
      <c r="H665" s="122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  <c r="AA665" s="122"/>
      <c r="AB665" s="122"/>
    </row>
    <row r="666" spans="1:28" ht="15.75" customHeight="1" x14ac:dyDescent="0.2">
      <c r="A666" s="122"/>
      <c r="B666" s="122"/>
      <c r="C666" s="122"/>
      <c r="D666" s="122"/>
      <c r="E666" s="122"/>
      <c r="F666" s="122"/>
      <c r="G666" s="122"/>
      <c r="H666" s="122"/>
      <c r="I666" s="122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  <c r="AA666" s="122"/>
      <c r="AB666" s="122"/>
    </row>
    <row r="667" spans="1:28" ht="15.75" customHeight="1" x14ac:dyDescent="0.2">
      <c r="A667" s="122"/>
      <c r="B667" s="122"/>
      <c r="C667" s="122"/>
      <c r="D667" s="122"/>
      <c r="E667" s="122"/>
      <c r="F667" s="122"/>
      <c r="G667" s="122"/>
      <c r="H667" s="122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  <c r="AA667" s="122"/>
      <c r="AB667" s="122"/>
    </row>
    <row r="668" spans="1:28" ht="15.75" customHeight="1" x14ac:dyDescent="0.2">
      <c r="A668" s="122"/>
      <c r="B668" s="122"/>
      <c r="C668" s="122"/>
      <c r="D668" s="122"/>
      <c r="E668" s="122"/>
      <c r="F668" s="122"/>
      <c r="G668" s="122"/>
      <c r="H668" s="122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  <c r="AA668" s="122"/>
      <c r="AB668" s="122"/>
    </row>
    <row r="669" spans="1:28" ht="15.75" customHeight="1" x14ac:dyDescent="0.2">
      <c r="A669" s="122"/>
      <c r="B669" s="122"/>
      <c r="C669" s="122"/>
      <c r="D669" s="122"/>
      <c r="E669" s="122"/>
      <c r="F669" s="122"/>
      <c r="G669" s="122"/>
      <c r="H669" s="122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  <c r="AA669" s="122"/>
      <c r="AB669" s="122"/>
    </row>
    <row r="670" spans="1:28" ht="15.75" customHeight="1" x14ac:dyDescent="0.2">
      <c r="A670" s="122"/>
      <c r="B670" s="122"/>
      <c r="C670" s="122"/>
      <c r="D670" s="122"/>
      <c r="E670" s="122"/>
      <c r="F670" s="122"/>
      <c r="G670" s="122"/>
      <c r="H670" s="122"/>
      <c r="I670" s="122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  <c r="AA670" s="122"/>
      <c r="AB670" s="122"/>
    </row>
    <row r="671" spans="1:28" ht="15.75" customHeight="1" x14ac:dyDescent="0.2">
      <c r="A671" s="122"/>
      <c r="B671" s="122"/>
      <c r="C671" s="122"/>
      <c r="D671" s="122"/>
      <c r="E671" s="122"/>
      <c r="F671" s="122"/>
      <c r="G671" s="122"/>
      <c r="H671" s="122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  <c r="AA671" s="122"/>
      <c r="AB671" s="122"/>
    </row>
    <row r="672" spans="1:28" ht="15.75" customHeight="1" x14ac:dyDescent="0.2">
      <c r="A672" s="122"/>
      <c r="B672" s="122"/>
      <c r="C672" s="122"/>
      <c r="D672" s="122"/>
      <c r="E672" s="122"/>
      <c r="F672" s="122"/>
      <c r="G672" s="122"/>
      <c r="H672" s="122"/>
      <c r="I672" s="122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  <c r="AA672" s="122"/>
      <c r="AB672" s="122"/>
    </row>
    <row r="673" spans="1:28" ht="15.75" customHeight="1" x14ac:dyDescent="0.2">
      <c r="A673" s="122"/>
      <c r="B673" s="122"/>
      <c r="C673" s="122"/>
      <c r="D673" s="122"/>
      <c r="E673" s="122"/>
      <c r="F673" s="122"/>
      <c r="G673" s="122"/>
      <c r="H673" s="122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  <c r="AA673" s="122"/>
      <c r="AB673" s="122"/>
    </row>
    <row r="674" spans="1:28" ht="15.75" customHeight="1" x14ac:dyDescent="0.2">
      <c r="A674" s="122"/>
      <c r="B674" s="122"/>
      <c r="C674" s="122"/>
      <c r="D674" s="122"/>
      <c r="E674" s="122"/>
      <c r="F674" s="122"/>
      <c r="G674" s="122"/>
      <c r="H674" s="122"/>
      <c r="I674" s="122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  <c r="AA674" s="122"/>
      <c r="AB674" s="122"/>
    </row>
    <row r="675" spans="1:28" ht="15.75" customHeight="1" x14ac:dyDescent="0.2">
      <c r="A675" s="122"/>
      <c r="B675" s="122"/>
      <c r="C675" s="122"/>
      <c r="D675" s="122"/>
      <c r="E675" s="122"/>
      <c r="F675" s="122"/>
      <c r="G675" s="122"/>
      <c r="H675" s="122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  <c r="AA675" s="122"/>
      <c r="AB675" s="122"/>
    </row>
    <row r="676" spans="1:28" ht="15.75" customHeight="1" x14ac:dyDescent="0.2">
      <c r="A676" s="122"/>
      <c r="B676" s="122"/>
      <c r="C676" s="122"/>
      <c r="D676" s="122"/>
      <c r="E676" s="122"/>
      <c r="F676" s="122"/>
      <c r="G676" s="122"/>
      <c r="H676" s="122"/>
      <c r="I676" s="122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  <c r="AA676" s="122"/>
      <c r="AB676" s="122"/>
    </row>
    <row r="677" spans="1:28" ht="15.75" customHeight="1" x14ac:dyDescent="0.2">
      <c r="A677" s="122"/>
      <c r="B677" s="122"/>
      <c r="C677" s="122"/>
      <c r="D677" s="122"/>
      <c r="E677" s="122"/>
      <c r="F677" s="122"/>
      <c r="G677" s="122"/>
      <c r="H677" s="122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  <c r="AA677" s="122"/>
      <c r="AB677" s="122"/>
    </row>
    <row r="678" spans="1:28" ht="15.75" customHeight="1" x14ac:dyDescent="0.2">
      <c r="A678" s="122"/>
      <c r="B678" s="122"/>
      <c r="C678" s="122"/>
      <c r="D678" s="122"/>
      <c r="E678" s="122"/>
      <c r="F678" s="122"/>
      <c r="G678" s="122"/>
      <c r="H678" s="122"/>
      <c r="I678" s="122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  <c r="AA678" s="122"/>
      <c r="AB678" s="122"/>
    </row>
    <row r="679" spans="1:28" ht="15.75" customHeight="1" x14ac:dyDescent="0.2">
      <c r="A679" s="122"/>
      <c r="B679" s="122"/>
      <c r="C679" s="122"/>
      <c r="D679" s="122"/>
      <c r="E679" s="122"/>
      <c r="F679" s="122"/>
      <c r="G679" s="122"/>
      <c r="H679" s="122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  <c r="AA679" s="122"/>
      <c r="AB679" s="122"/>
    </row>
    <row r="680" spans="1:28" ht="15.75" customHeight="1" x14ac:dyDescent="0.2">
      <c r="A680" s="122"/>
      <c r="B680" s="122"/>
      <c r="C680" s="122"/>
      <c r="D680" s="122"/>
      <c r="E680" s="122"/>
      <c r="F680" s="122"/>
      <c r="G680" s="122"/>
      <c r="H680" s="122"/>
      <c r="I680" s="122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  <c r="AA680" s="122"/>
      <c r="AB680" s="122"/>
    </row>
    <row r="681" spans="1:28" ht="15.75" customHeight="1" x14ac:dyDescent="0.2">
      <c r="A681" s="122"/>
      <c r="B681" s="122"/>
      <c r="C681" s="122"/>
      <c r="D681" s="122"/>
      <c r="E681" s="122"/>
      <c r="F681" s="122"/>
      <c r="G681" s="122"/>
      <c r="H681" s="122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  <c r="AA681" s="122"/>
      <c r="AB681" s="122"/>
    </row>
    <row r="682" spans="1:28" ht="15.75" customHeight="1" x14ac:dyDescent="0.2">
      <c r="A682" s="122"/>
      <c r="B682" s="122"/>
      <c r="C682" s="122"/>
      <c r="D682" s="122"/>
      <c r="E682" s="122"/>
      <c r="F682" s="122"/>
      <c r="G682" s="122"/>
      <c r="H682" s="122"/>
      <c r="I682" s="122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  <c r="AA682" s="122"/>
      <c r="AB682" s="122"/>
    </row>
    <row r="683" spans="1:28" ht="15.75" customHeight="1" x14ac:dyDescent="0.2">
      <c r="A683" s="122"/>
      <c r="B683" s="122"/>
      <c r="C683" s="122"/>
      <c r="D683" s="122"/>
      <c r="E683" s="122"/>
      <c r="F683" s="122"/>
      <c r="G683" s="122"/>
      <c r="H683" s="122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  <c r="AA683" s="122"/>
      <c r="AB683" s="122"/>
    </row>
    <row r="684" spans="1:28" ht="15.75" customHeight="1" x14ac:dyDescent="0.2">
      <c r="A684" s="122"/>
      <c r="B684" s="122"/>
      <c r="C684" s="122"/>
      <c r="D684" s="122"/>
      <c r="E684" s="122"/>
      <c r="F684" s="122"/>
      <c r="G684" s="122"/>
      <c r="H684" s="122"/>
      <c r="I684" s="122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  <c r="AA684" s="122"/>
      <c r="AB684" s="122"/>
    </row>
    <row r="685" spans="1:28" ht="15.75" customHeight="1" x14ac:dyDescent="0.2">
      <c r="A685" s="122"/>
      <c r="B685" s="122"/>
      <c r="C685" s="122"/>
      <c r="D685" s="122"/>
      <c r="E685" s="122"/>
      <c r="F685" s="122"/>
      <c r="G685" s="122"/>
      <c r="H685" s="122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  <c r="AA685" s="122"/>
      <c r="AB685" s="122"/>
    </row>
    <row r="686" spans="1:28" ht="15.75" customHeight="1" x14ac:dyDescent="0.2">
      <c r="A686" s="122"/>
      <c r="B686" s="122"/>
      <c r="C686" s="122"/>
      <c r="D686" s="122"/>
      <c r="E686" s="122"/>
      <c r="F686" s="122"/>
      <c r="G686" s="122"/>
      <c r="H686" s="122"/>
      <c r="I686" s="122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  <c r="AA686" s="122"/>
      <c r="AB686" s="122"/>
    </row>
    <row r="687" spans="1:28" ht="15.75" customHeight="1" x14ac:dyDescent="0.2">
      <c r="A687" s="122"/>
      <c r="B687" s="122"/>
      <c r="C687" s="122"/>
      <c r="D687" s="122"/>
      <c r="E687" s="122"/>
      <c r="F687" s="122"/>
      <c r="G687" s="122"/>
      <c r="H687" s="122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  <c r="AA687" s="122"/>
      <c r="AB687" s="122"/>
    </row>
    <row r="688" spans="1:28" ht="15.75" customHeight="1" x14ac:dyDescent="0.2">
      <c r="A688" s="122"/>
      <c r="B688" s="122"/>
      <c r="C688" s="122"/>
      <c r="D688" s="122"/>
      <c r="E688" s="122"/>
      <c r="F688" s="122"/>
      <c r="G688" s="122"/>
      <c r="H688" s="122"/>
      <c r="I688" s="122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  <c r="AA688" s="122"/>
      <c r="AB688" s="122"/>
    </row>
    <row r="689" spans="1:28" ht="15.75" customHeight="1" x14ac:dyDescent="0.2">
      <c r="A689" s="122"/>
      <c r="B689" s="122"/>
      <c r="C689" s="122"/>
      <c r="D689" s="122"/>
      <c r="E689" s="122"/>
      <c r="F689" s="122"/>
      <c r="G689" s="122"/>
      <c r="H689" s="122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  <c r="AA689" s="122"/>
      <c r="AB689" s="122"/>
    </row>
    <row r="690" spans="1:28" ht="15.75" customHeight="1" x14ac:dyDescent="0.2">
      <c r="A690" s="122"/>
      <c r="B690" s="122"/>
      <c r="C690" s="122"/>
      <c r="D690" s="122"/>
      <c r="E690" s="122"/>
      <c r="F690" s="122"/>
      <c r="G690" s="122"/>
      <c r="H690" s="122"/>
      <c r="I690" s="122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  <c r="AA690" s="122"/>
      <c r="AB690" s="122"/>
    </row>
    <row r="691" spans="1:28" ht="15.75" customHeight="1" x14ac:dyDescent="0.2">
      <c r="A691" s="122"/>
      <c r="B691" s="122"/>
      <c r="C691" s="122"/>
      <c r="D691" s="122"/>
      <c r="E691" s="122"/>
      <c r="F691" s="122"/>
      <c r="G691" s="122"/>
      <c r="H691" s="122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  <c r="AA691" s="122"/>
      <c r="AB691" s="122"/>
    </row>
    <row r="692" spans="1:28" ht="15.75" customHeight="1" x14ac:dyDescent="0.2">
      <c r="A692" s="122"/>
      <c r="B692" s="122"/>
      <c r="C692" s="122"/>
      <c r="D692" s="122"/>
      <c r="E692" s="122"/>
      <c r="F692" s="122"/>
      <c r="G692" s="122"/>
      <c r="H692" s="122"/>
      <c r="I692" s="122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  <c r="AA692" s="122"/>
      <c r="AB692" s="122"/>
    </row>
    <row r="693" spans="1:28" ht="15.75" customHeight="1" x14ac:dyDescent="0.2">
      <c r="A693" s="122"/>
      <c r="B693" s="122"/>
      <c r="C693" s="122"/>
      <c r="D693" s="122"/>
      <c r="E693" s="122"/>
      <c r="F693" s="122"/>
      <c r="G693" s="122"/>
      <c r="H693" s="122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  <c r="AA693" s="122"/>
      <c r="AB693" s="122"/>
    </row>
    <row r="694" spans="1:28" ht="15.75" customHeight="1" x14ac:dyDescent="0.2">
      <c r="A694" s="122"/>
      <c r="B694" s="122"/>
      <c r="C694" s="122"/>
      <c r="D694" s="122"/>
      <c r="E694" s="122"/>
      <c r="F694" s="122"/>
      <c r="G694" s="122"/>
      <c r="H694" s="122"/>
      <c r="I694" s="122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  <c r="AA694" s="122"/>
      <c r="AB694" s="122"/>
    </row>
    <row r="695" spans="1:28" ht="15.75" customHeight="1" x14ac:dyDescent="0.2">
      <c r="A695" s="122"/>
      <c r="B695" s="122"/>
      <c r="C695" s="122"/>
      <c r="D695" s="122"/>
      <c r="E695" s="122"/>
      <c r="F695" s="122"/>
      <c r="G695" s="122"/>
      <c r="H695" s="122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  <c r="AA695" s="122"/>
      <c r="AB695" s="122"/>
    </row>
    <row r="696" spans="1:28" ht="15.75" customHeight="1" x14ac:dyDescent="0.2">
      <c r="A696" s="122"/>
      <c r="B696" s="122"/>
      <c r="C696" s="122"/>
      <c r="D696" s="122"/>
      <c r="E696" s="122"/>
      <c r="F696" s="122"/>
      <c r="G696" s="122"/>
      <c r="H696" s="122"/>
      <c r="I696" s="122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  <c r="AA696" s="122"/>
      <c r="AB696" s="122"/>
    </row>
    <row r="697" spans="1:28" ht="15.75" customHeight="1" x14ac:dyDescent="0.2">
      <c r="A697" s="122"/>
      <c r="B697" s="122"/>
      <c r="C697" s="122"/>
      <c r="D697" s="122"/>
      <c r="E697" s="122"/>
      <c r="F697" s="122"/>
      <c r="G697" s="122"/>
      <c r="H697" s="122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  <c r="AA697" s="122"/>
      <c r="AB697" s="122"/>
    </row>
    <row r="698" spans="1:28" ht="15.75" customHeight="1" x14ac:dyDescent="0.2">
      <c r="A698" s="122"/>
      <c r="B698" s="122"/>
      <c r="C698" s="122"/>
      <c r="D698" s="122"/>
      <c r="E698" s="122"/>
      <c r="F698" s="122"/>
      <c r="G698" s="122"/>
      <c r="H698" s="122"/>
      <c r="I698" s="122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  <c r="AA698" s="122"/>
      <c r="AB698" s="122"/>
    </row>
    <row r="699" spans="1:28" ht="15.75" customHeight="1" x14ac:dyDescent="0.2">
      <c r="A699" s="122"/>
      <c r="B699" s="122"/>
      <c r="C699" s="122"/>
      <c r="D699" s="122"/>
      <c r="E699" s="122"/>
      <c r="F699" s="122"/>
      <c r="G699" s="122"/>
      <c r="H699" s="122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  <c r="AA699" s="122"/>
      <c r="AB699" s="122"/>
    </row>
    <row r="700" spans="1:28" ht="15.75" customHeight="1" x14ac:dyDescent="0.2">
      <c r="A700" s="122"/>
      <c r="B700" s="122"/>
      <c r="C700" s="122"/>
      <c r="D700" s="122"/>
      <c r="E700" s="122"/>
      <c r="F700" s="122"/>
      <c r="G700" s="122"/>
      <c r="H700" s="122"/>
      <c r="I700" s="122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  <c r="AA700" s="122"/>
      <c r="AB700" s="122"/>
    </row>
    <row r="701" spans="1:28" ht="15.75" customHeight="1" x14ac:dyDescent="0.2">
      <c r="A701" s="122"/>
      <c r="B701" s="122"/>
      <c r="C701" s="122"/>
      <c r="D701" s="122"/>
      <c r="E701" s="122"/>
      <c r="F701" s="122"/>
      <c r="G701" s="122"/>
      <c r="H701" s="122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  <c r="AA701" s="122"/>
      <c r="AB701" s="122"/>
    </row>
    <row r="702" spans="1:28" ht="15.75" customHeight="1" x14ac:dyDescent="0.2">
      <c r="A702" s="122"/>
      <c r="B702" s="122"/>
      <c r="C702" s="122"/>
      <c r="D702" s="122"/>
      <c r="E702" s="122"/>
      <c r="F702" s="122"/>
      <c r="G702" s="122"/>
      <c r="H702" s="122"/>
      <c r="I702" s="122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  <c r="AA702" s="122"/>
      <c r="AB702" s="122"/>
    </row>
    <row r="703" spans="1:28" ht="15.75" customHeight="1" x14ac:dyDescent="0.2">
      <c r="A703" s="122"/>
      <c r="B703" s="122"/>
      <c r="C703" s="122"/>
      <c r="D703" s="122"/>
      <c r="E703" s="122"/>
      <c r="F703" s="122"/>
      <c r="G703" s="122"/>
      <c r="H703" s="122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  <c r="AA703" s="122"/>
      <c r="AB703" s="122"/>
    </row>
    <row r="704" spans="1:28" ht="15.75" customHeight="1" x14ac:dyDescent="0.2">
      <c r="A704" s="122"/>
      <c r="B704" s="122"/>
      <c r="C704" s="122"/>
      <c r="D704" s="122"/>
      <c r="E704" s="122"/>
      <c r="F704" s="122"/>
      <c r="G704" s="122"/>
      <c r="H704" s="122"/>
      <c r="I704" s="122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  <c r="AA704" s="122"/>
      <c r="AB704" s="122"/>
    </row>
    <row r="705" spans="1:28" ht="15.75" customHeight="1" x14ac:dyDescent="0.2">
      <c r="A705" s="122"/>
      <c r="B705" s="122"/>
      <c r="C705" s="122"/>
      <c r="D705" s="122"/>
      <c r="E705" s="122"/>
      <c r="F705" s="122"/>
      <c r="G705" s="122"/>
      <c r="H705" s="122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  <c r="AA705" s="122"/>
      <c r="AB705" s="122"/>
    </row>
    <row r="706" spans="1:28" ht="15.75" customHeight="1" x14ac:dyDescent="0.2">
      <c r="A706" s="122"/>
      <c r="B706" s="122"/>
      <c r="C706" s="122"/>
      <c r="D706" s="122"/>
      <c r="E706" s="122"/>
      <c r="F706" s="122"/>
      <c r="G706" s="122"/>
      <c r="H706" s="122"/>
      <c r="I706" s="122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  <c r="AA706" s="122"/>
      <c r="AB706" s="122"/>
    </row>
    <row r="707" spans="1:28" ht="15.75" customHeight="1" x14ac:dyDescent="0.2">
      <c r="A707" s="122"/>
      <c r="B707" s="122"/>
      <c r="C707" s="122"/>
      <c r="D707" s="122"/>
      <c r="E707" s="122"/>
      <c r="F707" s="122"/>
      <c r="G707" s="122"/>
      <c r="H707" s="122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  <c r="AA707" s="122"/>
      <c r="AB707" s="122"/>
    </row>
    <row r="708" spans="1:28" ht="15.75" customHeight="1" x14ac:dyDescent="0.2">
      <c r="A708" s="122"/>
      <c r="B708" s="122"/>
      <c r="C708" s="122"/>
      <c r="D708" s="122"/>
      <c r="E708" s="122"/>
      <c r="F708" s="122"/>
      <c r="G708" s="122"/>
      <c r="H708" s="122"/>
      <c r="I708" s="122"/>
      <c r="J708" s="122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  <c r="AA708" s="122"/>
      <c r="AB708" s="122"/>
    </row>
    <row r="709" spans="1:28" ht="15.75" customHeight="1" x14ac:dyDescent="0.2">
      <c r="A709" s="122"/>
      <c r="B709" s="122"/>
      <c r="C709" s="122"/>
      <c r="D709" s="122"/>
      <c r="E709" s="122"/>
      <c r="F709" s="122"/>
      <c r="G709" s="122"/>
      <c r="H709" s="122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  <c r="AA709" s="122"/>
      <c r="AB709" s="122"/>
    </row>
    <row r="710" spans="1:28" ht="15.75" customHeight="1" x14ac:dyDescent="0.2">
      <c r="A710" s="122"/>
      <c r="B710" s="122"/>
      <c r="C710" s="122"/>
      <c r="D710" s="122"/>
      <c r="E710" s="122"/>
      <c r="F710" s="122"/>
      <c r="G710" s="122"/>
      <c r="H710" s="122"/>
      <c r="I710" s="122"/>
      <c r="J710" s="122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  <c r="AA710" s="122"/>
      <c r="AB710" s="122"/>
    </row>
    <row r="711" spans="1:28" ht="15.75" customHeight="1" x14ac:dyDescent="0.2">
      <c r="A711" s="122"/>
      <c r="B711" s="122"/>
      <c r="C711" s="122"/>
      <c r="D711" s="122"/>
      <c r="E711" s="122"/>
      <c r="F711" s="122"/>
      <c r="G711" s="122"/>
      <c r="H711" s="122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  <c r="AA711" s="122"/>
      <c r="AB711" s="122"/>
    </row>
    <row r="712" spans="1:28" ht="15.75" customHeight="1" x14ac:dyDescent="0.2">
      <c r="A712" s="122"/>
      <c r="B712" s="122"/>
      <c r="C712" s="122"/>
      <c r="D712" s="122"/>
      <c r="E712" s="122"/>
      <c r="F712" s="122"/>
      <c r="G712" s="122"/>
      <c r="H712" s="122"/>
      <c r="I712" s="122"/>
      <c r="J712" s="122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  <c r="AA712" s="122"/>
      <c r="AB712" s="122"/>
    </row>
    <row r="713" spans="1:28" ht="15.75" customHeight="1" x14ac:dyDescent="0.2">
      <c r="A713" s="122"/>
      <c r="B713" s="122"/>
      <c r="C713" s="122"/>
      <c r="D713" s="122"/>
      <c r="E713" s="122"/>
      <c r="F713" s="122"/>
      <c r="G713" s="122"/>
      <c r="H713" s="122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  <c r="AA713" s="122"/>
      <c r="AB713" s="122"/>
    </row>
    <row r="714" spans="1:28" ht="15.75" customHeight="1" x14ac:dyDescent="0.2">
      <c r="A714" s="122"/>
      <c r="B714" s="122"/>
      <c r="C714" s="122"/>
      <c r="D714" s="122"/>
      <c r="E714" s="122"/>
      <c r="F714" s="122"/>
      <c r="G714" s="122"/>
      <c r="H714" s="122"/>
      <c r="I714" s="122"/>
      <c r="J714" s="122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  <c r="AA714" s="122"/>
      <c r="AB714" s="122"/>
    </row>
    <row r="715" spans="1:28" ht="15.75" customHeight="1" x14ac:dyDescent="0.2">
      <c r="A715" s="122"/>
      <c r="B715" s="122"/>
      <c r="C715" s="122"/>
      <c r="D715" s="122"/>
      <c r="E715" s="122"/>
      <c r="F715" s="122"/>
      <c r="G715" s="122"/>
      <c r="H715" s="122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  <c r="AA715" s="122"/>
      <c r="AB715" s="122"/>
    </row>
    <row r="716" spans="1:28" ht="15.75" customHeight="1" x14ac:dyDescent="0.2">
      <c r="A716" s="122"/>
      <c r="B716" s="122"/>
      <c r="C716" s="122"/>
      <c r="D716" s="122"/>
      <c r="E716" s="122"/>
      <c r="F716" s="122"/>
      <c r="G716" s="122"/>
      <c r="H716" s="122"/>
      <c r="I716" s="122"/>
      <c r="J716" s="122"/>
      <c r="K716" s="122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  <c r="AA716" s="122"/>
      <c r="AB716" s="122"/>
    </row>
    <row r="717" spans="1:28" ht="15.75" customHeight="1" x14ac:dyDescent="0.2">
      <c r="A717" s="122"/>
      <c r="B717" s="122"/>
      <c r="C717" s="122"/>
      <c r="D717" s="122"/>
      <c r="E717" s="122"/>
      <c r="F717" s="122"/>
      <c r="G717" s="122"/>
      <c r="H717" s="122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  <c r="AA717" s="122"/>
      <c r="AB717" s="122"/>
    </row>
    <row r="718" spans="1:28" ht="15.75" customHeight="1" x14ac:dyDescent="0.2">
      <c r="A718" s="122"/>
      <c r="B718" s="122"/>
      <c r="C718" s="122"/>
      <c r="D718" s="122"/>
      <c r="E718" s="122"/>
      <c r="F718" s="122"/>
      <c r="G718" s="122"/>
      <c r="H718" s="122"/>
      <c r="I718" s="122"/>
      <c r="J718" s="122"/>
      <c r="K718" s="122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  <c r="AA718" s="122"/>
      <c r="AB718" s="122"/>
    </row>
    <row r="719" spans="1:28" ht="15.75" customHeight="1" x14ac:dyDescent="0.2">
      <c r="A719" s="122"/>
      <c r="B719" s="122"/>
      <c r="C719" s="122"/>
      <c r="D719" s="122"/>
      <c r="E719" s="122"/>
      <c r="F719" s="122"/>
      <c r="G719" s="122"/>
      <c r="H719" s="122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  <c r="AA719" s="122"/>
      <c r="AB719" s="122"/>
    </row>
    <row r="720" spans="1:28" ht="15.75" customHeight="1" x14ac:dyDescent="0.2">
      <c r="A720" s="122"/>
      <c r="B720" s="122"/>
      <c r="C720" s="122"/>
      <c r="D720" s="122"/>
      <c r="E720" s="122"/>
      <c r="F720" s="122"/>
      <c r="G720" s="122"/>
      <c r="H720" s="122"/>
      <c r="I720" s="122"/>
      <c r="J720" s="122"/>
      <c r="K720" s="122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  <c r="AA720" s="122"/>
      <c r="AB720" s="122"/>
    </row>
    <row r="721" spans="1:28" ht="15.75" customHeight="1" x14ac:dyDescent="0.2">
      <c r="A721" s="122"/>
      <c r="B721" s="122"/>
      <c r="C721" s="122"/>
      <c r="D721" s="122"/>
      <c r="E721" s="122"/>
      <c r="F721" s="122"/>
      <c r="G721" s="122"/>
      <c r="H721" s="122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  <c r="AA721" s="122"/>
      <c r="AB721" s="122"/>
    </row>
    <row r="722" spans="1:28" ht="15.75" customHeight="1" x14ac:dyDescent="0.2">
      <c r="A722" s="122"/>
      <c r="B722" s="122"/>
      <c r="C722" s="122"/>
      <c r="D722" s="122"/>
      <c r="E722" s="122"/>
      <c r="F722" s="122"/>
      <c r="G722" s="122"/>
      <c r="H722" s="122"/>
      <c r="I722" s="122"/>
      <c r="J722" s="122"/>
      <c r="K722" s="122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  <c r="AA722" s="122"/>
      <c r="AB722" s="122"/>
    </row>
    <row r="723" spans="1:28" ht="15.75" customHeight="1" x14ac:dyDescent="0.2">
      <c r="A723" s="122"/>
      <c r="B723" s="122"/>
      <c r="C723" s="122"/>
      <c r="D723" s="122"/>
      <c r="E723" s="122"/>
      <c r="F723" s="122"/>
      <c r="G723" s="122"/>
      <c r="H723" s="122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  <c r="AA723" s="122"/>
      <c r="AB723" s="122"/>
    </row>
    <row r="724" spans="1:28" ht="15.75" customHeight="1" x14ac:dyDescent="0.2">
      <c r="A724" s="122"/>
      <c r="B724" s="122"/>
      <c r="C724" s="122"/>
      <c r="D724" s="122"/>
      <c r="E724" s="122"/>
      <c r="F724" s="122"/>
      <c r="G724" s="122"/>
      <c r="H724" s="122"/>
      <c r="I724" s="122"/>
      <c r="J724" s="122"/>
      <c r="K724" s="122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  <c r="AA724" s="122"/>
      <c r="AB724" s="122"/>
    </row>
    <row r="725" spans="1:28" ht="15.75" customHeight="1" x14ac:dyDescent="0.2">
      <c r="A725" s="122"/>
      <c r="B725" s="122"/>
      <c r="C725" s="122"/>
      <c r="D725" s="122"/>
      <c r="E725" s="122"/>
      <c r="F725" s="122"/>
      <c r="G725" s="122"/>
      <c r="H725" s="122"/>
      <c r="I725" s="122"/>
      <c r="J725" s="122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  <c r="AA725" s="122"/>
      <c r="AB725" s="122"/>
    </row>
    <row r="726" spans="1:28" ht="15.75" customHeight="1" x14ac:dyDescent="0.2">
      <c r="A726" s="122"/>
      <c r="B726" s="122"/>
      <c r="C726" s="122"/>
      <c r="D726" s="122"/>
      <c r="E726" s="122"/>
      <c r="F726" s="122"/>
      <c r="G726" s="122"/>
      <c r="H726" s="122"/>
      <c r="I726" s="122"/>
      <c r="J726" s="122"/>
      <c r="K726" s="122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  <c r="AA726" s="122"/>
      <c r="AB726" s="122"/>
    </row>
    <row r="727" spans="1:28" ht="15.75" customHeight="1" x14ac:dyDescent="0.2">
      <c r="A727" s="122"/>
      <c r="B727" s="122"/>
      <c r="C727" s="122"/>
      <c r="D727" s="122"/>
      <c r="E727" s="122"/>
      <c r="F727" s="122"/>
      <c r="G727" s="122"/>
      <c r="H727" s="122"/>
      <c r="I727" s="122"/>
      <c r="J727" s="122"/>
      <c r="K727" s="122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  <c r="AA727" s="122"/>
      <c r="AB727" s="122"/>
    </row>
    <row r="728" spans="1:28" ht="15.75" customHeight="1" x14ac:dyDescent="0.2">
      <c r="A728" s="122"/>
      <c r="B728" s="122"/>
      <c r="C728" s="122"/>
      <c r="D728" s="122"/>
      <c r="E728" s="122"/>
      <c r="F728" s="122"/>
      <c r="G728" s="122"/>
      <c r="H728" s="122"/>
      <c r="I728" s="122"/>
      <c r="J728" s="122"/>
      <c r="K728" s="122"/>
      <c r="L728" s="122"/>
      <c r="M728" s="122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  <c r="AA728" s="122"/>
      <c r="AB728" s="122"/>
    </row>
    <row r="729" spans="1:28" ht="15.75" customHeight="1" x14ac:dyDescent="0.2">
      <c r="A729" s="122"/>
      <c r="B729" s="122"/>
      <c r="C729" s="122"/>
      <c r="D729" s="122"/>
      <c r="E729" s="122"/>
      <c r="F729" s="122"/>
      <c r="G729" s="122"/>
      <c r="H729" s="122"/>
      <c r="I729" s="122"/>
      <c r="J729" s="122"/>
      <c r="K729" s="122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  <c r="AA729" s="122"/>
      <c r="AB729" s="122"/>
    </row>
    <row r="730" spans="1:28" ht="15.75" customHeight="1" x14ac:dyDescent="0.2">
      <c r="A730" s="122"/>
      <c r="B730" s="122"/>
      <c r="C730" s="122"/>
      <c r="D730" s="122"/>
      <c r="E730" s="122"/>
      <c r="F730" s="122"/>
      <c r="G730" s="122"/>
      <c r="H730" s="122"/>
      <c r="I730" s="122"/>
      <c r="J730" s="122"/>
      <c r="K730" s="122"/>
      <c r="L730" s="122"/>
      <c r="M730" s="122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  <c r="AA730" s="122"/>
      <c r="AB730" s="122"/>
    </row>
    <row r="731" spans="1:28" ht="15.75" customHeight="1" x14ac:dyDescent="0.2">
      <c r="A731" s="122"/>
      <c r="B731" s="122"/>
      <c r="C731" s="122"/>
      <c r="D731" s="122"/>
      <c r="E731" s="122"/>
      <c r="F731" s="122"/>
      <c r="G731" s="122"/>
      <c r="H731" s="122"/>
      <c r="I731" s="122"/>
      <c r="J731" s="122"/>
      <c r="K731" s="122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  <c r="AA731" s="122"/>
      <c r="AB731" s="122"/>
    </row>
    <row r="732" spans="1:28" ht="15.75" customHeight="1" x14ac:dyDescent="0.2">
      <c r="A732" s="122"/>
      <c r="B732" s="122"/>
      <c r="C732" s="122"/>
      <c r="D732" s="122"/>
      <c r="E732" s="122"/>
      <c r="F732" s="122"/>
      <c r="G732" s="122"/>
      <c r="H732" s="122"/>
      <c r="I732" s="122"/>
      <c r="J732" s="122"/>
      <c r="K732" s="122"/>
      <c r="L732" s="122"/>
      <c r="M732" s="122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  <c r="AA732" s="122"/>
      <c r="AB732" s="122"/>
    </row>
    <row r="733" spans="1:28" ht="15.75" customHeight="1" x14ac:dyDescent="0.2">
      <c r="A733" s="122"/>
      <c r="B733" s="122"/>
      <c r="C733" s="122"/>
      <c r="D733" s="122"/>
      <c r="E733" s="122"/>
      <c r="F733" s="122"/>
      <c r="G733" s="122"/>
      <c r="H733" s="122"/>
      <c r="I733" s="122"/>
      <c r="J733" s="122"/>
      <c r="K733" s="122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  <c r="AA733" s="122"/>
      <c r="AB733" s="122"/>
    </row>
    <row r="734" spans="1:28" ht="15.75" customHeight="1" x14ac:dyDescent="0.2">
      <c r="A734" s="122"/>
      <c r="B734" s="122"/>
      <c r="C734" s="122"/>
      <c r="D734" s="122"/>
      <c r="E734" s="122"/>
      <c r="F734" s="122"/>
      <c r="G734" s="122"/>
      <c r="H734" s="122"/>
      <c r="I734" s="122"/>
      <c r="J734" s="122"/>
      <c r="K734" s="122"/>
      <c r="L734" s="122"/>
      <c r="M734" s="122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  <c r="AA734" s="122"/>
      <c r="AB734" s="122"/>
    </row>
    <row r="735" spans="1:28" ht="15.75" customHeight="1" x14ac:dyDescent="0.2">
      <c r="A735" s="122"/>
      <c r="B735" s="122"/>
      <c r="C735" s="122"/>
      <c r="D735" s="122"/>
      <c r="E735" s="122"/>
      <c r="F735" s="122"/>
      <c r="G735" s="122"/>
      <c r="H735" s="122"/>
      <c r="I735" s="122"/>
      <c r="J735" s="122"/>
      <c r="K735" s="122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  <c r="AA735" s="122"/>
      <c r="AB735" s="122"/>
    </row>
    <row r="736" spans="1:28" ht="15.75" customHeight="1" x14ac:dyDescent="0.2">
      <c r="A736" s="122"/>
      <c r="B736" s="122"/>
      <c r="C736" s="122"/>
      <c r="D736" s="122"/>
      <c r="E736" s="122"/>
      <c r="F736" s="122"/>
      <c r="G736" s="122"/>
      <c r="H736" s="122"/>
      <c r="I736" s="122"/>
      <c r="J736" s="122"/>
      <c r="K736" s="122"/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  <c r="AA736" s="122"/>
      <c r="AB736" s="122"/>
    </row>
    <row r="737" spans="1:28" ht="15.75" customHeight="1" x14ac:dyDescent="0.2">
      <c r="A737" s="122"/>
      <c r="B737" s="122"/>
      <c r="C737" s="122"/>
      <c r="D737" s="122"/>
      <c r="E737" s="122"/>
      <c r="F737" s="122"/>
      <c r="G737" s="122"/>
      <c r="H737" s="122"/>
      <c r="I737" s="122"/>
      <c r="J737" s="122"/>
      <c r="K737" s="122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  <c r="AA737" s="122"/>
      <c r="AB737" s="122"/>
    </row>
    <row r="738" spans="1:28" ht="15.75" customHeight="1" x14ac:dyDescent="0.2">
      <c r="A738" s="122"/>
      <c r="B738" s="122"/>
      <c r="C738" s="122"/>
      <c r="D738" s="122"/>
      <c r="E738" s="122"/>
      <c r="F738" s="122"/>
      <c r="G738" s="122"/>
      <c r="H738" s="122"/>
      <c r="I738" s="122"/>
      <c r="J738" s="122"/>
      <c r="K738" s="122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  <c r="AA738" s="122"/>
      <c r="AB738" s="122"/>
    </row>
    <row r="739" spans="1:28" ht="15.75" customHeight="1" x14ac:dyDescent="0.2">
      <c r="A739" s="122"/>
      <c r="B739" s="122"/>
      <c r="C739" s="122"/>
      <c r="D739" s="122"/>
      <c r="E739" s="122"/>
      <c r="F739" s="122"/>
      <c r="G739" s="122"/>
      <c r="H739" s="122"/>
      <c r="I739" s="122"/>
      <c r="J739" s="122"/>
      <c r="K739" s="122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  <c r="AA739" s="122"/>
      <c r="AB739" s="122"/>
    </row>
    <row r="740" spans="1:28" ht="15.75" customHeight="1" x14ac:dyDescent="0.2">
      <c r="A740" s="122"/>
      <c r="B740" s="122"/>
      <c r="C740" s="122"/>
      <c r="D740" s="122"/>
      <c r="E740" s="122"/>
      <c r="F740" s="122"/>
      <c r="G740" s="122"/>
      <c r="H740" s="122"/>
      <c r="I740" s="122"/>
      <c r="J740" s="122"/>
      <c r="K740" s="122"/>
      <c r="L740" s="122"/>
      <c r="M740" s="122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  <c r="AA740" s="122"/>
      <c r="AB740" s="122"/>
    </row>
    <row r="741" spans="1:28" ht="15.75" customHeight="1" x14ac:dyDescent="0.2">
      <c r="A741" s="122"/>
      <c r="B741" s="122"/>
      <c r="C741" s="122"/>
      <c r="D741" s="122"/>
      <c r="E741" s="122"/>
      <c r="F741" s="122"/>
      <c r="G741" s="122"/>
      <c r="H741" s="122"/>
      <c r="I741" s="122"/>
      <c r="J741" s="122"/>
      <c r="K741" s="122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  <c r="AA741" s="122"/>
      <c r="AB741" s="122"/>
    </row>
    <row r="742" spans="1:28" ht="15.75" customHeight="1" x14ac:dyDescent="0.2">
      <c r="A742" s="122"/>
      <c r="B742" s="122"/>
      <c r="C742" s="122"/>
      <c r="D742" s="122"/>
      <c r="E742" s="122"/>
      <c r="F742" s="122"/>
      <c r="G742" s="122"/>
      <c r="H742" s="122"/>
      <c r="I742" s="122"/>
      <c r="J742" s="122"/>
      <c r="K742" s="122"/>
      <c r="L742" s="122"/>
      <c r="M742" s="122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  <c r="AA742" s="122"/>
      <c r="AB742" s="122"/>
    </row>
    <row r="743" spans="1:28" ht="15.75" customHeight="1" x14ac:dyDescent="0.2">
      <c r="A743" s="122"/>
      <c r="B743" s="122"/>
      <c r="C743" s="122"/>
      <c r="D743" s="122"/>
      <c r="E743" s="122"/>
      <c r="F743" s="122"/>
      <c r="G743" s="122"/>
      <c r="H743" s="122"/>
      <c r="I743" s="122"/>
      <c r="J743" s="122"/>
      <c r="K743" s="122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  <c r="AA743" s="122"/>
      <c r="AB743" s="122"/>
    </row>
    <row r="744" spans="1:28" ht="15.75" customHeight="1" x14ac:dyDescent="0.2">
      <c r="A744" s="122"/>
      <c r="B744" s="122"/>
      <c r="C744" s="122"/>
      <c r="D744" s="122"/>
      <c r="E744" s="122"/>
      <c r="F744" s="122"/>
      <c r="G744" s="122"/>
      <c r="H744" s="122"/>
      <c r="I744" s="122"/>
      <c r="J744" s="122"/>
      <c r="K744" s="122"/>
      <c r="L744" s="122"/>
      <c r="M744" s="122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  <c r="AA744" s="122"/>
      <c r="AB744" s="122"/>
    </row>
    <row r="745" spans="1:28" ht="15.75" customHeight="1" x14ac:dyDescent="0.2">
      <c r="A745" s="122"/>
      <c r="B745" s="122"/>
      <c r="C745" s="122"/>
      <c r="D745" s="122"/>
      <c r="E745" s="122"/>
      <c r="F745" s="122"/>
      <c r="G745" s="122"/>
      <c r="H745" s="122"/>
      <c r="I745" s="122"/>
      <c r="J745" s="122"/>
      <c r="K745" s="122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  <c r="AA745" s="122"/>
      <c r="AB745" s="122"/>
    </row>
    <row r="746" spans="1:28" ht="15.75" customHeight="1" x14ac:dyDescent="0.2">
      <c r="A746" s="122"/>
      <c r="B746" s="122"/>
      <c r="C746" s="122"/>
      <c r="D746" s="122"/>
      <c r="E746" s="122"/>
      <c r="F746" s="122"/>
      <c r="G746" s="122"/>
      <c r="H746" s="122"/>
      <c r="I746" s="122"/>
      <c r="J746" s="122"/>
      <c r="K746" s="122"/>
      <c r="L746" s="122"/>
      <c r="M746" s="122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  <c r="AA746" s="122"/>
      <c r="AB746" s="122"/>
    </row>
    <row r="747" spans="1:28" ht="15.75" customHeight="1" x14ac:dyDescent="0.2">
      <c r="A747" s="122"/>
      <c r="B747" s="122"/>
      <c r="C747" s="122"/>
      <c r="D747" s="122"/>
      <c r="E747" s="122"/>
      <c r="F747" s="122"/>
      <c r="G747" s="122"/>
      <c r="H747" s="122"/>
      <c r="I747" s="122"/>
      <c r="J747" s="122"/>
      <c r="K747" s="122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  <c r="AA747" s="122"/>
      <c r="AB747" s="122"/>
    </row>
    <row r="748" spans="1:28" ht="15.75" customHeight="1" x14ac:dyDescent="0.2">
      <c r="A748" s="122"/>
      <c r="B748" s="122"/>
      <c r="C748" s="122"/>
      <c r="D748" s="122"/>
      <c r="E748" s="122"/>
      <c r="F748" s="122"/>
      <c r="G748" s="122"/>
      <c r="H748" s="122"/>
      <c r="I748" s="122"/>
      <c r="J748" s="122"/>
      <c r="K748" s="122"/>
      <c r="L748" s="122"/>
      <c r="M748" s="122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  <c r="AA748" s="122"/>
      <c r="AB748" s="122"/>
    </row>
    <row r="749" spans="1:28" ht="15.75" customHeight="1" x14ac:dyDescent="0.2">
      <c r="A749" s="122"/>
      <c r="B749" s="122"/>
      <c r="C749" s="122"/>
      <c r="D749" s="122"/>
      <c r="E749" s="122"/>
      <c r="F749" s="122"/>
      <c r="G749" s="122"/>
      <c r="H749" s="122"/>
      <c r="I749" s="122"/>
      <c r="J749" s="122"/>
      <c r="K749" s="122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  <c r="AA749" s="122"/>
      <c r="AB749" s="122"/>
    </row>
    <row r="750" spans="1:28" ht="15.75" customHeight="1" x14ac:dyDescent="0.2">
      <c r="A750" s="122"/>
      <c r="B750" s="122"/>
      <c r="C750" s="122"/>
      <c r="D750" s="122"/>
      <c r="E750" s="122"/>
      <c r="F750" s="122"/>
      <c r="G750" s="122"/>
      <c r="H750" s="122"/>
      <c r="I750" s="122"/>
      <c r="J750" s="122"/>
      <c r="K750" s="122"/>
      <c r="L750" s="122"/>
      <c r="M750" s="122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  <c r="AA750" s="122"/>
      <c r="AB750" s="122"/>
    </row>
    <row r="751" spans="1:28" ht="15.75" customHeight="1" x14ac:dyDescent="0.2">
      <c r="A751" s="122"/>
      <c r="B751" s="122"/>
      <c r="C751" s="122"/>
      <c r="D751" s="122"/>
      <c r="E751" s="122"/>
      <c r="F751" s="122"/>
      <c r="G751" s="122"/>
      <c r="H751" s="122"/>
      <c r="I751" s="122"/>
      <c r="J751" s="122"/>
      <c r="K751" s="122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  <c r="AA751" s="122"/>
      <c r="AB751" s="122"/>
    </row>
    <row r="752" spans="1:28" ht="15.75" customHeight="1" x14ac:dyDescent="0.2">
      <c r="A752" s="122"/>
      <c r="B752" s="122"/>
      <c r="C752" s="122"/>
      <c r="D752" s="122"/>
      <c r="E752" s="122"/>
      <c r="F752" s="122"/>
      <c r="G752" s="122"/>
      <c r="H752" s="122"/>
      <c r="I752" s="122"/>
      <c r="J752" s="122"/>
      <c r="K752" s="122"/>
      <c r="L752" s="122"/>
      <c r="M752" s="122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  <c r="AA752" s="122"/>
      <c r="AB752" s="122"/>
    </row>
    <row r="753" spans="1:28" ht="15.75" customHeight="1" x14ac:dyDescent="0.2">
      <c r="A753" s="122"/>
      <c r="B753" s="122"/>
      <c r="C753" s="122"/>
      <c r="D753" s="122"/>
      <c r="E753" s="122"/>
      <c r="F753" s="122"/>
      <c r="G753" s="122"/>
      <c r="H753" s="122"/>
      <c r="I753" s="122"/>
      <c r="J753" s="122"/>
      <c r="K753" s="122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  <c r="AA753" s="122"/>
      <c r="AB753" s="122"/>
    </row>
    <row r="754" spans="1:28" ht="15.75" customHeight="1" x14ac:dyDescent="0.2">
      <c r="A754" s="122"/>
      <c r="B754" s="122"/>
      <c r="C754" s="122"/>
      <c r="D754" s="122"/>
      <c r="E754" s="122"/>
      <c r="F754" s="122"/>
      <c r="G754" s="122"/>
      <c r="H754" s="122"/>
      <c r="I754" s="122"/>
      <c r="J754" s="122"/>
      <c r="K754" s="122"/>
      <c r="L754" s="122"/>
      <c r="M754" s="122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  <c r="AA754" s="122"/>
      <c r="AB754" s="122"/>
    </row>
    <row r="755" spans="1:28" ht="15.75" customHeight="1" x14ac:dyDescent="0.2">
      <c r="A755" s="122"/>
      <c r="B755" s="122"/>
      <c r="C755" s="122"/>
      <c r="D755" s="122"/>
      <c r="E755" s="122"/>
      <c r="F755" s="122"/>
      <c r="G755" s="122"/>
      <c r="H755" s="122"/>
      <c r="I755" s="122"/>
      <c r="J755" s="122"/>
      <c r="K755" s="122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  <c r="AA755" s="122"/>
      <c r="AB755" s="122"/>
    </row>
    <row r="756" spans="1:28" ht="15.75" customHeight="1" x14ac:dyDescent="0.2">
      <c r="A756" s="122"/>
      <c r="B756" s="122"/>
      <c r="C756" s="122"/>
      <c r="D756" s="122"/>
      <c r="E756" s="122"/>
      <c r="F756" s="122"/>
      <c r="G756" s="122"/>
      <c r="H756" s="122"/>
      <c r="I756" s="122"/>
      <c r="J756" s="122"/>
      <c r="K756" s="122"/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  <c r="AA756" s="122"/>
      <c r="AB756" s="122"/>
    </row>
    <row r="757" spans="1:28" ht="15.75" customHeight="1" x14ac:dyDescent="0.2">
      <c r="A757" s="122"/>
      <c r="B757" s="122"/>
      <c r="C757" s="122"/>
      <c r="D757" s="122"/>
      <c r="E757" s="122"/>
      <c r="F757" s="122"/>
      <c r="G757" s="122"/>
      <c r="H757" s="122"/>
      <c r="I757" s="122"/>
      <c r="J757" s="122"/>
      <c r="K757" s="122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  <c r="AA757" s="122"/>
      <c r="AB757" s="122"/>
    </row>
    <row r="758" spans="1:28" ht="15.75" customHeight="1" x14ac:dyDescent="0.2">
      <c r="A758" s="122"/>
      <c r="B758" s="122"/>
      <c r="C758" s="122"/>
      <c r="D758" s="122"/>
      <c r="E758" s="122"/>
      <c r="F758" s="122"/>
      <c r="G758" s="122"/>
      <c r="H758" s="122"/>
      <c r="I758" s="122"/>
      <c r="J758" s="122"/>
      <c r="K758" s="122"/>
      <c r="L758" s="122"/>
      <c r="M758" s="122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  <c r="AA758" s="122"/>
      <c r="AB758" s="122"/>
    </row>
    <row r="759" spans="1:28" ht="15.75" customHeight="1" x14ac:dyDescent="0.2">
      <c r="A759" s="122"/>
      <c r="B759" s="122"/>
      <c r="C759" s="122"/>
      <c r="D759" s="122"/>
      <c r="E759" s="122"/>
      <c r="F759" s="122"/>
      <c r="G759" s="122"/>
      <c r="H759" s="122"/>
      <c r="I759" s="122"/>
      <c r="J759" s="122"/>
      <c r="K759" s="122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  <c r="AA759" s="122"/>
      <c r="AB759" s="122"/>
    </row>
    <row r="760" spans="1:28" ht="15.75" customHeight="1" x14ac:dyDescent="0.2">
      <c r="A760" s="122"/>
      <c r="B760" s="122"/>
      <c r="C760" s="122"/>
      <c r="D760" s="122"/>
      <c r="E760" s="122"/>
      <c r="F760" s="122"/>
      <c r="G760" s="122"/>
      <c r="H760" s="122"/>
      <c r="I760" s="122"/>
      <c r="J760" s="122"/>
      <c r="K760" s="122"/>
      <c r="L760" s="122"/>
      <c r="M760" s="122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  <c r="AA760" s="122"/>
      <c r="AB760" s="122"/>
    </row>
    <row r="761" spans="1:28" ht="15.75" customHeight="1" x14ac:dyDescent="0.2">
      <c r="A761" s="122"/>
      <c r="B761" s="122"/>
      <c r="C761" s="122"/>
      <c r="D761" s="122"/>
      <c r="E761" s="122"/>
      <c r="F761" s="122"/>
      <c r="G761" s="122"/>
      <c r="H761" s="122"/>
      <c r="I761" s="122"/>
      <c r="J761" s="122"/>
      <c r="K761" s="122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  <c r="AA761" s="122"/>
      <c r="AB761" s="122"/>
    </row>
    <row r="762" spans="1:28" ht="15.75" customHeight="1" x14ac:dyDescent="0.2">
      <c r="A762" s="122"/>
      <c r="B762" s="122"/>
      <c r="C762" s="122"/>
      <c r="D762" s="122"/>
      <c r="E762" s="122"/>
      <c r="F762" s="122"/>
      <c r="G762" s="122"/>
      <c r="H762" s="122"/>
      <c r="I762" s="122"/>
      <c r="J762" s="122"/>
      <c r="K762" s="122"/>
      <c r="L762" s="122"/>
      <c r="M762" s="122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  <c r="AA762" s="122"/>
      <c r="AB762" s="122"/>
    </row>
    <row r="763" spans="1:28" ht="15.75" customHeight="1" x14ac:dyDescent="0.2">
      <c r="A763" s="122"/>
      <c r="B763" s="122"/>
      <c r="C763" s="122"/>
      <c r="D763" s="122"/>
      <c r="E763" s="122"/>
      <c r="F763" s="122"/>
      <c r="G763" s="122"/>
      <c r="H763" s="122"/>
      <c r="I763" s="122"/>
      <c r="J763" s="122"/>
      <c r="K763" s="122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  <c r="AA763" s="122"/>
      <c r="AB763" s="122"/>
    </row>
    <row r="764" spans="1:28" ht="15.75" customHeight="1" x14ac:dyDescent="0.2">
      <c r="A764" s="122"/>
      <c r="B764" s="122"/>
      <c r="C764" s="122"/>
      <c r="D764" s="122"/>
      <c r="E764" s="122"/>
      <c r="F764" s="122"/>
      <c r="G764" s="122"/>
      <c r="H764" s="122"/>
      <c r="I764" s="122"/>
      <c r="J764" s="122"/>
      <c r="K764" s="122"/>
      <c r="L764" s="122"/>
      <c r="M764" s="122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  <c r="AA764" s="122"/>
      <c r="AB764" s="122"/>
    </row>
    <row r="765" spans="1:28" ht="15.75" customHeight="1" x14ac:dyDescent="0.2">
      <c r="A765" s="122"/>
      <c r="B765" s="122"/>
      <c r="C765" s="122"/>
      <c r="D765" s="122"/>
      <c r="E765" s="122"/>
      <c r="F765" s="122"/>
      <c r="G765" s="122"/>
      <c r="H765" s="122"/>
      <c r="I765" s="122"/>
      <c r="J765" s="122"/>
      <c r="K765" s="122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  <c r="AA765" s="122"/>
      <c r="AB765" s="122"/>
    </row>
    <row r="766" spans="1:28" ht="15.75" customHeight="1" x14ac:dyDescent="0.2">
      <c r="A766" s="122"/>
      <c r="B766" s="122"/>
      <c r="C766" s="122"/>
      <c r="D766" s="122"/>
      <c r="E766" s="122"/>
      <c r="F766" s="122"/>
      <c r="G766" s="122"/>
      <c r="H766" s="122"/>
      <c r="I766" s="122"/>
      <c r="J766" s="122"/>
      <c r="K766" s="122"/>
      <c r="L766" s="122"/>
      <c r="M766" s="122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  <c r="AA766" s="122"/>
      <c r="AB766" s="122"/>
    </row>
    <row r="767" spans="1:28" ht="15.75" customHeight="1" x14ac:dyDescent="0.2">
      <c r="A767" s="122"/>
      <c r="B767" s="122"/>
      <c r="C767" s="122"/>
      <c r="D767" s="122"/>
      <c r="E767" s="122"/>
      <c r="F767" s="122"/>
      <c r="G767" s="122"/>
      <c r="H767" s="122"/>
      <c r="I767" s="122"/>
      <c r="J767" s="122"/>
      <c r="K767" s="122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  <c r="AA767" s="122"/>
      <c r="AB767" s="122"/>
    </row>
    <row r="768" spans="1:28" ht="15.75" customHeight="1" x14ac:dyDescent="0.2">
      <c r="A768" s="122"/>
      <c r="B768" s="122"/>
      <c r="C768" s="122"/>
      <c r="D768" s="122"/>
      <c r="E768" s="122"/>
      <c r="F768" s="122"/>
      <c r="G768" s="122"/>
      <c r="H768" s="122"/>
      <c r="I768" s="122"/>
      <c r="J768" s="122"/>
      <c r="K768" s="122"/>
      <c r="L768" s="122"/>
      <c r="M768" s="122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  <c r="AA768" s="122"/>
      <c r="AB768" s="122"/>
    </row>
    <row r="769" spans="1:28" ht="15.75" customHeight="1" x14ac:dyDescent="0.2">
      <c r="A769" s="122"/>
      <c r="B769" s="122"/>
      <c r="C769" s="122"/>
      <c r="D769" s="122"/>
      <c r="E769" s="122"/>
      <c r="F769" s="122"/>
      <c r="G769" s="122"/>
      <c r="H769" s="122"/>
      <c r="I769" s="122"/>
      <c r="J769" s="122"/>
      <c r="K769" s="122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  <c r="AA769" s="122"/>
      <c r="AB769" s="122"/>
    </row>
    <row r="770" spans="1:28" ht="15.75" customHeight="1" x14ac:dyDescent="0.2">
      <c r="A770" s="122"/>
      <c r="B770" s="122"/>
      <c r="C770" s="122"/>
      <c r="D770" s="122"/>
      <c r="E770" s="122"/>
      <c r="F770" s="122"/>
      <c r="G770" s="122"/>
      <c r="H770" s="122"/>
      <c r="I770" s="122"/>
      <c r="J770" s="122"/>
      <c r="K770" s="122"/>
      <c r="L770" s="122"/>
      <c r="M770" s="122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  <c r="AA770" s="122"/>
      <c r="AB770" s="122"/>
    </row>
    <row r="771" spans="1:28" ht="15.75" customHeight="1" x14ac:dyDescent="0.2">
      <c r="A771" s="122"/>
      <c r="B771" s="122"/>
      <c r="C771" s="122"/>
      <c r="D771" s="122"/>
      <c r="E771" s="122"/>
      <c r="F771" s="122"/>
      <c r="G771" s="122"/>
      <c r="H771" s="122"/>
      <c r="I771" s="122"/>
      <c r="J771" s="122"/>
      <c r="K771" s="122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  <c r="AA771" s="122"/>
      <c r="AB771" s="122"/>
    </row>
    <row r="772" spans="1:28" ht="15.75" customHeight="1" x14ac:dyDescent="0.2">
      <c r="A772" s="122"/>
      <c r="B772" s="122"/>
      <c r="C772" s="122"/>
      <c r="D772" s="122"/>
      <c r="E772" s="122"/>
      <c r="F772" s="122"/>
      <c r="G772" s="122"/>
      <c r="H772" s="122"/>
      <c r="I772" s="122"/>
      <c r="J772" s="122"/>
      <c r="K772" s="122"/>
      <c r="L772" s="122"/>
      <c r="M772" s="122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  <c r="AA772" s="122"/>
      <c r="AB772" s="122"/>
    </row>
    <row r="773" spans="1:28" ht="15.75" customHeight="1" x14ac:dyDescent="0.2">
      <c r="A773" s="122"/>
      <c r="B773" s="122"/>
      <c r="C773" s="122"/>
      <c r="D773" s="122"/>
      <c r="E773" s="122"/>
      <c r="F773" s="122"/>
      <c r="G773" s="122"/>
      <c r="H773" s="122"/>
      <c r="I773" s="122"/>
      <c r="J773" s="122"/>
      <c r="K773" s="122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  <c r="AA773" s="122"/>
      <c r="AB773" s="122"/>
    </row>
    <row r="774" spans="1:28" ht="15.75" customHeight="1" x14ac:dyDescent="0.2">
      <c r="A774" s="122"/>
      <c r="B774" s="122"/>
      <c r="C774" s="122"/>
      <c r="D774" s="122"/>
      <c r="E774" s="122"/>
      <c r="F774" s="122"/>
      <c r="G774" s="122"/>
      <c r="H774" s="122"/>
      <c r="I774" s="122"/>
      <c r="J774" s="122"/>
      <c r="K774" s="122"/>
      <c r="L774" s="122"/>
      <c r="M774" s="122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  <c r="AA774" s="122"/>
      <c r="AB774" s="122"/>
    </row>
    <row r="775" spans="1:28" ht="15.75" customHeight="1" x14ac:dyDescent="0.2">
      <c r="A775" s="122"/>
      <c r="B775" s="122"/>
      <c r="C775" s="122"/>
      <c r="D775" s="122"/>
      <c r="E775" s="122"/>
      <c r="F775" s="122"/>
      <c r="G775" s="122"/>
      <c r="H775" s="122"/>
      <c r="I775" s="122"/>
      <c r="J775" s="122"/>
      <c r="K775" s="122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  <c r="AA775" s="122"/>
      <c r="AB775" s="122"/>
    </row>
    <row r="776" spans="1:28" ht="15.75" customHeight="1" x14ac:dyDescent="0.2">
      <c r="A776" s="122"/>
      <c r="B776" s="122"/>
      <c r="C776" s="122"/>
      <c r="D776" s="122"/>
      <c r="E776" s="122"/>
      <c r="F776" s="122"/>
      <c r="G776" s="122"/>
      <c r="H776" s="122"/>
      <c r="I776" s="122"/>
      <c r="J776" s="122"/>
      <c r="K776" s="122"/>
      <c r="L776" s="122"/>
      <c r="M776" s="122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  <c r="AA776" s="122"/>
      <c r="AB776" s="122"/>
    </row>
    <row r="777" spans="1:28" ht="15.75" customHeight="1" x14ac:dyDescent="0.2">
      <c r="A777" s="122"/>
      <c r="B777" s="122"/>
      <c r="C777" s="122"/>
      <c r="D777" s="122"/>
      <c r="E777" s="122"/>
      <c r="F777" s="122"/>
      <c r="G777" s="122"/>
      <c r="H777" s="122"/>
      <c r="I777" s="122"/>
      <c r="J777" s="122"/>
      <c r="K777" s="122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  <c r="AA777" s="122"/>
      <c r="AB777" s="122"/>
    </row>
    <row r="778" spans="1:28" ht="15.75" customHeight="1" x14ac:dyDescent="0.2">
      <c r="A778" s="122"/>
      <c r="B778" s="122"/>
      <c r="C778" s="122"/>
      <c r="D778" s="122"/>
      <c r="E778" s="122"/>
      <c r="F778" s="122"/>
      <c r="G778" s="122"/>
      <c r="H778" s="122"/>
      <c r="I778" s="122"/>
      <c r="J778" s="122"/>
      <c r="K778" s="122"/>
      <c r="L778" s="122"/>
      <c r="M778" s="122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  <c r="AA778" s="122"/>
      <c r="AB778" s="122"/>
    </row>
    <row r="779" spans="1:28" ht="15.75" customHeight="1" x14ac:dyDescent="0.2">
      <c r="A779" s="122"/>
      <c r="B779" s="122"/>
      <c r="C779" s="122"/>
      <c r="D779" s="122"/>
      <c r="E779" s="122"/>
      <c r="F779" s="122"/>
      <c r="G779" s="122"/>
      <c r="H779" s="122"/>
      <c r="I779" s="122"/>
      <c r="J779" s="122"/>
      <c r="K779" s="122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  <c r="AA779" s="122"/>
      <c r="AB779" s="122"/>
    </row>
    <row r="780" spans="1:28" ht="15.75" customHeight="1" x14ac:dyDescent="0.2">
      <c r="A780" s="122"/>
      <c r="B780" s="122"/>
      <c r="C780" s="122"/>
      <c r="D780" s="122"/>
      <c r="E780" s="122"/>
      <c r="F780" s="122"/>
      <c r="G780" s="122"/>
      <c r="H780" s="122"/>
      <c r="I780" s="122"/>
      <c r="J780" s="122"/>
      <c r="K780" s="122"/>
      <c r="L780" s="122"/>
      <c r="M780" s="122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  <c r="AA780" s="122"/>
      <c r="AB780" s="122"/>
    </row>
    <row r="781" spans="1:28" ht="15.75" customHeight="1" x14ac:dyDescent="0.2">
      <c r="A781" s="122"/>
      <c r="B781" s="122"/>
      <c r="C781" s="122"/>
      <c r="D781" s="122"/>
      <c r="E781" s="122"/>
      <c r="F781" s="122"/>
      <c r="G781" s="122"/>
      <c r="H781" s="122"/>
      <c r="I781" s="122"/>
      <c r="J781" s="122"/>
      <c r="K781" s="122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  <c r="AA781" s="122"/>
      <c r="AB781" s="122"/>
    </row>
    <row r="782" spans="1:28" ht="15.75" customHeight="1" x14ac:dyDescent="0.2">
      <c r="A782" s="122"/>
      <c r="B782" s="122"/>
      <c r="C782" s="122"/>
      <c r="D782" s="122"/>
      <c r="E782" s="122"/>
      <c r="F782" s="122"/>
      <c r="G782" s="122"/>
      <c r="H782" s="122"/>
      <c r="I782" s="122"/>
      <c r="J782" s="122"/>
      <c r="K782" s="122"/>
      <c r="L782" s="122"/>
      <c r="M782" s="122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  <c r="AA782" s="122"/>
      <c r="AB782" s="122"/>
    </row>
    <row r="783" spans="1:28" ht="15.75" customHeight="1" x14ac:dyDescent="0.2">
      <c r="A783" s="122"/>
      <c r="B783" s="122"/>
      <c r="C783" s="122"/>
      <c r="D783" s="122"/>
      <c r="E783" s="122"/>
      <c r="F783" s="122"/>
      <c r="G783" s="122"/>
      <c r="H783" s="122"/>
      <c r="I783" s="122"/>
      <c r="J783" s="122"/>
      <c r="K783" s="122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  <c r="AA783" s="122"/>
      <c r="AB783" s="122"/>
    </row>
    <row r="784" spans="1:28" ht="15.75" customHeight="1" x14ac:dyDescent="0.2">
      <c r="A784" s="122"/>
      <c r="B784" s="122"/>
      <c r="C784" s="122"/>
      <c r="D784" s="122"/>
      <c r="E784" s="122"/>
      <c r="F784" s="122"/>
      <c r="G784" s="122"/>
      <c r="H784" s="122"/>
      <c r="I784" s="122"/>
      <c r="J784" s="122"/>
      <c r="K784" s="122"/>
      <c r="L784" s="122"/>
      <c r="M784" s="122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  <c r="AA784" s="122"/>
      <c r="AB784" s="122"/>
    </row>
    <row r="785" spans="1:28" ht="15.75" customHeight="1" x14ac:dyDescent="0.2">
      <c r="A785" s="122"/>
      <c r="B785" s="122"/>
      <c r="C785" s="122"/>
      <c r="D785" s="122"/>
      <c r="E785" s="122"/>
      <c r="F785" s="122"/>
      <c r="G785" s="122"/>
      <c r="H785" s="122"/>
      <c r="I785" s="122"/>
      <c r="J785" s="122"/>
      <c r="K785" s="122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  <c r="AA785" s="122"/>
      <c r="AB785" s="122"/>
    </row>
    <row r="786" spans="1:28" ht="15.75" customHeight="1" x14ac:dyDescent="0.2">
      <c r="A786" s="122"/>
      <c r="B786" s="122"/>
      <c r="C786" s="122"/>
      <c r="D786" s="122"/>
      <c r="E786" s="122"/>
      <c r="F786" s="122"/>
      <c r="G786" s="122"/>
      <c r="H786" s="122"/>
      <c r="I786" s="122"/>
      <c r="J786" s="122"/>
      <c r="K786" s="122"/>
      <c r="L786" s="122"/>
      <c r="M786" s="122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  <c r="AA786" s="122"/>
      <c r="AB786" s="122"/>
    </row>
    <row r="787" spans="1:28" ht="15.75" customHeight="1" x14ac:dyDescent="0.2">
      <c r="A787" s="122"/>
      <c r="B787" s="122"/>
      <c r="C787" s="122"/>
      <c r="D787" s="122"/>
      <c r="E787" s="122"/>
      <c r="F787" s="122"/>
      <c r="G787" s="122"/>
      <c r="H787" s="122"/>
      <c r="I787" s="122"/>
      <c r="J787" s="122"/>
      <c r="K787" s="122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  <c r="AA787" s="122"/>
      <c r="AB787" s="122"/>
    </row>
    <row r="788" spans="1:28" ht="15.75" customHeight="1" x14ac:dyDescent="0.2">
      <c r="A788" s="122"/>
      <c r="B788" s="122"/>
      <c r="C788" s="122"/>
      <c r="D788" s="122"/>
      <c r="E788" s="122"/>
      <c r="F788" s="122"/>
      <c r="G788" s="122"/>
      <c r="H788" s="122"/>
      <c r="I788" s="122"/>
      <c r="J788" s="122"/>
      <c r="K788" s="122"/>
      <c r="L788" s="122"/>
      <c r="M788" s="122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  <c r="AA788" s="122"/>
      <c r="AB788" s="122"/>
    </row>
    <row r="789" spans="1:28" ht="15.75" customHeight="1" x14ac:dyDescent="0.2">
      <c r="A789" s="122"/>
      <c r="B789" s="122"/>
      <c r="C789" s="122"/>
      <c r="D789" s="122"/>
      <c r="E789" s="122"/>
      <c r="F789" s="122"/>
      <c r="G789" s="122"/>
      <c r="H789" s="122"/>
      <c r="I789" s="122"/>
      <c r="J789" s="122"/>
      <c r="K789" s="122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  <c r="AA789" s="122"/>
      <c r="AB789" s="122"/>
    </row>
    <row r="790" spans="1:28" ht="15.75" customHeight="1" x14ac:dyDescent="0.2">
      <c r="A790" s="122"/>
      <c r="B790" s="122"/>
      <c r="C790" s="122"/>
      <c r="D790" s="122"/>
      <c r="E790" s="122"/>
      <c r="F790" s="122"/>
      <c r="G790" s="122"/>
      <c r="H790" s="122"/>
      <c r="I790" s="122"/>
      <c r="J790" s="122"/>
      <c r="K790" s="122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  <c r="AA790" s="122"/>
      <c r="AB790" s="122"/>
    </row>
    <row r="791" spans="1:28" ht="15.75" customHeight="1" x14ac:dyDescent="0.2">
      <c r="A791" s="122"/>
      <c r="B791" s="122"/>
      <c r="C791" s="122"/>
      <c r="D791" s="122"/>
      <c r="E791" s="122"/>
      <c r="F791" s="122"/>
      <c r="G791" s="122"/>
      <c r="H791" s="122"/>
      <c r="I791" s="122"/>
      <c r="J791" s="122"/>
      <c r="K791" s="122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  <c r="AA791" s="122"/>
      <c r="AB791" s="122"/>
    </row>
    <row r="792" spans="1:28" ht="15.75" customHeight="1" x14ac:dyDescent="0.2">
      <c r="A792" s="122"/>
      <c r="B792" s="122"/>
      <c r="C792" s="122"/>
      <c r="D792" s="122"/>
      <c r="E792" s="122"/>
      <c r="F792" s="122"/>
      <c r="G792" s="122"/>
      <c r="H792" s="122"/>
      <c r="I792" s="122"/>
      <c r="J792" s="122"/>
      <c r="K792" s="122"/>
      <c r="L792" s="122"/>
      <c r="M792" s="122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  <c r="AA792" s="122"/>
      <c r="AB792" s="122"/>
    </row>
    <row r="793" spans="1:28" ht="15.75" customHeight="1" x14ac:dyDescent="0.2">
      <c r="A793" s="122"/>
      <c r="B793" s="122"/>
      <c r="C793" s="122"/>
      <c r="D793" s="122"/>
      <c r="E793" s="122"/>
      <c r="F793" s="122"/>
      <c r="G793" s="122"/>
      <c r="H793" s="122"/>
      <c r="I793" s="122"/>
      <c r="J793" s="122"/>
      <c r="K793" s="122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  <c r="AA793" s="122"/>
      <c r="AB793" s="122"/>
    </row>
    <row r="794" spans="1:28" ht="15.75" customHeight="1" x14ac:dyDescent="0.2">
      <c r="A794" s="122"/>
      <c r="B794" s="122"/>
      <c r="C794" s="122"/>
      <c r="D794" s="122"/>
      <c r="E794" s="122"/>
      <c r="F794" s="122"/>
      <c r="G794" s="122"/>
      <c r="H794" s="122"/>
      <c r="I794" s="122"/>
      <c r="J794" s="122"/>
      <c r="K794" s="122"/>
      <c r="L794" s="122"/>
      <c r="M794" s="122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  <c r="AA794" s="122"/>
      <c r="AB794" s="122"/>
    </row>
    <row r="795" spans="1:28" ht="15.75" customHeight="1" x14ac:dyDescent="0.2">
      <c r="A795" s="122"/>
      <c r="B795" s="122"/>
      <c r="C795" s="122"/>
      <c r="D795" s="122"/>
      <c r="E795" s="122"/>
      <c r="F795" s="122"/>
      <c r="G795" s="122"/>
      <c r="H795" s="122"/>
      <c r="I795" s="122"/>
      <c r="J795" s="122"/>
      <c r="K795" s="122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  <c r="AA795" s="122"/>
      <c r="AB795" s="122"/>
    </row>
    <row r="796" spans="1:28" ht="15.75" customHeight="1" x14ac:dyDescent="0.2">
      <c r="A796" s="122"/>
      <c r="B796" s="122"/>
      <c r="C796" s="122"/>
      <c r="D796" s="122"/>
      <c r="E796" s="122"/>
      <c r="F796" s="122"/>
      <c r="G796" s="122"/>
      <c r="H796" s="122"/>
      <c r="I796" s="122"/>
      <c r="J796" s="122"/>
      <c r="K796" s="122"/>
      <c r="L796" s="122"/>
      <c r="M796" s="122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  <c r="AA796" s="122"/>
      <c r="AB796" s="122"/>
    </row>
    <row r="797" spans="1:28" ht="15.75" customHeight="1" x14ac:dyDescent="0.2">
      <c r="A797" s="122"/>
      <c r="B797" s="122"/>
      <c r="C797" s="122"/>
      <c r="D797" s="122"/>
      <c r="E797" s="122"/>
      <c r="F797" s="122"/>
      <c r="G797" s="122"/>
      <c r="H797" s="122"/>
      <c r="I797" s="122"/>
      <c r="J797" s="122"/>
      <c r="K797" s="122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  <c r="AA797" s="122"/>
      <c r="AB797" s="122"/>
    </row>
    <row r="798" spans="1:28" ht="15.75" customHeight="1" x14ac:dyDescent="0.2">
      <c r="A798" s="122"/>
      <c r="B798" s="122"/>
      <c r="C798" s="122"/>
      <c r="D798" s="122"/>
      <c r="E798" s="122"/>
      <c r="F798" s="122"/>
      <c r="G798" s="122"/>
      <c r="H798" s="122"/>
      <c r="I798" s="122"/>
      <c r="J798" s="122"/>
      <c r="K798" s="122"/>
      <c r="L798" s="122"/>
      <c r="M798" s="122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  <c r="AA798" s="122"/>
      <c r="AB798" s="122"/>
    </row>
    <row r="799" spans="1:28" ht="15.75" customHeight="1" x14ac:dyDescent="0.2">
      <c r="A799" s="122"/>
      <c r="B799" s="122"/>
      <c r="C799" s="122"/>
      <c r="D799" s="122"/>
      <c r="E799" s="122"/>
      <c r="F799" s="122"/>
      <c r="G799" s="122"/>
      <c r="H799" s="122"/>
      <c r="I799" s="122"/>
      <c r="J799" s="122"/>
      <c r="K799" s="122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  <c r="AA799" s="122"/>
      <c r="AB799" s="122"/>
    </row>
    <row r="800" spans="1:28" ht="15.75" customHeight="1" x14ac:dyDescent="0.2">
      <c r="A800" s="122"/>
      <c r="B800" s="122"/>
      <c r="C800" s="122"/>
      <c r="D800" s="122"/>
      <c r="E800" s="122"/>
      <c r="F800" s="122"/>
      <c r="G800" s="122"/>
      <c r="H800" s="122"/>
      <c r="I800" s="122"/>
      <c r="J800" s="122"/>
      <c r="K800" s="122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  <c r="AA800" s="122"/>
      <c r="AB800" s="122"/>
    </row>
    <row r="801" spans="1:28" ht="15.75" customHeight="1" x14ac:dyDescent="0.2">
      <c r="A801" s="122"/>
      <c r="B801" s="122"/>
      <c r="C801" s="122"/>
      <c r="D801" s="122"/>
      <c r="E801" s="122"/>
      <c r="F801" s="122"/>
      <c r="G801" s="122"/>
      <c r="H801" s="122"/>
      <c r="I801" s="122"/>
      <c r="J801" s="122"/>
      <c r="K801" s="122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  <c r="AA801" s="122"/>
      <c r="AB801" s="122"/>
    </row>
    <row r="802" spans="1:28" ht="15.75" customHeight="1" x14ac:dyDescent="0.2">
      <c r="A802" s="122"/>
      <c r="B802" s="122"/>
      <c r="C802" s="122"/>
      <c r="D802" s="122"/>
      <c r="E802" s="122"/>
      <c r="F802" s="122"/>
      <c r="G802" s="122"/>
      <c r="H802" s="122"/>
      <c r="I802" s="122"/>
      <c r="J802" s="122"/>
      <c r="K802" s="122"/>
      <c r="L802" s="122"/>
      <c r="M802" s="122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  <c r="AA802" s="122"/>
      <c r="AB802" s="122"/>
    </row>
    <row r="803" spans="1:28" ht="15.75" customHeight="1" x14ac:dyDescent="0.2">
      <c r="A803" s="122"/>
      <c r="B803" s="122"/>
      <c r="C803" s="122"/>
      <c r="D803" s="122"/>
      <c r="E803" s="122"/>
      <c r="F803" s="122"/>
      <c r="G803" s="122"/>
      <c r="H803" s="122"/>
      <c r="I803" s="122"/>
      <c r="J803" s="122"/>
      <c r="K803" s="122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  <c r="AA803" s="122"/>
      <c r="AB803" s="122"/>
    </row>
    <row r="804" spans="1:28" ht="15.75" customHeight="1" x14ac:dyDescent="0.2">
      <c r="A804" s="122"/>
      <c r="B804" s="122"/>
      <c r="C804" s="122"/>
      <c r="D804" s="122"/>
      <c r="E804" s="122"/>
      <c r="F804" s="122"/>
      <c r="G804" s="122"/>
      <c r="H804" s="122"/>
      <c r="I804" s="122"/>
      <c r="J804" s="122"/>
      <c r="K804" s="122"/>
      <c r="L804" s="122"/>
      <c r="M804" s="122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  <c r="AA804" s="122"/>
      <c r="AB804" s="122"/>
    </row>
    <row r="805" spans="1:28" ht="15.75" customHeight="1" x14ac:dyDescent="0.2">
      <c r="A805" s="122"/>
      <c r="B805" s="122"/>
      <c r="C805" s="122"/>
      <c r="D805" s="122"/>
      <c r="E805" s="122"/>
      <c r="F805" s="122"/>
      <c r="G805" s="122"/>
      <c r="H805" s="122"/>
      <c r="I805" s="122"/>
      <c r="J805" s="122"/>
      <c r="K805" s="122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  <c r="AA805" s="122"/>
      <c r="AB805" s="122"/>
    </row>
    <row r="806" spans="1:28" ht="15.75" customHeight="1" x14ac:dyDescent="0.2">
      <c r="A806" s="122"/>
      <c r="B806" s="122"/>
      <c r="C806" s="122"/>
      <c r="D806" s="122"/>
      <c r="E806" s="122"/>
      <c r="F806" s="122"/>
      <c r="G806" s="122"/>
      <c r="H806" s="122"/>
      <c r="I806" s="122"/>
      <c r="J806" s="122"/>
      <c r="K806" s="122"/>
      <c r="L806" s="122"/>
      <c r="M806" s="122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  <c r="AA806" s="122"/>
      <c r="AB806" s="122"/>
    </row>
    <row r="807" spans="1:28" ht="15.75" customHeight="1" x14ac:dyDescent="0.2">
      <c r="A807" s="122"/>
      <c r="B807" s="122"/>
      <c r="C807" s="122"/>
      <c r="D807" s="122"/>
      <c r="E807" s="122"/>
      <c r="F807" s="122"/>
      <c r="G807" s="122"/>
      <c r="H807" s="122"/>
      <c r="I807" s="122"/>
      <c r="J807" s="122"/>
      <c r="K807" s="122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  <c r="AA807" s="122"/>
      <c r="AB807" s="122"/>
    </row>
    <row r="808" spans="1:28" ht="15.75" customHeight="1" x14ac:dyDescent="0.2">
      <c r="A808" s="122"/>
      <c r="B808" s="122"/>
      <c r="C808" s="122"/>
      <c r="D808" s="122"/>
      <c r="E808" s="122"/>
      <c r="F808" s="122"/>
      <c r="G808" s="122"/>
      <c r="H808" s="122"/>
      <c r="I808" s="122"/>
      <c r="J808" s="122"/>
      <c r="K808" s="122"/>
      <c r="L808" s="122"/>
      <c r="M808" s="122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  <c r="AA808" s="122"/>
      <c r="AB808" s="122"/>
    </row>
    <row r="809" spans="1:28" ht="15.75" customHeight="1" x14ac:dyDescent="0.2">
      <c r="A809" s="122"/>
      <c r="B809" s="122"/>
      <c r="C809" s="122"/>
      <c r="D809" s="122"/>
      <c r="E809" s="122"/>
      <c r="F809" s="122"/>
      <c r="G809" s="122"/>
      <c r="H809" s="122"/>
      <c r="I809" s="122"/>
      <c r="J809" s="122"/>
      <c r="K809" s="122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  <c r="AA809" s="122"/>
      <c r="AB809" s="122"/>
    </row>
    <row r="810" spans="1:28" ht="15.75" customHeight="1" x14ac:dyDescent="0.2">
      <c r="A810" s="122"/>
      <c r="B810" s="122"/>
      <c r="C810" s="122"/>
      <c r="D810" s="122"/>
      <c r="E810" s="122"/>
      <c r="F810" s="122"/>
      <c r="G810" s="122"/>
      <c r="H810" s="122"/>
      <c r="I810" s="122"/>
      <c r="J810" s="122"/>
      <c r="K810" s="122"/>
      <c r="L810" s="122"/>
      <c r="M810" s="122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  <c r="AA810" s="122"/>
      <c r="AB810" s="122"/>
    </row>
    <row r="811" spans="1:28" ht="15.75" customHeight="1" x14ac:dyDescent="0.2">
      <c r="A811" s="122"/>
      <c r="B811" s="122"/>
      <c r="C811" s="122"/>
      <c r="D811" s="122"/>
      <c r="E811" s="122"/>
      <c r="F811" s="122"/>
      <c r="G811" s="122"/>
      <c r="H811" s="122"/>
      <c r="I811" s="122"/>
      <c r="J811" s="122"/>
      <c r="K811" s="122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  <c r="AA811" s="122"/>
      <c r="AB811" s="122"/>
    </row>
    <row r="812" spans="1:28" ht="15.75" customHeight="1" x14ac:dyDescent="0.2">
      <c r="A812" s="122"/>
      <c r="B812" s="122"/>
      <c r="C812" s="122"/>
      <c r="D812" s="122"/>
      <c r="E812" s="122"/>
      <c r="F812" s="122"/>
      <c r="G812" s="122"/>
      <c r="H812" s="122"/>
      <c r="I812" s="122"/>
      <c r="J812" s="122"/>
      <c r="K812" s="122"/>
      <c r="L812" s="122"/>
      <c r="M812" s="122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  <c r="AA812" s="122"/>
      <c r="AB812" s="122"/>
    </row>
    <row r="813" spans="1:28" ht="15.75" customHeight="1" x14ac:dyDescent="0.2">
      <c r="A813" s="122"/>
      <c r="B813" s="122"/>
      <c r="C813" s="122"/>
      <c r="D813" s="122"/>
      <c r="E813" s="122"/>
      <c r="F813" s="122"/>
      <c r="G813" s="122"/>
      <c r="H813" s="122"/>
      <c r="I813" s="122"/>
      <c r="J813" s="122"/>
      <c r="K813" s="122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  <c r="AA813" s="122"/>
      <c r="AB813" s="122"/>
    </row>
    <row r="814" spans="1:28" ht="15.75" customHeight="1" x14ac:dyDescent="0.2">
      <c r="A814" s="122"/>
      <c r="B814" s="122"/>
      <c r="C814" s="122"/>
      <c r="D814" s="122"/>
      <c r="E814" s="122"/>
      <c r="F814" s="122"/>
      <c r="G814" s="122"/>
      <c r="H814" s="122"/>
      <c r="I814" s="122"/>
      <c r="J814" s="122"/>
      <c r="K814" s="122"/>
      <c r="L814" s="122"/>
      <c r="M814" s="122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  <c r="AA814" s="122"/>
      <c r="AB814" s="122"/>
    </row>
    <row r="815" spans="1:28" ht="15.75" customHeight="1" x14ac:dyDescent="0.2">
      <c r="A815" s="122"/>
      <c r="B815" s="122"/>
      <c r="C815" s="122"/>
      <c r="D815" s="122"/>
      <c r="E815" s="122"/>
      <c r="F815" s="122"/>
      <c r="G815" s="122"/>
      <c r="H815" s="122"/>
      <c r="I815" s="122"/>
      <c r="J815" s="122"/>
      <c r="K815" s="122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  <c r="AA815" s="122"/>
      <c r="AB815" s="122"/>
    </row>
    <row r="816" spans="1:28" ht="15.75" customHeight="1" x14ac:dyDescent="0.2">
      <c r="A816" s="122"/>
      <c r="B816" s="122"/>
      <c r="C816" s="122"/>
      <c r="D816" s="122"/>
      <c r="E816" s="122"/>
      <c r="F816" s="122"/>
      <c r="G816" s="122"/>
      <c r="H816" s="122"/>
      <c r="I816" s="122"/>
      <c r="J816" s="122"/>
      <c r="K816" s="122"/>
      <c r="L816" s="122"/>
      <c r="M816" s="122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  <c r="AA816" s="122"/>
      <c r="AB816" s="122"/>
    </row>
    <row r="817" spans="1:28" ht="15.75" customHeight="1" x14ac:dyDescent="0.2">
      <c r="A817" s="122"/>
      <c r="B817" s="122"/>
      <c r="C817" s="122"/>
      <c r="D817" s="122"/>
      <c r="E817" s="122"/>
      <c r="F817" s="122"/>
      <c r="G817" s="122"/>
      <c r="H817" s="122"/>
      <c r="I817" s="122"/>
      <c r="J817" s="122"/>
      <c r="K817" s="122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  <c r="AA817" s="122"/>
      <c r="AB817" s="122"/>
    </row>
    <row r="818" spans="1:28" ht="15.75" customHeight="1" x14ac:dyDescent="0.2">
      <c r="A818" s="122"/>
      <c r="B818" s="122"/>
      <c r="C818" s="122"/>
      <c r="D818" s="122"/>
      <c r="E818" s="122"/>
      <c r="F818" s="122"/>
      <c r="G818" s="122"/>
      <c r="H818" s="122"/>
      <c r="I818" s="122"/>
      <c r="J818" s="122"/>
      <c r="K818" s="122"/>
      <c r="L818" s="122"/>
      <c r="M818" s="122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  <c r="AA818" s="122"/>
      <c r="AB818" s="122"/>
    </row>
    <row r="819" spans="1:28" ht="15.75" customHeight="1" x14ac:dyDescent="0.2">
      <c r="A819" s="122"/>
      <c r="B819" s="122"/>
      <c r="C819" s="122"/>
      <c r="D819" s="122"/>
      <c r="E819" s="122"/>
      <c r="F819" s="122"/>
      <c r="G819" s="122"/>
      <c r="H819" s="122"/>
      <c r="I819" s="122"/>
      <c r="J819" s="122"/>
      <c r="K819" s="122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  <c r="AA819" s="122"/>
      <c r="AB819" s="122"/>
    </row>
    <row r="820" spans="1:28" ht="15.75" customHeight="1" x14ac:dyDescent="0.2">
      <c r="A820" s="122"/>
      <c r="B820" s="122"/>
      <c r="C820" s="122"/>
      <c r="D820" s="122"/>
      <c r="E820" s="122"/>
      <c r="F820" s="122"/>
      <c r="G820" s="122"/>
      <c r="H820" s="122"/>
      <c r="I820" s="122"/>
      <c r="J820" s="122"/>
      <c r="K820" s="122"/>
      <c r="L820" s="122"/>
      <c r="M820" s="122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  <c r="AA820" s="122"/>
      <c r="AB820" s="122"/>
    </row>
    <row r="821" spans="1:28" ht="15.75" customHeight="1" x14ac:dyDescent="0.2">
      <c r="A821" s="122"/>
      <c r="B821" s="122"/>
      <c r="C821" s="122"/>
      <c r="D821" s="122"/>
      <c r="E821" s="122"/>
      <c r="F821" s="122"/>
      <c r="G821" s="122"/>
      <c r="H821" s="122"/>
      <c r="I821" s="122"/>
      <c r="J821" s="122"/>
      <c r="K821" s="122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  <c r="AA821" s="122"/>
      <c r="AB821" s="122"/>
    </row>
    <row r="822" spans="1:28" ht="15.75" customHeight="1" x14ac:dyDescent="0.2">
      <c r="A822" s="122"/>
      <c r="B822" s="122"/>
      <c r="C822" s="122"/>
      <c r="D822" s="122"/>
      <c r="E822" s="122"/>
      <c r="F822" s="122"/>
      <c r="G822" s="122"/>
      <c r="H822" s="122"/>
      <c r="I822" s="122"/>
      <c r="J822" s="122"/>
      <c r="K822" s="122"/>
      <c r="L822" s="122"/>
      <c r="M822" s="122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  <c r="AA822" s="122"/>
      <c r="AB822" s="122"/>
    </row>
    <row r="823" spans="1:28" ht="15.75" customHeight="1" x14ac:dyDescent="0.2">
      <c r="A823" s="122"/>
      <c r="B823" s="122"/>
      <c r="C823" s="122"/>
      <c r="D823" s="122"/>
      <c r="E823" s="122"/>
      <c r="F823" s="122"/>
      <c r="G823" s="122"/>
      <c r="H823" s="122"/>
      <c r="I823" s="122"/>
      <c r="J823" s="122"/>
      <c r="K823" s="122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  <c r="AA823" s="122"/>
      <c r="AB823" s="122"/>
    </row>
    <row r="824" spans="1:28" ht="15.75" customHeight="1" x14ac:dyDescent="0.2">
      <c r="A824" s="122"/>
      <c r="B824" s="122"/>
      <c r="C824" s="122"/>
      <c r="D824" s="122"/>
      <c r="E824" s="122"/>
      <c r="F824" s="122"/>
      <c r="G824" s="122"/>
      <c r="H824" s="122"/>
      <c r="I824" s="122"/>
      <c r="J824" s="122"/>
      <c r="K824" s="122"/>
      <c r="L824" s="122"/>
      <c r="M824" s="122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  <c r="AA824" s="122"/>
      <c r="AB824" s="122"/>
    </row>
    <row r="825" spans="1:28" ht="15.75" customHeight="1" x14ac:dyDescent="0.2">
      <c r="A825" s="122"/>
      <c r="B825" s="122"/>
      <c r="C825" s="122"/>
      <c r="D825" s="122"/>
      <c r="E825" s="122"/>
      <c r="F825" s="122"/>
      <c r="G825" s="122"/>
      <c r="H825" s="122"/>
      <c r="I825" s="122"/>
      <c r="J825" s="122"/>
      <c r="K825" s="122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  <c r="AA825" s="122"/>
      <c r="AB825" s="122"/>
    </row>
    <row r="826" spans="1:28" ht="15.75" customHeight="1" x14ac:dyDescent="0.2">
      <c r="A826" s="122"/>
      <c r="B826" s="122"/>
      <c r="C826" s="122"/>
      <c r="D826" s="122"/>
      <c r="E826" s="122"/>
      <c r="F826" s="122"/>
      <c r="G826" s="122"/>
      <c r="H826" s="122"/>
      <c r="I826" s="122"/>
      <c r="J826" s="122"/>
      <c r="K826" s="122"/>
      <c r="L826" s="122"/>
      <c r="M826" s="122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  <c r="AA826" s="122"/>
      <c r="AB826" s="122"/>
    </row>
    <row r="827" spans="1:28" ht="15.75" customHeight="1" x14ac:dyDescent="0.2">
      <c r="A827" s="122"/>
      <c r="B827" s="122"/>
      <c r="C827" s="122"/>
      <c r="D827" s="122"/>
      <c r="E827" s="122"/>
      <c r="F827" s="122"/>
      <c r="G827" s="122"/>
      <c r="H827" s="122"/>
      <c r="I827" s="122"/>
      <c r="J827" s="122"/>
      <c r="K827" s="122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  <c r="AA827" s="122"/>
      <c r="AB827" s="122"/>
    </row>
    <row r="828" spans="1:28" ht="15.75" customHeight="1" x14ac:dyDescent="0.2">
      <c r="A828" s="122"/>
      <c r="B828" s="122"/>
      <c r="C828" s="122"/>
      <c r="D828" s="122"/>
      <c r="E828" s="122"/>
      <c r="F828" s="122"/>
      <c r="G828" s="122"/>
      <c r="H828" s="122"/>
      <c r="I828" s="122"/>
      <c r="J828" s="122"/>
      <c r="K828" s="122"/>
      <c r="L828" s="122"/>
      <c r="M828" s="122"/>
      <c r="N828" s="122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  <c r="AA828" s="122"/>
      <c r="AB828" s="122"/>
    </row>
    <row r="829" spans="1:28" ht="15.75" customHeight="1" x14ac:dyDescent="0.2">
      <c r="A829" s="122"/>
      <c r="B829" s="122"/>
      <c r="C829" s="122"/>
      <c r="D829" s="122"/>
      <c r="E829" s="122"/>
      <c r="F829" s="122"/>
      <c r="G829" s="122"/>
      <c r="H829" s="122"/>
      <c r="I829" s="122"/>
      <c r="J829" s="122"/>
      <c r="K829" s="122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  <c r="AA829" s="122"/>
      <c r="AB829" s="122"/>
    </row>
    <row r="830" spans="1:28" ht="15.75" customHeight="1" x14ac:dyDescent="0.2">
      <c r="A830" s="122"/>
      <c r="B830" s="122"/>
      <c r="C830" s="122"/>
      <c r="D830" s="122"/>
      <c r="E830" s="122"/>
      <c r="F830" s="122"/>
      <c r="G830" s="122"/>
      <c r="H830" s="122"/>
      <c r="I830" s="122"/>
      <c r="J830" s="122"/>
      <c r="K830" s="122"/>
      <c r="L830" s="122"/>
      <c r="M830" s="122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  <c r="AA830" s="122"/>
      <c r="AB830" s="122"/>
    </row>
    <row r="831" spans="1:28" ht="15.75" customHeight="1" x14ac:dyDescent="0.2">
      <c r="A831" s="122"/>
      <c r="B831" s="122"/>
      <c r="C831" s="122"/>
      <c r="D831" s="122"/>
      <c r="E831" s="122"/>
      <c r="F831" s="122"/>
      <c r="G831" s="122"/>
      <c r="H831" s="122"/>
      <c r="I831" s="122"/>
      <c r="J831" s="122"/>
      <c r="K831" s="122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  <c r="AA831" s="122"/>
      <c r="AB831" s="122"/>
    </row>
    <row r="832" spans="1:28" ht="15.75" customHeight="1" x14ac:dyDescent="0.2">
      <c r="A832" s="122"/>
      <c r="B832" s="122"/>
      <c r="C832" s="122"/>
      <c r="D832" s="122"/>
      <c r="E832" s="122"/>
      <c r="F832" s="122"/>
      <c r="G832" s="122"/>
      <c r="H832" s="122"/>
      <c r="I832" s="122"/>
      <c r="J832" s="122"/>
      <c r="K832" s="122"/>
      <c r="L832" s="122"/>
      <c r="M832" s="122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  <c r="AA832" s="122"/>
      <c r="AB832" s="122"/>
    </row>
    <row r="833" spans="1:28" ht="15.75" customHeight="1" x14ac:dyDescent="0.2">
      <c r="A833" s="122"/>
      <c r="B833" s="122"/>
      <c r="C833" s="122"/>
      <c r="D833" s="122"/>
      <c r="E833" s="122"/>
      <c r="F833" s="122"/>
      <c r="G833" s="122"/>
      <c r="H833" s="122"/>
      <c r="I833" s="122"/>
      <c r="J833" s="122"/>
      <c r="K833" s="122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  <c r="AA833" s="122"/>
      <c r="AB833" s="122"/>
    </row>
    <row r="834" spans="1:28" ht="15.75" customHeight="1" x14ac:dyDescent="0.2">
      <c r="A834" s="122"/>
      <c r="B834" s="122"/>
      <c r="C834" s="122"/>
      <c r="D834" s="122"/>
      <c r="E834" s="122"/>
      <c r="F834" s="122"/>
      <c r="G834" s="122"/>
      <c r="H834" s="122"/>
      <c r="I834" s="122"/>
      <c r="J834" s="122"/>
      <c r="K834" s="122"/>
      <c r="L834" s="122"/>
      <c r="M834" s="122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  <c r="AA834" s="122"/>
      <c r="AB834" s="122"/>
    </row>
    <row r="835" spans="1:28" ht="15.75" customHeight="1" x14ac:dyDescent="0.2">
      <c r="A835" s="122"/>
      <c r="B835" s="122"/>
      <c r="C835" s="122"/>
      <c r="D835" s="122"/>
      <c r="E835" s="122"/>
      <c r="F835" s="122"/>
      <c r="G835" s="122"/>
      <c r="H835" s="122"/>
      <c r="I835" s="122"/>
      <c r="J835" s="122"/>
      <c r="K835" s="122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  <c r="AA835" s="122"/>
      <c r="AB835" s="122"/>
    </row>
    <row r="836" spans="1:28" ht="15.75" customHeight="1" x14ac:dyDescent="0.2">
      <c r="A836" s="122"/>
      <c r="B836" s="122"/>
      <c r="C836" s="122"/>
      <c r="D836" s="122"/>
      <c r="E836" s="122"/>
      <c r="F836" s="122"/>
      <c r="G836" s="122"/>
      <c r="H836" s="122"/>
      <c r="I836" s="122"/>
      <c r="J836" s="122"/>
      <c r="K836" s="122"/>
      <c r="L836" s="122"/>
      <c r="M836" s="122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  <c r="AA836" s="122"/>
      <c r="AB836" s="122"/>
    </row>
    <row r="837" spans="1:28" ht="15.75" customHeight="1" x14ac:dyDescent="0.2">
      <c r="A837" s="122"/>
      <c r="B837" s="122"/>
      <c r="C837" s="122"/>
      <c r="D837" s="122"/>
      <c r="E837" s="122"/>
      <c r="F837" s="122"/>
      <c r="G837" s="122"/>
      <c r="H837" s="122"/>
      <c r="I837" s="122"/>
      <c r="J837" s="122"/>
      <c r="K837" s="122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  <c r="AA837" s="122"/>
      <c r="AB837" s="122"/>
    </row>
    <row r="838" spans="1:28" ht="15.75" customHeight="1" x14ac:dyDescent="0.2">
      <c r="A838" s="122"/>
      <c r="B838" s="122"/>
      <c r="C838" s="122"/>
      <c r="D838" s="122"/>
      <c r="E838" s="122"/>
      <c r="F838" s="122"/>
      <c r="G838" s="122"/>
      <c r="H838" s="122"/>
      <c r="I838" s="122"/>
      <c r="J838" s="122"/>
      <c r="K838" s="122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  <c r="AA838" s="122"/>
      <c r="AB838" s="122"/>
    </row>
    <row r="839" spans="1:28" ht="15.75" customHeight="1" x14ac:dyDescent="0.2">
      <c r="A839" s="122"/>
      <c r="B839" s="122"/>
      <c r="C839" s="122"/>
      <c r="D839" s="122"/>
      <c r="E839" s="122"/>
      <c r="F839" s="122"/>
      <c r="G839" s="122"/>
      <c r="H839" s="122"/>
      <c r="I839" s="122"/>
      <c r="J839" s="122"/>
      <c r="K839" s="122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  <c r="AA839" s="122"/>
      <c r="AB839" s="122"/>
    </row>
    <row r="840" spans="1:28" ht="15.75" customHeight="1" x14ac:dyDescent="0.2">
      <c r="A840" s="122"/>
      <c r="B840" s="122"/>
      <c r="C840" s="122"/>
      <c r="D840" s="122"/>
      <c r="E840" s="122"/>
      <c r="F840" s="122"/>
      <c r="G840" s="122"/>
      <c r="H840" s="122"/>
      <c r="I840" s="122"/>
      <c r="J840" s="122"/>
      <c r="K840" s="122"/>
      <c r="L840" s="122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  <c r="AA840" s="122"/>
      <c r="AB840" s="122"/>
    </row>
    <row r="841" spans="1:28" ht="15.75" customHeight="1" x14ac:dyDescent="0.2">
      <c r="A841" s="122"/>
      <c r="B841" s="122"/>
      <c r="C841" s="122"/>
      <c r="D841" s="122"/>
      <c r="E841" s="122"/>
      <c r="F841" s="122"/>
      <c r="G841" s="122"/>
      <c r="H841" s="122"/>
      <c r="I841" s="122"/>
      <c r="J841" s="122"/>
      <c r="K841" s="122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  <c r="AA841" s="122"/>
      <c r="AB841" s="122"/>
    </row>
    <row r="842" spans="1:28" ht="15.75" customHeight="1" x14ac:dyDescent="0.2">
      <c r="A842" s="122"/>
      <c r="B842" s="122"/>
      <c r="C842" s="122"/>
      <c r="D842" s="122"/>
      <c r="E842" s="122"/>
      <c r="F842" s="122"/>
      <c r="G842" s="122"/>
      <c r="H842" s="122"/>
      <c r="I842" s="122"/>
      <c r="J842" s="122"/>
      <c r="K842" s="122"/>
      <c r="L842" s="122"/>
      <c r="M842" s="122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  <c r="AA842" s="122"/>
      <c r="AB842" s="122"/>
    </row>
    <row r="843" spans="1:28" ht="15.75" customHeight="1" x14ac:dyDescent="0.2">
      <c r="A843" s="122"/>
      <c r="B843" s="122"/>
      <c r="C843" s="122"/>
      <c r="D843" s="122"/>
      <c r="E843" s="122"/>
      <c r="F843" s="122"/>
      <c r="G843" s="122"/>
      <c r="H843" s="122"/>
      <c r="I843" s="122"/>
      <c r="J843" s="122"/>
      <c r="K843" s="122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  <c r="AA843" s="122"/>
      <c r="AB843" s="122"/>
    </row>
    <row r="844" spans="1:28" ht="15.75" customHeight="1" x14ac:dyDescent="0.2">
      <c r="A844" s="122"/>
      <c r="B844" s="122"/>
      <c r="C844" s="122"/>
      <c r="D844" s="122"/>
      <c r="E844" s="122"/>
      <c r="F844" s="122"/>
      <c r="G844" s="122"/>
      <c r="H844" s="122"/>
      <c r="I844" s="122"/>
      <c r="J844" s="122"/>
      <c r="K844" s="122"/>
      <c r="L844" s="122"/>
      <c r="M844" s="122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  <c r="AA844" s="122"/>
      <c r="AB844" s="122"/>
    </row>
    <row r="845" spans="1:28" ht="15.75" customHeight="1" x14ac:dyDescent="0.2">
      <c r="A845" s="122"/>
      <c r="B845" s="122"/>
      <c r="C845" s="122"/>
      <c r="D845" s="122"/>
      <c r="E845" s="122"/>
      <c r="F845" s="122"/>
      <c r="G845" s="122"/>
      <c r="H845" s="122"/>
      <c r="I845" s="122"/>
      <c r="J845" s="122"/>
      <c r="K845" s="122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  <c r="AA845" s="122"/>
      <c r="AB845" s="122"/>
    </row>
    <row r="846" spans="1:28" ht="15.75" customHeight="1" x14ac:dyDescent="0.2">
      <c r="A846" s="122"/>
      <c r="B846" s="122"/>
      <c r="C846" s="122"/>
      <c r="D846" s="122"/>
      <c r="E846" s="122"/>
      <c r="F846" s="122"/>
      <c r="G846" s="122"/>
      <c r="H846" s="122"/>
      <c r="I846" s="122"/>
      <c r="J846" s="122"/>
      <c r="K846" s="122"/>
      <c r="L846" s="122"/>
      <c r="M846" s="122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  <c r="AA846" s="122"/>
      <c r="AB846" s="122"/>
    </row>
    <row r="847" spans="1:28" ht="15.75" customHeight="1" x14ac:dyDescent="0.2">
      <c r="A847" s="122"/>
      <c r="B847" s="122"/>
      <c r="C847" s="122"/>
      <c r="D847" s="122"/>
      <c r="E847" s="122"/>
      <c r="F847" s="122"/>
      <c r="G847" s="122"/>
      <c r="H847" s="122"/>
      <c r="I847" s="122"/>
      <c r="J847" s="122"/>
      <c r="K847" s="122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  <c r="AA847" s="122"/>
      <c r="AB847" s="122"/>
    </row>
    <row r="848" spans="1:28" ht="15.75" customHeight="1" x14ac:dyDescent="0.2">
      <c r="A848" s="122"/>
      <c r="B848" s="122"/>
      <c r="C848" s="122"/>
      <c r="D848" s="122"/>
      <c r="E848" s="122"/>
      <c r="F848" s="122"/>
      <c r="G848" s="122"/>
      <c r="H848" s="122"/>
      <c r="I848" s="122"/>
      <c r="J848" s="122"/>
      <c r="K848" s="122"/>
      <c r="L848" s="122"/>
      <c r="M848" s="122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  <c r="AA848" s="122"/>
      <c r="AB848" s="122"/>
    </row>
    <row r="849" spans="1:28" ht="15.75" customHeight="1" x14ac:dyDescent="0.2">
      <c r="A849" s="122"/>
      <c r="B849" s="122"/>
      <c r="C849" s="122"/>
      <c r="D849" s="122"/>
      <c r="E849" s="122"/>
      <c r="F849" s="122"/>
      <c r="G849" s="122"/>
      <c r="H849" s="122"/>
      <c r="I849" s="122"/>
      <c r="J849" s="122"/>
      <c r="K849" s="122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  <c r="AA849" s="122"/>
      <c r="AB849" s="122"/>
    </row>
    <row r="850" spans="1:28" ht="15.75" customHeight="1" x14ac:dyDescent="0.2">
      <c r="A850" s="122"/>
      <c r="B850" s="122"/>
      <c r="C850" s="122"/>
      <c r="D850" s="122"/>
      <c r="E850" s="122"/>
      <c r="F850" s="122"/>
      <c r="G850" s="122"/>
      <c r="H850" s="122"/>
      <c r="I850" s="122"/>
      <c r="J850" s="122"/>
      <c r="K850" s="122"/>
      <c r="L850" s="122"/>
      <c r="M850" s="122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  <c r="AA850" s="122"/>
      <c r="AB850" s="122"/>
    </row>
    <row r="851" spans="1:28" ht="15.75" customHeight="1" x14ac:dyDescent="0.2">
      <c r="A851" s="122"/>
      <c r="B851" s="122"/>
      <c r="C851" s="122"/>
      <c r="D851" s="122"/>
      <c r="E851" s="122"/>
      <c r="F851" s="122"/>
      <c r="G851" s="122"/>
      <c r="H851" s="122"/>
      <c r="I851" s="122"/>
      <c r="J851" s="122"/>
      <c r="K851" s="122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  <c r="AA851" s="122"/>
      <c r="AB851" s="122"/>
    </row>
    <row r="852" spans="1:28" ht="15.75" customHeight="1" x14ac:dyDescent="0.2">
      <c r="A852" s="122"/>
      <c r="B852" s="122"/>
      <c r="C852" s="122"/>
      <c r="D852" s="122"/>
      <c r="E852" s="122"/>
      <c r="F852" s="122"/>
      <c r="G852" s="122"/>
      <c r="H852" s="122"/>
      <c r="I852" s="122"/>
      <c r="J852" s="122"/>
      <c r="K852" s="122"/>
      <c r="L852" s="122"/>
      <c r="M852" s="122"/>
      <c r="N852" s="122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  <c r="AA852" s="122"/>
      <c r="AB852" s="122"/>
    </row>
    <row r="853" spans="1:28" ht="15.75" customHeight="1" x14ac:dyDescent="0.2">
      <c r="A853" s="122"/>
      <c r="B853" s="122"/>
      <c r="C853" s="122"/>
      <c r="D853" s="122"/>
      <c r="E853" s="122"/>
      <c r="F853" s="122"/>
      <c r="G853" s="122"/>
      <c r="H853" s="122"/>
      <c r="I853" s="122"/>
      <c r="J853" s="122"/>
      <c r="K853" s="122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  <c r="AA853" s="122"/>
      <c r="AB853" s="122"/>
    </row>
    <row r="854" spans="1:28" ht="15.75" customHeight="1" x14ac:dyDescent="0.2">
      <c r="A854" s="122"/>
      <c r="B854" s="122"/>
      <c r="C854" s="122"/>
      <c r="D854" s="122"/>
      <c r="E854" s="122"/>
      <c r="F854" s="122"/>
      <c r="G854" s="122"/>
      <c r="H854" s="122"/>
      <c r="I854" s="122"/>
      <c r="J854" s="122"/>
      <c r="K854" s="122"/>
      <c r="L854" s="122"/>
      <c r="M854" s="122"/>
      <c r="N854" s="122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  <c r="AA854" s="122"/>
      <c r="AB854" s="122"/>
    </row>
    <row r="855" spans="1:28" ht="15.75" customHeight="1" x14ac:dyDescent="0.2">
      <c r="A855" s="122"/>
      <c r="B855" s="122"/>
      <c r="C855" s="122"/>
      <c r="D855" s="122"/>
      <c r="E855" s="122"/>
      <c r="F855" s="122"/>
      <c r="G855" s="122"/>
      <c r="H855" s="122"/>
      <c r="I855" s="122"/>
      <c r="J855" s="122"/>
      <c r="K855" s="122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  <c r="AA855" s="122"/>
      <c r="AB855" s="122"/>
    </row>
    <row r="856" spans="1:28" ht="15.75" customHeight="1" x14ac:dyDescent="0.2">
      <c r="A856" s="122"/>
      <c r="B856" s="122"/>
      <c r="C856" s="122"/>
      <c r="D856" s="122"/>
      <c r="E856" s="122"/>
      <c r="F856" s="122"/>
      <c r="G856" s="122"/>
      <c r="H856" s="122"/>
      <c r="I856" s="122"/>
      <c r="J856" s="122"/>
      <c r="K856" s="122"/>
      <c r="L856" s="122"/>
      <c r="M856" s="122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  <c r="AA856" s="122"/>
      <c r="AB856" s="122"/>
    </row>
    <row r="857" spans="1:28" ht="15.75" customHeight="1" x14ac:dyDescent="0.2">
      <c r="A857" s="122"/>
      <c r="B857" s="122"/>
      <c r="C857" s="122"/>
      <c r="D857" s="122"/>
      <c r="E857" s="122"/>
      <c r="F857" s="122"/>
      <c r="G857" s="122"/>
      <c r="H857" s="122"/>
      <c r="I857" s="122"/>
      <c r="J857" s="122"/>
      <c r="K857" s="122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  <c r="AA857" s="122"/>
      <c r="AB857" s="122"/>
    </row>
    <row r="858" spans="1:28" ht="15.75" customHeight="1" x14ac:dyDescent="0.2">
      <c r="A858" s="122"/>
      <c r="B858" s="122"/>
      <c r="C858" s="122"/>
      <c r="D858" s="122"/>
      <c r="E858" s="122"/>
      <c r="F858" s="122"/>
      <c r="G858" s="122"/>
      <c r="H858" s="122"/>
      <c r="I858" s="122"/>
      <c r="J858" s="122"/>
      <c r="K858" s="122"/>
      <c r="L858" s="122"/>
      <c r="M858" s="122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  <c r="AA858" s="122"/>
      <c r="AB858" s="122"/>
    </row>
    <row r="859" spans="1:28" ht="15.75" customHeight="1" x14ac:dyDescent="0.2">
      <c r="A859" s="122"/>
      <c r="B859" s="122"/>
      <c r="C859" s="122"/>
      <c r="D859" s="122"/>
      <c r="E859" s="122"/>
      <c r="F859" s="122"/>
      <c r="G859" s="122"/>
      <c r="H859" s="122"/>
      <c r="I859" s="122"/>
      <c r="J859" s="122"/>
      <c r="K859" s="122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  <c r="AA859" s="122"/>
      <c r="AB859" s="122"/>
    </row>
    <row r="860" spans="1:28" ht="15.75" customHeight="1" x14ac:dyDescent="0.2">
      <c r="A860" s="122"/>
      <c r="B860" s="122"/>
      <c r="C860" s="122"/>
      <c r="D860" s="122"/>
      <c r="E860" s="122"/>
      <c r="F860" s="122"/>
      <c r="G860" s="122"/>
      <c r="H860" s="122"/>
      <c r="I860" s="122"/>
      <c r="J860" s="122"/>
      <c r="K860" s="122"/>
      <c r="L860" s="122"/>
      <c r="M860" s="122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  <c r="AA860" s="122"/>
      <c r="AB860" s="122"/>
    </row>
    <row r="861" spans="1:28" ht="15.75" customHeight="1" x14ac:dyDescent="0.2">
      <c r="A861" s="122"/>
      <c r="B861" s="122"/>
      <c r="C861" s="122"/>
      <c r="D861" s="122"/>
      <c r="E861" s="122"/>
      <c r="F861" s="122"/>
      <c r="G861" s="122"/>
      <c r="H861" s="122"/>
      <c r="I861" s="122"/>
      <c r="J861" s="122"/>
      <c r="K861" s="122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  <c r="AA861" s="122"/>
      <c r="AB861" s="122"/>
    </row>
    <row r="862" spans="1:28" ht="15.75" customHeight="1" x14ac:dyDescent="0.2">
      <c r="A862" s="122"/>
      <c r="B862" s="122"/>
      <c r="C862" s="122"/>
      <c r="D862" s="122"/>
      <c r="E862" s="122"/>
      <c r="F862" s="122"/>
      <c r="G862" s="122"/>
      <c r="H862" s="122"/>
      <c r="I862" s="122"/>
      <c r="J862" s="122"/>
      <c r="K862" s="122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  <c r="AA862" s="122"/>
      <c r="AB862" s="122"/>
    </row>
    <row r="863" spans="1:28" ht="15.75" customHeight="1" x14ac:dyDescent="0.2">
      <c r="A863" s="122"/>
      <c r="B863" s="122"/>
      <c r="C863" s="122"/>
      <c r="D863" s="122"/>
      <c r="E863" s="122"/>
      <c r="F863" s="122"/>
      <c r="G863" s="122"/>
      <c r="H863" s="122"/>
      <c r="I863" s="122"/>
      <c r="J863" s="122"/>
      <c r="K863" s="122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  <c r="AA863" s="122"/>
      <c r="AB863" s="122"/>
    </row>
    <row r="864" spans="1:28" ht="15.75" customHeight="1" x14ac:dyDescent="0.2">
      <c r="A864" s="122"/>
      <c r="B864" s="122"/>
      <c r="C864" s="122"/>
      <c r="D864" s="122"/>
      <c r="E864" s="122"/>
      <c r="F864" s="122"/>
      <c r="G864" s="122"/>
      <c r="H864" s="122"/>
      <c r="I864" s="122"/>
      <c r="J864" s="122"/>
      <c r="K864" s="122"/>
      <c r="L864" s="122"/>
      <c r="M864" s="122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  <c r="AA864" s="122"/>
      <c r="AB864" s="122"/>
    </row>
    <row r="865" spans="1:28" ht="15.75" customHeight="1" x14ac:dyDescent="0.2">
      <c r="A865" s="122"/>
      <c r="B865" s="122"/>
      <c r="C865" s="122"/>
      <c r="D865" s="122"/>
      <c r="E865" s="122"/>
      <c r="F865" s="122"/>
      <c r="G865" s="122"/>
      <c r="H865" s="122"/>
      <c r="I865" s="122"/>
      <c r="J865" s="122"/>
      <c r="K865" s="122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  <c r="AA865" s="122"/>
      <c r="AB865" s="122"/>
    </row>
    <row r="866" spans="1:28" ht="15.75" customHeight="1" x14ac:dyDescent="0.2">
      <c r="A866" s="122"/>
      <c r="B866" s="122"/>
      <c r="C866" s="122"/>
      <c r="D866" s="122"/>
      <c r="E866" s="122"/>
      <c r="F866" s="122"/>
      <c r="G866" s="122"/>
      <c r="H866" s="122"/>
      <c r="I866" s="122"/>
      <c r="J866" s="122"/>
      <c r="K866" s="122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  <c r="AA866" s="122"/>
      <c r="AB866" s="122"/>
    </row>
    <row r="867" spans="1:28" ht="15.75" customHeight="1" x14ac:dyDescent="0.2">
      <c r="A867" s="122"/>
      <c r="B867" s="122"/>
      <c r="C867" s="122"/>
      <c r="D867" s="122"/>
      <c r="E867" s="122"/>
      <c r="F867" s="122"/>
      <c r="G867" s="122"/>
      <c r="H867" s="122"/>
      <c r="I867" s="122"/>
      <c r="J867" s="122"/>
      <c r="K867" s="122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  <c r="AA867" s="122"/>
      <c r="AB867" s="122"/>
    </row>
    <row r="868" spans="1:28" ht="15.75" customHeight="1" x14ac:dyDescent="0.2">
      <c r="A868" s="122"/>
      <c r="B868" s="122"/>
      <c r="C868" s="122"/>
      <c r="D868" s="122"/>
      <c r="E868" s="122"/>
      <c r="F868" s="122"/>
      <c r="G868" s="122"/>
      <c r="H868" s="122"/>
      <c r="I868" s="122"/>
      <c r="J868" s="122"/>
      <c r="K868" s="122"/>
      <c r="L868" s="122"/>
      <c r="M868" s="122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  <c r="AA868" s="122"/>
      <c r="AB868" s="122"/>
    </row>
    <row r="869" spans="1:28" ht="15.75" customHeight="1" x14ac:dyDescent="0.2">
      <c r="A869" s="122"/>
      <c r="B869" s="122"/>
      <c r="C869" s="122"/>
      <c r="D869" s="122"/>
      <c r="E869" s="122"/>
      <c r="F869" s="122"/>
      <c r="G869" s="122"/>
      <c r="H869" s="122"/>
      <c r="I869" s="122"/>
      <c r="J869" s="122"/>
      <c r="K869" s="122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  <c r="AA869" s="122"/>
      <c r="AB869" s="122"/>
    </row>
    <row r="870" spans="1:28" ht="15.75" customHeight="1" x14ac:dyDescent="0.2">
      <c r="A870" s="122"/>
      <c r="B870" s="122"/>
      <c r="C870" s="122"/>
      <c r="D870" s="122"/>
      <c r="E870" s="122"/>
      <c r="F870" s="122"/>
      <c r="G870" s="122"/>
      <c r="H870" s="122"/>
      <c r="I870" s="122"/>
      <c r="J870" s="122"/>
      <c r="K870" s="122"/>
      <c r="L870" s="122"/>
      <c r="M870" s="122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  <c r="AA870" s="122"/>
      <c r="AB870" s="122"/>
    </row>
    <row r="871" spans="1:28" ht="15.75" customHeight="1" x14ac:dyDescent="0.2">
      <c r="A871" s="122"/>
      <c r="B871" s="122"/>
      <c r="C871" s="122"/>
      <c r="D871" s="122"/>
      <c r="E871" s="122"/>
      <c r="F871" s="122"/>
      <c r="G871" s="122"/>
      <c r="H871" s="122"/>
      <c r="I871" s="122"/>
      <c r="J871" s="122"/>
      <c r="K871" s="122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  <c r="AA871" s="122"/>
      <c r="AB871" s="122"/>
    </row>
    <row r="872" spans="1:28" ht="15.75" customHeight="1" x14ac:dyDescent="0.2">
      <c r="A872" s="122"/>
      <c r="B872" s="122"/>
      <c r="C872" s="122"/>
      <c r="D872" s="122"/>
      <c r="E872" s="122"/>
      <c r="F872" s="122"/>
      <c r="G872" s="122"/>
      <c r="H872" s="122"/>
      <c r="I872" s="122"/>
      <c r="J872" s="122"/>
      <c r="K872" s="122"/>
      <c r="L872" s="122"/>
      <c r="M872" s="122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  <c r="AA872" s="122"/>
      <c r="AB872" s="122"/>
    </row>
    <row r="873" spans="1:28" ht="15.75" customHeight="1" x14ac:dyDescent="0.2">
      <c r="A873" s="122"/>
      <c r="B873" s="122"/>
      <c r="C873" s="122"/>
      <c r="D873" s="122"/>
      <c r="E873" s="122"/>
      <c r="F873" s="122"/>
      <c r="G873" s="122"/>
      <c r="H873" s="122"/>
      <c r="I873" s="122"/>
      <c r="J873" s="122"/>
      <c r="K873" s="122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  <c r="AA873" s="122"/>
      <c r="AB873" s="122"/>
    </row>
    <row r="874" spans="1:28" ht="15.75" customHeight="1" x14ac:dyDescent="0.2">
      <c r="A874" s="122"/>
      <c r="B874" s="122"/>
      <c r="C874" s="122"/>
      <c r="D874" s="122"/>
      <c r="E874" s="122"/>
      <c r="F874" s="122"/>
      <c r="G874" s="122"/>
      <c r="H874" s="122"/>
      <c r="I874" s="122"/>
      <c r="J874" s="122"/>
      <c r="K874" s="122"/>
      <c r="L874" s="122"/>
      <c r="M874" s="122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  <c r="AA874" s="122"/>
      <c r="AB874" s="122"/>
    </row>
    <row r="875" spans="1:28" ht="15.75" customHeight="1" x14ac:dyDescent="0.2">
      <c r="A875" s="122"/>
      <c r="B875" s="122"/>
      <c r="C875" s="122"/>
      <c r="D875" s="122"/>
      <c r="E875" s="122"/>
      <c r="F875" s="122"/>
      <c r="G875" s="122"/>
      <c r="H875" s="122"/>
      <c r="I875" s="122"/>
      <c r="J875" s="122"/>
      <c r="K875" s="122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  <c r="AA875" s="122"/>
      <c r="AB875" s="122"/>
    </row>
    <row r="876" spans="1:28" ht="15.75" customHeight="1" x14ac:dyDescent="0.2">
      <c r="A876" s="122"/>
      <c r="B876" s="122"/>
      <c r="C876" s="122"/>
      <c r="D876" s="122"/>
      <c r="E876" s="122"/>
      <c r="F876" s="122"/>
      <c r="G876" s="122"/>
      <c r="H876" s="122"/>
      <c r="I876" s="122"/>
      <c r="J876" s="122"/>
      <c r="K876" s="122"/>
      <c r="L876" s="122"/>
      <c r="M876" s="122"/>
      <c r="N876" s="122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  <c r="AA876" s="122"/>
      <c r="AB876" s="122"/>
    </row>
    <row r="877" spans="1:28" ht="15.75" customHeight="1" x14ac:dyDescent="0.2">
      <c r="A877" s="122"/>
      <c r="B877" s="122"/>
      <c r="C877" s="122"/>
      <c r="D877" s="122"/>
      <c r="E877" s="122"/>
      <c r="F877" s="122"/>
      <c r="G877" s="122"/>
      <c r="H877" s="122"/>
      <c r="I877" s="122"/>
      <c r="J877" s="122"/>
      <c r="K877" s="122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  <c r="AA877" s="122"/>
      <c r="AB877" s="122"/>
    </row>
    <row r="878" spans="1:28" ht="15.75" customHeight="1" x14ac:dyDescent="0.2">
      <c r="A878" s="122"/>
      <c r="B878" s="122"/>
      <c r="C878" s="122"/>
      <c r="D878" s="122"/>
      <c r="E878" s="122"/>
      <c r="F878" s="122"/>
      <c r="G878" s="122"/>
      <c r="H878" s="122"/>
      <c r="I878" s="122"/>
      <c r="J878" s="122"/>
      <c r="K878" s="122"/>
      <c r="L878" s="122"/>
      <c r="M878" s="122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  <c r="AA878" s="122"/>
      <c r="AB878" s="122"/>
    </row>
    <row r="879" spans="1:28" ht="15.75" customHeight="1" x14ac:dyDescent="0.2">
      <c r="A879" s="122"/>
      <c r="B879" s="122"/>
      <c r="C879" s="122"/>
      <c r="D879" s="122"/>
      <c r="E879" s="122"/>
      <c r="F879" s="122"/>
      <c r="G879" s="122"/>
      <c r="H879" s="122"/>
      <c r="I879" s="122"/>
      <c r="J879" s="122"/>
      <c r="K879" s="122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  <c r="AA879" s="122"/>
      <c r="AB879" s="122"/>
    </row>
    <row r="880" spans="1:28" ht="15.75" customHeight="1" x14ac:dyDescent="0.2">
      <c r="A880" s="122"/>
      <c r="B880" s="122"/>
      <c r="C880" s="122"/>
      <c r="D880" s="122"/>
      <c r="E880" s="122"/>
      <c r="F880" s="122"/>
      <c r="G880" s="122"/>
      <c r="H880" s="122"/>
      <c r="I880" s="122"/>
      <c r="J880" s="122"/>
      <c r="K880" s="122"/>
      <c r="L880" s="122"/>
      <c r="M880" s="122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  <c r="AA880" s="122"/>
      <c r="AB880" s="122"/>
    </row>
    <row r="881" spans="1:28" ht="15.75" customHeight="1" x14ac:dyDescent="0.2">
      <c r="A881" s="122"/>
      <c r="B881" s="122"/>
      <c r="C881" s="122"/>
      <c r="D881" s="122"/>
      <c r="E881" s="122"/>
      <c r="F881" s="122"/>
      <c r="G881" s="122"/>
      <c r="H881" s="122"/>
      <c r="I881" s="122"/>
      <c r="J881" s="122"/>
      <c r="K881" s="122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  <c r="AA881" s="122"/>
      <c r="AB881" s="122"/>
    </row>
    <row r="882" spans="1:28" ht="15.75" customHeight="1" x14ac:dyDescent="0.2">
      <c r="A882" s="122"/>
      <c r="B882" s="122"/>
      <c r="C882" s="122"/>
      <c r="D882" s="122"/>
      <c r="E882" s="122"/>
      <c r="F882" s="122"/>
      <c r="G882" s="122"/>
      <c r="H882" s="122"/>
      <c r="I882" s="122"/>
      <c r="J882" s="122"/>
      <c r="K882" s="122"/>
      <c r="L882" s="122"/>
      <c r="M882" s="122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  <c r="AA882" s="122"/>
      <c r="AB882" s="122"/>
    </row>
    <row r="883" spans="1:28" ht="15.75" customHeight="1" x14ac:dyDescent="0.2">
      <c r="A883" s="122"/>
      <c r="B883" s="122"/>
      <c r="C883" s="122"/>
      <c r="D883" s="122"/>
      <c r="E883" s="122"/>
      <c r="F883" s="122"/>
      <c r="G883" s="122"/>
      <c r="H883" s="122"/>
      <c r="I883" s="122"/>
      <c r="J883" s="122"/>
      <c r="K883" s="122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  <c r="AA883" s="122"/>
      <c r="AB883" s="122"/>
    </row>
    <row r="884" spans="1:28" ht="15.75" customHeight="1" x14ac:dyDescent="0.2">
      <c r="A884" s="122"/>
      <c r="B884" s="122"/>
      <c r="C884" s="122"/>
      <c r="D884" s="122"/>
      <c r="E884" s="122"/>
      <c r="F884" s="122"/>
      <c r="G884" s="122"/>
      <c r="H884" s="122"/>
      <c r="I884" s="122"/>
      <c r="J884" s="122"/>
      <c r="K884" s="122"/>
      <c r="L884" s="122"/>
      <c r="M884" s="122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  <c r="AA884" s="122"/>
      <c r="AB884" s="122"/>
    </row>
    <row r="885" spans="1:28" ht="15.75" customHeight="1" x14ac:dyDescent="0.2">
      <c r="A885" s="122"/>
      <c r="B885" s="122"/>
      <c r="C885" s="122"/>
      <c r="D885" s="122"/>
      <c r="E885" s="122"/>
      <c r="F885" s="122"/>
      <c r="G885" s="122"/>
      <c r="H885" s="122"/>
      <c r="I885" s="122"/>
      <c r="J885" s="122"/>
      <c r="K885" s="122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  <c r="AA885" s="122"/>
      <c r="AB885" s="122"/>
    </row>
    <row r="886" spans="1:28" ht="15.75" customHeight="1" x14ac:dyDescent="0.2">
      <c r="A886" s="122"/>
      <c r="B886" s="122"/>
      <c r="C886" s="122"/>
      <c r="D886" s="122"/>
      <c r="E886" s="122"/>
      <c r="F886" s="122"/>
      <c r="G886" s="122"/>
      <c r="H886" s="122"/>
      <c r="I886" s="122"/>
      <c r="J886" s="122"/>
      <c r="K886" s="122"/>
      <c r="L886" s="122"/>
      <c r="M886" s="122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  <c r="AA886" s="122"/>
      <c r="AB886" s="122"/>
    </row>
    <row r="887" spans="1:28" ht="15.75" customHeight="1" x14ac:dyDescent="0.2">
      <c r="A887" s="122"/>
      <c r="B887" s="122"/>
      <c r="C887" s="122"/>
      <c r="D887" s="122"/>
      <c r="E887" s="122"/>
      <c r="F887" s="122"/>
      <c r="G887" s="122"/>
      <c r="H887" s="122"/>
      <c r="I887" s="122"/>
      <c r="J887" s="122"/>
      <c r="K887" s="122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  <c r="AA887" s="122"/>
      <c r="AB887" s="122"/>
    </row>
    <row r="888" spans="1:28" ht="15.75" customHeight="1" x14ac:dyDescent="0.2">
      <c r="A888" s="122"/>
      <c r="B888" s="122"/>
      <c r="C888" s="122"/>
      <c r="D888" s="122"/>
      <c r="E888" s="122"/>
      <c r="F888" s="122"/>
      <c r="G888" s="122"/>
      <c r="H888" s="122"/>
      <c r="I888" s="122"/>
      <c r="J888" s="122"/>
      <c r="K888" s="122"/>
      <c r="L888" s="122"/>
      <c r="M888" s="122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  <c r="AA888" s="122"/>
      <c r="AB888" s="122"/>
    </row>
    <row r="889" spans="1:28" ht="15.75" customHeight="1" x14ac:dyDescent="0.2">
      <c r="A889" s="122"/>
      <c r="B889" s="122"/>
      <c r="C889" s="122"/>
      <c r="D889" s="122"/>
      <c r="E889" s="122"/>
      <c r="F889" s="122"/>
      <c r="G889" s="122"/>
      <c r="H889" s="122"/>
      <c r="I889" s="122"/>
      <c r="J889" s="122"/>
      <c r="K889" s="122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  <c r="AA889" s="122"/>
      <c r="AB889" s="122"/>
    </row>
    <row r="890" spans="1:28" ht="15.75" customHeight="1" x14ac:dyDescent="0.2">
      <c r="A890" s="122"/>
      <c r="B890" s="122"/>
      <c r="C890" s="122"/>
      <c r="D890" s="122"/>
      <c r="E890" s="122"/>
      <c r="F890" s="122"/>
      <c r="G890" s="122"/>
      <c r="H890" s="122"/>
      <c r="I890" s="122"/>
      <c r="J890" s="122"/>
      <c r="K890" s="122"/>
      <c r="L890" s="122"/>
      <c r="M890" s="122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  <c r="AA890" s="122"/>
      <c r="AB890" s="122"/>
    </row>
    <row r="891" spans="1:28" ht="15.75" customHeight="1" x14ac:dyDescent="0.2">
      <c r="A891" s="122"/>
      <c r="B891" s="122"/>
      <c r="C891" s="122"/>
      <c r="D891" s="122"/>
      <c r="E891" s="122"/>
      <c r="F891" s="122"/>
      <c r="G891" s="122"/>
      <c r="H891" s="122"/>
      <c r="I891" s="122"/>
      <c r="J891" s="122"/>
      <c r="K891" s="122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  <c r="AA891" s="122"/>
      <c r="AB891" s="122"/>
    </row>
    <row r="892" spans="1:28" ht="15.75" customHeight="1" x14ac:dyDescent="0.2">
      <c r="A892" s="122"/>
      <c r="B892" s="122"/>
      <c r="C892" s="122"/>
      <c r="D892" s="122"/>
      <c r="E892" s="122"/>
      <c r="F892" s="122"/>
      <c r="G892" s="122"/>
      <c r="H892" s="122"/>
      <c r="I892" s="122"/>
      <c r="J892" s="122"/>
      <c r="K892" s="122"/>
      <c r="L892" s="122"/>
      <c r="M892" s="122"/>
      <c r="N892" s="122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  <c r="AA892" s="122"/>
      <c r="AB892" s="122"/>
    </row>
    <row r="893" spans="1:28" ht="15.75" customHeight="1" x14ac:dyDescent="0.2">
      <c r="A893" s="122"/>
      <c r="B893" s="122"/>
      <c r="C893" s="122"/>
      <c r="D893" s="122"/>
      <c r="E893" s="122"/>
      <c r="F893" s="122"/>
      <c r="G893" s="122"/>
      <c r="H893" s="122"/>
      <c r="I893" s="122"/>
      <c r="J893" s="122"/>
      <c r="K893" s="122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  <c r="AA893" s="122"/>
      <c r="AB893" s="122"/>
    </row>
    <row r="894" spans="1:28" ht="15.75" customHeight="1" x14ac:dyDescent="0.2">
      <c r="A894" s="122"/>
      <c r="B894" s="122"/>
      <c r="C894" s="122"/>
      <c r="D894" s="122"/>
      <c r="E894" s="122"/>
      <c r="F894" s="122"/>
      <c r="G894" s="122"/>
      <c r="H894" s="122"/>
      <c r="I894" s="122"/>
      <c r="J894" s="122"/>
      <c r="K894" s="122"/>
      <c r="L894" s="122"/>
      <c r="M894" s="122"/>
      <c r="N894" s="122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  <c r="AA894" s="122"/>
      <c r="AB894" s="122"/>
    </row>
    <row r="895" spans="1:28" ht="15.75" customHeight="1" x14ac:dyDescent="0.2">
      <c r="A895" s="122"/>
      <c r="B895" s="122"/>
      <c r="C895" s="122"/>
      <c r="D895" s="122"/>
      <c r="E895" s="122"/>
      <c r="F895" s="122"/>
      <c r="G895" s="122"/>
      <c r="H895" s="122"/>
      <c r="I895" s="122"/>
      <c r="J895" s="122"/>
      <c r="K895" s="122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  <c r="AA895" s="122"/>
      <c r="AB895" s="122"/>
    </row>
    <row r="896" spans="1:28" ht="15.75" customHeight="1" x14ac:dyDescent="0.2">
      <c r="A896" s="122"/>
      <c r="B896" s="122"/>
      <c r="C896" s="122"/>
      <c r="D896" s="122"/>
      <c r="E896" s="122"/>
      <c r="F896" s="122"/>
      <c r="G896" s="122"/>
      <c r="H896" s="122"/>
      <c r="I896" s="122"/>
      <c r="J896" s="122"/>
      <c r="K896" s="122"/>
      <c r="L896" s="122"/>
      <c r="M896" s="122"/>
      <c r="N896" s="122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  <c r="AA896" s="122"/>
      <c r="AB896" s="122"/>
    </row>
    <row r="897" spans="1:28" ht="15.75" customHeight="1" x14ac:dyDescent="0.2">
      <c r="A897" s="122"/>
      <c r="B897" s="122"/>
      <c r="C897" s="122"/>
      <c r="D897" s="122"/>
      <c r="E897" s="122"/>
      <c r="F897" s="122"/>
      <c r="G897" s="122"/>
      <c r="H897" s="122"/>
      <c r="I897" s="122"/>
      <c r="J897" s="122"/>
      <c r="K897" s="122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  <c r="AA897" s="122"/>
      <c r="AB897" s="122"/>
    </row>
    <row r="898" spans="1:28" ht="15.75" customHeight="1" x14ac:dyDescent="0.2">
      <c r="A898" s="122"/>
      <c r="B898" s="122"/>
      <c r="C898" s="122"/>
      <c r="D898" s="122"/>
      <c r="E898" s="122"/>
      <c r="F898" s="122"/>
      <c r="G898" s="122"/>
      <c r="H898" s="122"/>
      <c r="I898" s="122"/>
      <c r="J898" s="122"/>
      <c r="K898" s="122"/>
      <c r="L898" s="122"/>
      <c r="M898" s="122"/>
      <c r="N898" s="122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  <c r="AA898" s="122"/>
      <c r="AB898" s="122"/>
    </row>
    <row r="899" spans="1:28" ht="15.75" customHeight="1" x14ac:dyDescent="0.2">
      <c r="A899" s="122"/>
      <c r="B899" s="122"/>
      <c r="C899" s="122"/>
      <c r="D899" s="122"/>
      <c r="E899" s="122"/>
      <c r="F899" s="122"/>
      <c r="G899" s="122"/>
      <c r="H899" s="122"/>
      <c r="I899" s="122"/>
      <c r="J899" s="122"/>
      <c r="K899" s="122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  <c r="AA899" s="122"/>
      <c r="AB899" s="122"/>
    </row>
    <row r="900" spans="1:28" ht="15.75" customHeight="1" x14ac:dyDescent="0.2">
      <c r="A900" s="122"/>
      <c r="B900" s="122"/>
      <c r="C900" s="122"/>
      <c r="D900" s="122"/>
      <c r="E900" s="122"/>
      <c r="F900" s="122"/>
      <c r="G900" s="122"/>
      <c r="H900" s="122"/>
      <c r="I900" s="122"/>
      <c r="J900" s="122"/>
      <c r="K900" s="122"/>
      <c r="L900" s="122"/>
      <c r="M900" s="122"/>
      <c r="N900" s="122"/>
      <c r="O900" s="122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2"/>
      <c r="AA900" s="122"/>
      <c r="AB900" s="122"/>
    </row>
    <row r="901" spans="1:28" ht="15.75" customHeight="1" x14ac:dyDescent="0.2">
      <c r="A901" s="122"/>
      <c r="B901" s="122"/>
      <c r="C901" s="122"/>
      <c r="D901" s="122"/>
      <c r="E901" s="122"/>
      <c r="F901" s="122"/>
      <c r="G901" s="122"/>
      <c r="H901" s="122"/>
      <c r="I901" s="122"/>
      <c r="J901" s="122"/>
      <c r="K901" s="122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  <c r="AA901" s="122"/>
      <c r="AB901" s="122"/>
    </row>
    <row r="902" spans="1:28" ht="15.75" customHeight="1" x14ac:dyDescent="0.2">
      <c r="A902" s="122"/>
      <c r="B902" s="122"/>
      <c r="C902" s="122"/>
      <c r="D902" s="122"/>
      <c r="E902" s="122"/>
      <c r="F902" s="122"/>
      <c r="G902" s="122"/>
      <c r="H902" s="122"/>
      <c r="I902" s="122"/>
      <c r="J902" s="122"/>
      <c r="K902" s="122"/>
      <c r="L902" s="122"/>
      <c r="M902" s="122"/>
      <c r="N902" s="122"/>
      <c r="O902" s="122"/>
      <c r="P902" s="122"/>
      <c r="Q902" s="122"/>
      <c r="R902" s="122"/>
      <c r="S902" s="122"/>
      <c r="T902" s="122"/>
      <c r="U902" s="122"/>
      <c r="V902" s="122"/>
      <c r="W902" s="122"/>
      <c r="X902" s="122"/>
      <c r="Y902" s="122"/>
      <c r="Z902" s="122"/>
      <c r="AA902" s="122"/>
      <c r="AB902" s="122"/>
    </row>
    <row r="903" spans="1:28" ht="15.75" customHeight="1" x14ac:dyDescent="0.2">
      <c r="A903" s="122"/>
      <c r="B903" s="122"/>
      <c r="C903" s="122"/>
      <c r="D903" s="122"/>
      <c r="E903" s="122"/>
      <c r="F903" s="122"/>
      <c r="G903" s="122"/>
      <c r="H903" s="122"/>
      <c r="I903" s="122"/>
      <c r="J903" s="122"/>
      <c r="K903" s="122"/>
      <c r="L903" s="122"/>
      <c r="M903" s="122"/>
      <c r="N903" s="122"/>
      <c r="O903" s="122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  <c r="AA903" s="122"/>
      <c r="AB903" s="122"/>
    </row>
    <row r="904" spans="1:28" ht="15.75" customHeight="1" x14ac:dyDescent="0.2">
      <c r="A904" s="122"/>
      <c r="B904" s="122"/>
      <c r="C904" s="122"/>
      <c r="D904" s="122"/>
      <c r="E904" s="122"/>
      <c r="F904" s="122"/>
      <c r="G904" s="122"/>
      <c r="H904" s="122"/>
      <c r="I904" s="122"/>
      <c r="J904" s="122"/>
      <c r="K904" s="122"/>
      <c r="L904" s="122"/>
      <c r="M904" s="122"/>
      <c r="N904" s="122"/>
      <c r="O904" s="122"/>
      <c r="P904" s="122"/>
      <c r="Q904" s="122"/>
      <c r="R904" s="122"/>
      <c r="S904" s="122"/>
      <c r="T904" s="122"/>
      <c r="U904" s="122"/>
      <c r="V904" s="122"/>
      <c r="W904" s="122"/>
      <c r="X904" s="122"/>
      <c r="Y904" s="122"/>
      <c r="Z904" s="122"/>
      <c r="AA904" s="122"/>
      <c r="AB904" s="122"/>
    </row>
    <row r="905" spans="1:28" ht="15.75" customHeight="1" x14ac:dyDescent="0.2">
      <c r="A905" s="122"/>
      <c r="B905" s="122"/>
      <c r="C905" s="122"/>
      <c r="D905" s="122"/>
      <c r="E905" s="122"/>
      <c r="F905" s="122"/>
      <c r="G905" s="122"/>
      <c r="H905" s="122"/>
      <c r="I905" s="122"/>
      <c r="J905" s="122"/>
      <c r="K905" s="122"/>
      <c r="L905" s="122"/>
      <c r="M905" s="122"/>
      <c r="N905" s="122"/>
      <c r="O905" s="122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  <c r="AA905" s="122"/>
      <c r="AB905" s="122"/>
    </row>
    <row r="906" spans="1:28" ht="15.75" customHeight="1" x14ac:dyDescent="0.2">
      <c r="A906" s="122"/>
      <c r="B906" s="122"/>
      <c r="C906" s="122"/>
      <c r="D906" s="122"/>
      <c r="E906" s="122"/>
      <c r="F906" s="122"/>
      <c r="G906" s="122"/>
      <c r="H906" s="122"/>
      <c r="I906" s="122"/>
      <c r="J906" s="122"/>
      <c r="K906" s="122"/>
      <c r="L906" s="122"/>
      <c r="M906" s="122"/>
      <c r="N906" s="122"/>
      <c r="O906" s="122"/>
      <c r="P906" s="122"/>
      <c r="Q906" s="122"/>
      <c r="R906" s="122"/>
      <c r="S906" s="122"/>
      <c r="T906" s="122"/>
      <c r="U906" s="122"/>
      <c r="V906" s="122"/>
      <c r="W906" s="122"/>
      <c r="X906" s="122"/>
      <c r="Y906" s="122"/>
      <c r="Z906" s="122"/>
      <c r="AA906" s="122"/>
      <c r="AB906" s="122"/>
    </row>
    <row r="907" spans="1:28" ht="15.75" customHeight="1" x14ac:dyDescent="0.2">
      <c r="A907" s="122"/>
      <c r="B907" s="122"/>
      <c r="C907" s="122"/>
      <c r="D907" s="122"/>
      <c r="E907" s="122"/>
      <c r="F907" s="122"/>
      <c r="G907" s="122"/>
      <c r="H907" s="122"/>
      <c r="I907" s="122"/>
      <c r="J907" s="122"/>
      <c r="K907" s="122"/>
      <c r="L907" s="122"/>
      <c r="M907" s="122"/>
      <c r="N907" s="122"/>
      <c r="O907" s="122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  <c r="AA907" s="122"/>
      <c r="AB907" s="122"/>
    </row>
    <row r="908" spans="1:28" ht="15.75" customHeight="1" x14ac:dyDescent="0.2">
      <c r="A908" s="122"/>
      <c r="B908" s="122"/>
      <c r="C908" s="122"/>
      <c r="D908" s="122"/>
      <c r="E908" s="122"/>
      <c r="F908" s="122"/>
      <c r="G908" s="122"/>
      <c r="H908" s="122"/>
      <c r="I908" s="122"/>
      <c r="J908" s="122"/>
      <c r="K908" s="122"/>
      <c r="L908" s="122"/>
      <c r="M908" s="122"/>
      <c r="N908" s="122"/>
      <c r="O908" s="122"/>
      <c r="P908" s="122"/>
      <c r="Q908" s="122"/>
      <c r="R908" s="122"/>
      <c r="S908" s="122"/>
      <c r="T908" s="122"/>
      <c r="U908" s="122"/>
      <c r="V908" s="122"/>
      <c r="W908" s="122"/>
      <c r="X908" s="122"/>
      <c r="Y908" s="122"/>
      <c r="Z908" s="122"/>
      <c r="AA908" s="122"/>
      <c r="AB908" s="122"/>
    </row>
    <row r="909" spans="1:28" ht="15.75" customHeight="1" x14ac:dyDescent="0.2">
      <c r="A909" s="122"/>
      <c r="B909" s="122"/>
      <c r="C909" s="122"/>
      <c r="D909" s="122"/>
      <c r="E909" s="122"/>
      <c r="F909" s="122"/>
      <c r="G909" s="122"/>
      <c r="H909" s="122"/>
      <c r="I909" s="122"/>
      <c r="J909" s="122"/>
      <c r="K909" s="122"/>
      <c r="L909" s="122"/>
      <c r="M909" s="122"/>
      <c r="N909" s="122"/>
      <c r="O909" s="122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  <c r="Z909" s="122"/>
      <c r="AA909" s="122"/>
      <c r="AB909" s="122"/>
    </row>
    <row r="910" spans="1:28" ht="15.75" customHeight="1" x14ac:dyDescent="0.2">
      <c r="A910" s="122"/>
      <c r="B910" s="122"/>
      <c r="C910" s="122"/>
      <c r="D910" s="122"/>
      <c r="E910" s="122"/>
      <c r="F910" s="122"/>
      <c r="G910" s="122"/>
      <c r="H910" s="122"/>
      <c r="I910" s="122"/>
      <c r="J910" s="122"/>
      <c r="K910" s="122"/>
      <c r="L910" s="122"/>
      <c r="M910" s="122"/>
      <c r="N910" s="122"/>
      <c r="O910" s="122"/>
      <c r="P910" s="122"/>
      <c r="Q910" s="122"/>
      <c r="R910" s="122"/>
      <c r="S910" s="122"/>
      <c r="T910" s="122"/>
      <c r="U910" s="122"/>
      <c r="V910" s="122"/>
      <c r="W910" s="122"/>
      <c r="X910" s="122"/>
      <c r="Y910" s="122"/>
      <c r="Z910" s="122"/>
      <c r="AA910" s="122"/>
      <c r="AB910" s="122"/>
    </row>
    <row r="911" spans="1:28" ht="15.75" customHeight="1" x14ac:dyDescent="0.2">
      <c r="A911" s="122"/>
      <c r="B911" s="122"/>
      <c r="C911" s="122"/>
      <c r="D911" s="122"/>
      <c r="E911" s="122"/>
      <c r="F911" s="122"/>
      <c r="G911" s="122"/>
      <c r="H911" s="122"/>
      <c r="I911" s="122"/>
      <c r="J911" s="122"/>
      <c r="K911" s="122"/>
      <c r="L911" s="122"/>
      <c r="M911" s="122"/>
      <c r="N911" s="122"/>
      <c r="O911" s="122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  <c r="Z911" s="122"/>
      <c r="AA911" s="122"/>
      <c r="AB911" s="122"/>
    </row>
    <row r="912" spans="1:28" ht="15.75" customHeight="1" x14ac:dyDescent="0.2">
      <c r="A912" s="122"/>
      <c r="B912" s="122"/>
      <c r="C912" s="122"/>
      <c r="D912" s="122"/>
      <c r="E912" s="122"/>
      <c r="F912" s="122"/>
      <c r="G912" s="122"/>
      <c r="H912" s="122"/>
      <c r="I912" s="122"/>
      <c r="J912" s="122"/>
      <c r="K912" s="122"/>
      <c r="L912" s="122"/>
      <c r="M912" s="122"/>
      <c r="N912" s="122"/>
      <c r="O912" s="122"/>
      <c r="P912" s="122"/>
      <c r="Q912" s="122"/>
      <c r="R912" s="122"/>
      <c r="S912" s="122"/>
      <c r="T912" s="122"/>
      <c r="U912" s="122"/>
      <c r="V912" s="122"/>
      <c r="W912" s="122"/>
      <c r="X912" s="122"/>
      <c r="Y912" s="122"/>
      <c r="Z912" s="122"/>
      <c r="AA912" s="122"/>
      <c r="AB912" s="122"/>
    </row>
    <row r="913" spans="1:28" ht="15.75" customHeight="1" x14ac:dyDescent="0.2">
      <c r="A913" s="122"/>
      <c r="B913" s="122"/>
      <c r="C913" s="122"/>
      <c r="D913" s="122"/>
      <c r="E913" s="122"/>
      <c r="F913" s="122"/>
      <c r="G913" s="122"/>
      <c r="H913" s="122"/>
      <c r="I913" s="122"/>
      <c r="J913" s="122"/>
      <c r="K913" s="122"/>
      <c r="L913" s="122"/>
      <c r="M913" s="122"/>
      <c r="N913" s="122"/>
      <c r="O913" s="122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  <c r="Z913" s="122"/>
      <c r="AA913" s="122"/>
      <c r="AB913" s="122"/>
    </row>
    <row r="914" spans="1:28" ht="15.75" customHeight="1" x14ac:dyDescent="0.2">
      <c r="A914" s="122"/>
      <c r="B914" s="122"/>
      <c r="C914" s="122"/>
      <c r="D914" s="122"/>
      <c r="E914" s="122"/>
      <c r="F914" s="122"/>
      <c r="G914" s="122"/>
      <c r="H914" s="122"/>
      <c r="I914" s="122"/>
      <c r="J914" s="122"/>
      <c r="K914" s="122"/>
      <c r="L914" s="122"/>
      <c r="M914" s="122"/>
      <c r="N914" s="122"/>
      <c r="O914" s="122"/>
      <c r="P914" s="122"/>
      <c r="Q914" s="122"/>
      <c r="R914" s="122"/>
      <c r="S914" s="122"/>
      <c r="T914" s="122"/>
      <c r="U914" s="122"/>
      <c r="V914" s="122"/>
      <c r="W914" s="122"/>
      <c r="X914" s="122"/>
      <c r="Y914" s="122"/>
      <c r="Z914" s="122"/>
      <c r="AA914" s="122"/>
      <c r="AB914" s="122"/>
    </row>
    <row r="915" spans="1:28" ht="15.75" customHeight="1" x14ac:dyDescent="0.2">
      <c r="A915" s="122"/>
      <c r="B915" s="122"/>
      <c r="C915" s="122"/>
      <c r="D915" s="122"/>
      <c r="E915" s="122"/>
      <c r="F915" s="122"/>
      <c r="G915" s="122"/>
      <c r="H915" s="122"/>
      <c r="I915" s="122"/>
      <c r="J915" s="122"/>
      <c r="K915" s="122"/>
      <c r="L915" s="122"/>
      <c r="M915" s="122"/>
      <c r="N915" s="122"/>
      <c r="O915" s="122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  <c r="Z915" s="122"/>
      <c r="AA915" s="122"/>
      <c r="AB915" s="122"/>
    </row>
    <row r="916" spans="1:28" ht="15.75" customHeight="1" x14ac:dyDescent="0.2">
      <c r="A916" s="122"/>
      <c r="B916" s="122"/>
      <c r="C916" s="122"/>
      <c r="D916" s="122"/>
      <c r="E916" s="122"/>
      <c r="F916" s="122"/>
      <c r="G916" s="122"/>
      <c r="H916" s="122"/>
      <c r="I916" s="122"/>
      <c r="J916" s="122"/>
      <c r="K916" s="122"/>
      <c r="L916" s="122"/>
      <c r="M916" s="122"/>
      <c r="N916" s="122"/>
      <c r="O916" s="122"/>
      <c r="P916" s="122"/>
      <c r="Q916" s="122"/>
      <c r="R916" s="122"/>
      <c r="S916" s="122"/>
      <c r="T916" s="122"/>
      <c r="U916" s="122"/>
      <c r="V916" s="122"/>
      <c r="W916" s="122"/>
      <c r="X916" s="122"/>
      <c r="Y916" s="122"/>
      <c r="Z916" s="122"/>
      <c r="AA916" s="122"/>
      <c r="AB916" s="122"/>
    </row>
    <row r="917" spans="1:28" ht="15.75" customHeight="1" x14ac:dyDescent="0.2">
      <c r="A917" s="122"/>
      <c r="B917" s="122"/>
      <c r="C917" s="122"/>
      <c r="D917" s="122"/>
      <c r="E917" s="122"/>
      <c r="F917" s="122"/>
      <c r="G917" s="122"/>
      <c r="H917" s="122"/>
      <c r="I917" s="122"/>
      <c r="J917" s="122"/>
      <c r="K917" s="122"/>
      <c r="L917" s="122"/>
      <c r="M917" s="122"/>
      <c r="N917" s="122"/>
      <c r="O917" s="122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  <c r="Z917" s="122"/>
      <c r="AA917" s="122"/>
      <c r="AB917" s="122"/>
    </row>
    <row r="918" spans="1:28" ht="15.75" customHeight="1" x14ac:dyDescent="0.2">
      <c r="A918" s="122"/>
      <c r="B918" s="122"/>
      <c r="C918" s="122"/>
      <c r="D918" s="122"/>
      <c r="E918" s="122"/>
      <c r="F918" s="122"/>
      <c r="G918" s="122"/>
      <c r="H918" s="122"/>
      <c r="I918" s="122"/>
      <c r="J918" s="122"/>
      <c r="K918" s="122"/>
      <c r="L918" s="122"/>
      <c r="M918" s="122"/>
      <c r="N918" s="122"/>
      <c r="O918" s="122"/>
      <c r="P918" s="122"/>
      <c r="Q918" s="122"/>
      <c r="R918" s="122"/>
      <c r="S918" s="122"/>
      <c r="T918" s="122"/>
      <c r="U918" s="122"/>
      <c r="V918" s="122"/>
      <c r="W918" s="122"/>
      <c r="X918" s="122"/>
      <c r="Y918" s="122"/>
      <c r="Z918" s="122"/>
      <c r="AA918" s="122"/>
      <c r="AB918" s="122"/>
    </row>
    <row r="919" spans="1:28" ht="15.75" customHeight="1" x14ac:dyDescent="0.2">
      <c r="A919" s="122"/>
      <c r="B919" s="122"/>
      <c r="C919" s="122"/>
      <c r="D919" s="122"/>
      <c r="E919" s="122"/>
      <c r="F919" s="122"/>
      <c r="G919" s="122"/>
      <c r="H919" s="122"/>
      <c r="I919" s="122"/>
      <c r="J919" s="122"/>
      <c r="K919" s="122"/>
      <c r="L919" s="122"/>
      <c r="M919" s="122"/>
      <c r="N919" s="122"/>
      <c r="O919" s="122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  <c r="Z919" s="122"/>
      <c r="AA919" s="122"/>
      <c r="AB919" s="122"/>
    </row>
    <row r="920" spans="1:28" ht="15.75" customHeight="1" x14ac:dyDescent="0.2">
      <c r="A920" s="122"/>
      <c r="B920" s="122"/>
      <c r="C920" s="122"/>
      <c r="D920" s="122"/>
      <c r="E920" s="122"/>
      <c r="F920" s="122"/>
      <c r="G920" s="122"/>
      <c r="H920" s="122"/>
      <c r="I920" s="122"/>
      <c r="J920" s="122"/>
      <c r="K920" s="122"/>
      <c r="L920" s="122"/>
      <c r="M920" s="122"/>
      <c r="N920" s="122"/>
      <c r="O920" s="122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  <c r="Z920" s="122"/>
      <c r="AA920" s="122"/>
      <c r="AB920" s="122"/>
    </row>
    <row r="921" spans="1:28" ht="15.75" customHeight="1" x14ac:dyDescent="0.2">
      <c r="A921" s="122"/>
      <c r="B921" s="122"/>
      <c r="C921" s="122"/>
      <c r="D921" s="122"/>
      <c r="E921" s="122"/>
      <c r="F921" s="122"/>
      <c r="G921" s="122"/>
      <c r="H921" s="122"/>
      <c r="I921" s="122"/>
      <c r="J921" s="122"/>
      <c r="K921" s="122"/>
      <c r="L921" s="122"/>
      <c r="M921" s="122"/>
      <c r="N921" s="122"/>
      <c r="O921" s="122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  <c r="AA921" s="122"/>
      <c r="AB921" s="122"/>
    </row>
    <row r="922" spans="1:28" ht="15.75" customHeight="1" x14ac:dyDescent="0.2">
      <c r="A922" s="122"/>
      <c r="B922" s="122"/>
      <c r="C922" s="122"/>
      <c r="D922" s="122"/>
      <c r="E922" s="122"/>
      <c r="F922" s="122"/>
      <c r="G922" s="122"/>
      <c r="H922" s="122"/>
      <c r="I922" s="122"/>
      <c r="J922" s="122"/>
      <c r="K922" s="122"/>
      <c r="L922" s="122"/>
      <c r="M922" s="122"/>
      <c r="N922" s="122"/>
      <c r="O922" s="122"/>
      <c r="P922" s="122"/>
      <c r="Q922" s="122"/>
      <c r="R922" s="122"/>
      <c r="S922" s="122"/>
      <c r="T922" s="122"/>
      <c r="U922" s="122"/>
      <c r="V922" s="122"/>
      <c r="W922" s="122"/>
      <c r="X922" s="122"/>
      <c r="Y922" s="122"/>
      <c r="Z922" s="122"/>
      <c r="AA922" s="122"/>
      <c r="AB922" s="122"/>
    </row>
    <row r="923" spans="1:28" ht="15.75" customHeight="1" x14ac:dyDescent="0.2">
      <c r="A923" s="122"/>
      <c r="B923" s="122"/>
      <c r="C923" s="122"/>
      <c r="D923" s="122"/>
      <c r="E923" s="122"/>
      <c r="F923" s="122"/>
      <c r="G923" s="122"/>
      <c r="H923" s="122"/>
      <c r="I923" s="122"/>
      <c r="J923" s="122"/>
      <c r="K923" s="122"/>
      <c r="L923" s="122"/>
      <c r="M923" s="122"/>
      <c r="N923" s="122"/>
      <c r="O923" s="122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  <c r="Z923" s="122"/>
      <c r="AA923" s="122"/>
      <c r="AB923" s="122"/>
    </row>
    <row r="924" spans="1:28" ht="15.75" customHeight="1" x14ac:dyDescent="0.2">
      <c r="A924" s="122"/>
      <c r="B924" s="122"/>
      <c r="C924" s="122"/>
      <c r="D924" s="122"/>
      <c r="E924" s="122"/>
      <c r="F924" s="122"/>
      <c r="G924" s="122"/>
      <c r="H924" s="122"/>
      <c r="I924" s="122"/>
      <c r="J924" s="122"/>
      <c r="K924" s="122"/>
      <c r="L924" s="122"/>
      <c r="M924" s="122"/>
      <c r="N924" s="122"/>
      <c r="O924" s="122"/>
      <c r="P924" s="122"/>
      <c r="Q924" s="122"/>
      <c r="R924" s="122"/>
      <c r="S924" s="122"/>
      <c r="T924" s="122"/>
      <c r="U924" s="122"/>
      <c r="V924" s="122"/>
      <c r="W924" s="122"/>
      <c r="X924" s="122"/>
      <c r="Y924" s="122"/>
      <c r="Z924" s="122"/>
      <c r="AA924" s="122"/>
      <c r="AB924" s="122"/>
    </row>
    <row r="925" spans="1:28" ht="15.75" customHeight="1" x14ac:dyDescent="0.2">
      <c r="A925" s="122"/>
      <c r="B925" s="122"/>
      <c r="C925" s="122"/>
      <c r="D925" s="122"/>
      <c r="E925" s="122"/>
      <c r="F925" s="122"/>
      <c r="G925" s="122"/>
      <c r="H925" s="122"/>
      <c r="I925" s="122"/>
      <c r="J925" s="122"/>
      <c r="K925" s="122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  <c r="AA925" s="122"/>
      <c r="AB925" s="122"/>
    </row>
    <row r="926" spans="1:28" ht="15.75" customHeight="1" x14ac:dyDescent="0.2">
      <c r="A926" s="122"/>
      <c r="B926" s="122"/>
      <c r="C926" s="122"/>
      <c r="D926" s="122"/>
      <c r="E926" s="122"/>
      <c r="F926" s="122"/>
      <c r="G926" s="122"/>
      <c r="H926" s="122"/>
      <c r="I926" s="122"/>
      <c r="J926" s="122"/>
      <c r="K926" s="122"/>
      <c r="L926" s="122"/>
      <c r="M926" s="122"/>
      <c r="N926" s="122"/>
      <c r="O926" s="122"/>
      <c r="P926" s="122"/>
      <c r="Q926" s="122"/>
      <c r="R926" s="122"/>
      <c r="S926" s="122"/>
      <c r="T926" s="122"/>
      <c r="U926" s="122"/>
      <c r="V926" s="122"/>
      <c r="W926" s="122"/>
      <c r="X926" s="122"/>
      <c r="Y926" s="122"/>
      <c r="Z926" s="122"/>
      <c r="AA926" s="122"/>
      <c r="AB926" s="122"/>
    </row>
    <row r="927" spans="1:28" ht="15.75" customHeight="1" x14ac:dyDescent="0.2">
      <c r="A927" s="122"/>
      <c r="B927" s="122"/>
      <c r="C927" s="122"/>
      <c r="D927" s="122"/>
      <c r="E927" s="122"/>
      <c r="F927" s="122"/>
      <c r="G927" s="122"/>
      <c r="H927" s="122"/>
      <c r="I927" s="122"/>
      <c r="J927" s="122"/>
      <c r="K927" s="122"/>
      <c r="L927" s="122"/>
      <c r="M927" s="122"/>
      <c r="N927" s="122"/>
      <c r="O927" s="122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  <c r="AA927" s="122"/>
      <c r="AB927" s="122"/>
    </row>
    <row r="928" spans="1:28" ht="15.75" customHeight="1" x14ac:dyDescent="0.2">
      <c r="A928" s="122"/>
      <c r="B928" s="122"/>
      <c r="C928" s="122"/>
      <c r="D928" s="122"/>
      <c r="E928" s="122"/>
      <c r="F928" s="122"/>
      <c r="G928" s="122"/>
      <c r="H928" s="122"/>
      <c r="I928" s="122"/>
      <c r="J928" s="122"/>
      <c r="K928" s="122"/>
      <c r="L928" s="122"/>
      <c r="M928" s="122"/>
      <c r="N928" s="122"/>
      <c r="O928" s="122"/>
      <c r="P928" s="122"/>
      <c r="Q928" s="122"/>
      <c r="R928" s="122"/>
      <c r="S928" s="122"/>
      <c r="T928" s="122"/>
      <c r="U928" s="122"/>
      <c r="V928" s="122"/>
      <c r="W928" s="122"/>
      <c r="X928" s="122"/>
      <c r="Y928" s="122"/>
      <c r="Z928" s="122"/>
      <c r="AA928" s="122"/>
      <c r="AB928" s="122"/>
    </row>
    <row r="929" spans="1:28" ht="15.75" customHeight="1" x14ac:dyDescent="0.2">
      <c r="A929" s="122"/>
      <c r="B929" s="122"/>
      <c r="C929" s="122"/>
      <c r="D929" s="122"/>
      <c r="E929" s="122"/>
      <c r="F929" s="122"/>
      <c r="G929" s="122"/>
      <c r="H929" s="122"/>
      <c r="I929" s="122"/>
      <c r="J929" s="122"/>
      <c r="K929" s="122"/>
      <c r="L929" s="122"/>
      <c r="M929" s="122"/>
      <c r="N929" s="122"/>
      <c r="O929" s="122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  <c r="AA929" s="122"/>
      <c r="AB929" s="122"/>
    </row>
    <row r="930" spans="1:28" ht="15.75" customHeight="1" x14ac:dyDescent="0.2">
      <c r="A930" s="122"/>
      <c r="B930" s="122"/>
      <c r="C930" s="122"/>
      <c r="D930" s="122"/>
      <c r="E930" s="122"/>
      <c r="F930" s="122"/>
      <c r="G930" s="122"/>
      <c r="H930" s="122"/>
      <c r="I930" s="122"/>
      <c r="J930" s="122"/>
      <c r="K930" s="122"/>
      <c r="L930" s="122"/>
      <c r="M930" s="122"/>
      <c r="N930" s="122"/>
      <c r="O930" s="122"/>
      <c r="P930" s="122"/>
      <c r="Q930" s="122"/>
      <c r="R930" s="122"/>
      <c r="S930" s="122"/>
      <c r="T930" s="122"/>
      <c r="U930" s="122"/>
      <c r="V930" s="122"/>
      <c r="W930" s="122"/>
      <c r="X930" s="122"/>
      <c r="Y930" s="122"/>
      <c r="Z930" s="122"/>
      <c r="AA930" s="122"/>
      <c r="AB930" s="122"/>
    </row>
    <row r="931" spans="1:28" ht="15.75" customHeight="1" x14ac:dyDescent="0.2">
      <c r="A931" s="122"/>
      <c r="B931" s="122"/>
      <c r="C931" s="122"/>
      <c r="D931" s="122"/>
      <c r="E931" s="122"/>
      <c r="F931" s="122"/>
      <c r="G931" s="122"/>
      <c r="H931" s="122"/>
      <c r="I931" s="122"/>
      <c r="J931" s="122"/>
      <c r="K931" s="122"/>
      <c r="L931" s="122"/>
      <c r="M931" s="122"/>
      <c r="N931" s="122"/>
      <c r="O931" s="122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  <c r="AA931" s="122"/>
      <c r="AB931" s="122"/>
    </row>
    <row r="932" spans="1:28" ht="15.75" customHeight="1" x14ac:dyDescent="0.2">
      <c r="A932" s="122"/>
      <c r="B932" s="122"/>
      <c r="C932" s="122"/>
      <c r="D932" s="122"/>
      <c r="E932" s="122"/>
      <c r="F932" s="122"/>
      <c r="G932" s="122"/>
      <c r="H932" s="122"/>
      <c r="I932" s="122"/>
      <c r="J932" s="122"/>
      <c r="K932" s="122"/>
      <c r="L932" s="122"/>
      <c r="M932" s="122"/>
      <c r="N932" s="122"/>
      <c r="O932" s="122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  <c r="Z932" s="122"/>
      <c r="AA932" s="122"/>
      <c r="AB932" s="122"/>
    </row>
    <row r="933" spans="1:28" ht="15.75" customHeight="1" x14ac:dyDescent="0.2">
      <c r="A933" s="122"/>
      <c r="B933" s="122"/>
      <c r="C933" s="122"/>
      <c r="D933" s="122"/>
      <c r="E933" s="122"/>
      <c r="F933" s="122"/>
      <c r="G933" s="122"/>
      <c r="H933" s="122"/>
      <c r="I933" s="122"/>
      <c r="J933" s="122"/>
      <c r="K933" s="122"/>
      <c r="L933" s="122"/>
      <c r="M933" s="122"/>
      <c r="N933" s="122"/>
      <c r="O933" s="122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  <c r="AA933" s="122"/>
      <c r="AB933" s="122"/>
    </row>
    <row r="934" spans="1:28" ht="15.75" customHeight="1" x14ac:dyDescent="0.2">
      <c r="A934" s="122"/>
      <c r="B934" s="122"/>
      <c r="C934" s="122"/>
      <c r="D934" s="122"/>
      <c r="E934" s="122"/>
      <c r="F934" s="122"/>
      <c r="G934" s="122"/>
      <c r="H934" s="122"/>
      <c r="I934" s="122"/>
      <c r="J934" s="122"/>
      <c r="K934" s="122"/>
      <c r="L934" s="122"/>
      <c r="M934" s="122"/>
      <c r="N934" s="122"/>
      <c r="O934" s="122"/>
      <c r="P934" s="122"/>
      <c r="Q934" s="122"/>
      <c r="R934" s="122"/>
      <c r="S934" s="122"/>
      <c r="T934" s="122"/>
      <c r="U934" s="122"/>
      <c r="V934" s="122"/>
      <c r="W934" s="122"/>
      <c r="X934" s="122"/>
      <c r="Y934" s="122"/>
      <c r="Z934" s="122"/>
      <c r="AA934" s="122"/>
      <c r="AB934" s="122"/>
    </row>
    <row r="935" spans="1:28" ht="15.75" customHeight="1" x14ac:dyDescent="0.2">
      <c r="A935" s="122"/>
      <c r="B935" s="122"/>
      <c r="C935" s="122"/>
      <c r="D935" s="122"/>
      <c r="E935" s="122"/>
      <c r="F935" s="122"/>
      <c r="G935" s="122"/>
      <c r="H935" s="122"/>
      <c r="I935" s="122"/>
      <c r="J935" s="122"/>
      <c r="K935" s="122"/>
      <c r="L935" s="122"/>
      <c r="M935" s="122"/>
      <c r="N935" s="122"/>
      <c r="O935" s="122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  <c r="AA935" s="122"/>
      <c r="AB935" s="122"/>
    </row>
    <row r="936" spans="1:28" ht="15.75" customHeight="1" x14ac:dyDescent="0.2">
      <c r="A936" s="122"/>
      <c r="B936" s="122"/>
      <c r="C936" s="122"/>
      <c r="D936" s="122"/>
      <c r="E936" s="122"/>
      <c r="F936" s="122"/>
      <c r="G936" s="122"/>
      <c r="H936" s="122"/>
      <c r="I936" s="122"/>
      <c r="J936" s="122"/>
      <c r="K936" s="122"/>
      <c r="L936" s="122"/>
      <c r="M936" s="122"/>
      <c r="N936" s="122"/>
      <c r="O936" s="122"/>
      <c r="P936" s="122"/>
      <c r="Q936" s="122"/>
      <c r="R936" s="122"/>
      <c r="S936" s="122"/>
      <c r="T936" s="122"/>
      <c r="U936" s="122"/>
      <c r="V936" s="122"/>
      <c r="W936" s="122"/>
      <c r="X936" s="122"/>
      <c r="Y936" s="122"/>
      <c r="Z936" s="122"/>
      <c r="AA936" s="122"/>
      <c r="AB936" s="122"/>
    </row>
    <row r="937" spans="1:28" ht="15.75" customHeight="1" x14ac:dyDescent="0.2">
      <c r="A937" s="122"/>
      <c r="B937" s="122"/>
      <c r="C937" s="122"/>
      <c r="D937" s="122"/>
      <c r="E937" s="122"/>
      <c r="F937" s="122"/>
      <c r="G937" s="122"/>
      <c r="H937" s="122"/>
      <c r="I937" s="122"/>
      <c r="J937" s="122"/>
      <c r="K937" s="122"/>
      <c r="L937" s="122"/>
      <c r="M937" s="122"/>
      <c r="N937" s="122"/>
      <c r="O937" s="122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  <c r="AA937" s="122"/>
      <c r="AB937" s="122"/>
    </row>
    <row r="938" spans="1:28" ht="15.75" customHeight="1" x14ac:dyDescent="0.2">
      <c r="A938" s="122"/>
      <c r="B938" s="122"/>
      <c r="C938" s="122"/>
      <c r="D938" s="122"/>
      <c r="E938" s="122"/>
      <c r="F938" s="122"/>
      <c r="G938" s="122"/>
      <c r="H938" s="122"/>
      <c r="I938" s="122"/>
      <c r="J938" s="122"/>
      <c r="K938" s="122"/>
      <c r="L938" s="122"/>
      <c r="M938" s="122"/>
      <c r="N938" s="122"/>
      <c r="O938" s="122"/>
      <c r="P938" s="122"/>
      <c r="Q938" s="122"/>
      <c r="R938" s="122"/>
      <c r="S938" s="122"/>
      <c r="T938" s="122"/>
      <c r="U938" s="122"/>
      <c r="V938" s="122"/>
      <c r="W938" s="122"/>
      <c r="X938" s="122"/>
      <c r="Y938" s="122"/>
      <c r="Z938" s="122"/>
      <c r="AA938" s="122"/>
      <c r="AB938" s="122"/>
    </row>
    <row r="939" spans="1:28" ht="15.75" customHeight="1" x14ac:dyDescent="0.2">
      <c r="A939" s="122"/>
      <c r="B939" s="122"/>
      <c r="C939" s="122"/>
      <c r="D939" s="122"/>
      <c r="E939" s="122"/>
      <c r="F939" s="122"/>
      <c r="G939" s="122"/>
      <c r="H939" s="122"/>
      <c r="I939" s="122"/>
      <c r="J939" s="122"/>
      <c r="K939" s="122"/>
      <c r="L939" s="122"/>
      <c r="M939" s="122"/>
      <c r="N939" s="122"/>
      <c r="O939" s="122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  <c r="AA939" s="122"/>
      <c r="AB939" s="122"/>
    </row>
    <row r="940" spans="1:28" ht="15.75" customHeight="1" x14ac:dyDescent="0.2">
      <c r="A940" s="122"/>
      <c r="B940" s="122"/>
      <c r="C940" s="122"/>
      <c r="D940" s="122"/>
      <c r="E940" s="122"/>
      <c r="F940" s="122"/>
      <c r="G940" s="122"/>
      <c r="H940" s="122"/>
      <c r="I940" s="122"/>
      <c r="J940" s="122"/>
      <c r="K940" s="122"/>
      <c r="L940" s="122"/>
      <c r="M940" s="122"/>
      <c r="N940" s="122"/>
      <c r="O940" s="122"/>
      <c r="P940" s="122"/>
      <c r="Q940" s="122"/>
      <c r="R940" s="122"/>
      <c r="S940" s="122"/>
      <c r="T940" s="122"/>
      <c r="U940" s="122"/>
      <c r="V940" s="122"/>
      <c r="W940" s="122"/>
      <c r="X940" s="122"/>
      <c r="Y940" s="122"/>
      <c r="Z940" s="122"/>
      <c r="AA940" s="122"/>
      <c r="AB940" s="122"/>
    </row>
    <row r="941" spans="1:28" ht="15.75" customHeight="1" x14ac:dyDescent="0.2">
      <c r="A941" s="122"/>
      <c r="B941" s="122"/>
      <c r="C941" s="122"/>
      <c r="D941" s="122"/>
      <c r="E941" s="122"/>
      <c r="F941" s="122"/>
      <c r="G941" s="122"/>
      <c r="H941" s="122"/>
      <c r="I941" s="122"/>
      <c r="J941" s="122"/>
      <c r="K941" s="122"/>
      <c r="L941" s="122"/>
      <c r="M941" s="122"/>
      <c r="N941" s="122"/>
      <c r="O941" s="122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  <c r="AA941" s="122"/>
      <c r="AB941" s="122"/>
    </row>
    <row r="942" spans="1:28" ht="15.75" customHeight="1" x14ac:dyDescent="0.2">
      <c r="A942" s="122"/>
      <c r="B942" s="122"/>
      <c r="C942" s="122"/>
      <c r="D942" s="122"/>
      <c r="E942" s="122"/>
      <c r="F942" s="122"/>
      <c r="G942" s="122"/>
      <c r="H942" s="122"/>
      <c r="I942" s="122"/>
      <c r="J942" s="122"/>
      <c r="K942" s="122"/>
      <c r="L942" s="122"/>
      <c r="M942" s="122"/>
      <c r="N942" s="122"/>
      <c r="O942" s="122"/>
      <c r="P942" s="122"/>
      <c r="Q942" s="122"/>
      <c r="R942" s="122"/>
      <c r="S942" s="122"/>
      <c r="T942" s="122"/>
      <c r="U942" s="122"/>
      <c r="V942" s="122"/>
      <c r="W942" s="122"/>
      <c r="X942" s="122"/>
      <c r="Y942" s="122"/>
      <c r="Z942" s="122"/>
      <c r="AA942" s="122"/>
      <c r="AB942" s="122"/>
    </row>
    <row r="943" spans="1:28" ht="15.75" customHeight="1" x14ac:dyDescent="0.2">
      <c r="A943" s="122"/>
      <c r="B943" s="122"/>
      <c r="C943" s="122"/>
      <c r="D943" s="122"/>
      <c r="E943" s="122"/>
      <c r="F943" s="122"/>
      <c r="G943" s="122"/>
      <c r="H943" s="122"/>
      <c r="I943" s="122"/>
      <c r="J943" s="122"/>
      <c r="K943" s="122"/>
      <c r="L943" s="122"/>
      <c r="M943" s="122"/>
      <c r="N943" s="122"/>
      <c r="O943" s="122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  <c r="AA943" s="122"/>
      <c r="AB943" s="122"/>
    </row>
    <row r="944" spans="1:28" ht="15.75" customHeight="1" x14ac:dyDescent="0.2">
      <c r="A944" s="122"/>
      <c r="B944" s="122"/>
      <c r="C944" s="122"/>
      <c r="D944" s="122"/>
      <c r="E944" s="122"/>
      <c r="F944" s="122"/>
      <c r="G944" s="122"/>
      <c r="H944" s="122"/>
      <c r="I944" s="122"/>
      <c r="J944" s="122"/>
      <c r="K944" s="122"/>
      <c r="L944" s="122"/>
      <c r="M944" s="122"/>
      <c r="N944" s="122"/>
      <c r="O944" s="122"/>
      <c r="P944" s="122"/>
      <c r="Q944" s="122"/>
      <c r="R944" s="122"/>
      <c r="S944" s="122"/>
      <c r="T944" s="122"/>
      <c r="U944" s="122"/>
      <c r="V944" s="122"/>
      <c r="W944" s="122"/>
      <c r="X944" s="122"/>
      <c r="Y944" s="122"/>
      <c r="Z944" s="122"/>
      <c r="AA944" s="122"/>
      <c r="AB944" s="122"/>
    </row>
    <row r="945" spans="1:28" ht="15.75" customHeight="1" x14ac:dyDescent="0.2">
      <c r="A945" s="122"/>
      <c r="B945" s="122"/>
      <c r="C945" s="122"/>
      <c r="D945" s="122"/>
      <c r="E945" s="122"/>
      <c r="F945" s="122"/>
      <c r="G945" s="122"/>
      <c r="H945" s="122"/>
      <c r="I945" s="122"/>
      <c r="J945" s="122"/>
      <c r="K945" s="122"/>
      <c r="L945" s="122"/>
      <c r="M945" s="122"/>
      <c r="N945" s="122"/>
      <c r="O945" s="122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  <c r="AA945" s="122"/>
      <c r="AB945" s="122"/>
    </row>
    <row r="946" spans="1:28" ht="15.75" customHeight="1" x14ac:dyDescent="0.2">
      <c r="A946" s="122"/>
      <c r="B946" s="122"/>
      <c r="C946" s="122"/>
      <c r="D946" s="122"/>
      <c r="E946" s="122"/>
      <c r="F946" s="122"/>
      <c r="G946" s="122"/>
      <c r="H946" s="122"/>
      <c r="I946" s="122"/>
      <c r="J946" s="122"/>
      <c r="K946" s="122"/>
      <c r="L946" s="122"/>
      <c r="M946" s="122"/>
      <c r="N946" s="122"/>
      <c r="O946" s="122"/>
      <c r="P946" s="122"/>
      <c r="Q946" s="122"/>
      <c r="R946" s="122"/>
      <c r="S946" s="122"/>
      <c r="T946" s="122"/>
      <c r="U946" s="122"/>
      <c r="V946" s="122"/>
      <c r="W946" s="122"/>
      <c r="X946" s="122"/>
      <c r="Y946" s="122"/>
      <c r="Z946" s="122"/>
      <c r="AA946" s="122"/>
      <c r="AB946" s="122"/>
    </row>
    <row r="947" spans="1:28" ht="15.75" customHeight="1" x14ac:dyDescent="0.2">
      <c r="A947" s="122"/>
      <c r="B947" s="122"/>
      <c r="C947" s="122"/>
      <c r="D947" s="122"/>
      <c r="E947" s="122"/>
      <c r="F947" s="122"/>
      <c r="G947" s="122"/>
      <c r="H947" s="122"/>
      <c r="I947" s="122"/>
      <c r="J947" s="122"/>
      <c r="K947" s="122"/>
      <c r="L947" s="122"/>
      <c r="M947" s="122"/>
      <c r="N947" s="122"/>
      <c r="O947" s="122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  <c r="Z947" s="122"/>
      <c r="AA947" s="122"/>
      <c r="AB947" s="122"/>
    </row>
    <row r="948" spans="1:28" ht="15.75" customHeight="1" x14ac:dyDescent="0.2">
      <c r="A948" s="122"/>
      <c r="B948" s="122"/>
      <c r="C948" s="122"/>
      <c r="D948" s="122"/>
      <c r="E948" s="122"/>
      <c r="F948" s="122"/>
      <c r="G948" s="122"/>
      <c r="H948" s="122"/>
      <c r="I948" s="122"/>
      <c r="J948" s="122"/>
      <c r="K948" s="122"/>
      <c r="L948" s="122"/>
      <c r="M948" s="122"/>
      <c r="N948" s="122"/>
      <c r="O948" s="122"/>
      <c r="P948" s="122"/>
      <c r="Q948" s="122"/>
      <c r="R948" s="122"/>
      <c r="S948" s="122"/>
      <c r="T948" s="122"/>
      <c r="U948" s="122"/>
      <c r="V948" s="122"/>
      <c r="W948" s="122"/>
      <c r="X948" s="122"/>
      <c r="Y948" s="122"/>
      <c r="Z948" s="122"/>
      <c r="AA948" s="122"/>
      <c r="AB948" s="122"/>
    </row>
    <row r="949" spans="1:28" ht="15.75" customHeight="1" x14ac:dyDescent="0.2">
      <c r="A949" s="122"/>
      <c r="B949" s="122"/>
      <c r="C949" s="122"/>
      <c r="D949" s="122"/>
      <c r="E949" s="122"/>
      <c r="F949" s="122"/>
      <c r="G949" s="122"/>
      <c r="H949" s="122"/>
      <c r="I949" s="122"/>
      <c r="J949" s="122"/>
      <c r="K949" s="122"/>
      <c r="L949" s="122"/>
      <c r="M949" s="122"/>
      <c r="N949" s="122"/>
      <c r="O949" s="122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  <c r="Z949" s="122"/>
      <c r="AA949" s="122"/>
      <c r="AB949" s="122"/>
    </row>
    <row r="950" spans="1:28" ht="15.75" customHeight="1" x14ac:dyDescent="0.2">
      <c r="A950" s="122"/>
      <c r="B950" s="122"/>
      <c r="C950" s="122"/>
      <c r="D950" s="122"/>
      <c r="E950" s="122"/>
      <c r="F950" s="122"/>
      <c r="G950" s="122"/>
      <c r="H950" s="122"/>
      <c r="I950" s="122"/>
      <c r="J950" s="122"/>
      <c r="K950" s="122"/>
      <c r="L950" s="122"/>
      <c r="M950" s="122"/>
      <c r="N950" s="122"/>
      <c r="O950" s="122"/>
      <c r="P950" s="122"/>
      <c r="Q950" s="122"/>
      <c r="R950" s="122"/>
      <c r="S950" s="122"/>
      <c r="T950" s="122"/>
      <c r="U950" s="122"/>
      <c r="V950" s="122"/>
      <c r="W950" s="122"/>
      <c r="X950" s="122"/>
      <c r="Y950" s="122"/>
      <c r="Z950" s="122"/>
      <c r="AA950" s="122"/>
      <c r="AB950" s="122"/>
    </row>
    <row r="951" spans="1:28" ht="15.75" customHeight="1" x14ac:dyDescent="0.2">
      <c r="A951" s="122"/>
      <c r="B951" s="122"/>
      <c r="C951" s="122"/>
      <c r="D951" s="122"/>
      <c r="E951" s="122"/>
      <c r="F951" s="122"/>
      <c r="G951" s="122"/>
      <c r="H951" s="122"/>
      <c r="I951" s="122"/>
      <c r="J951" s="122"/>
      <c r="K951" s="122"/>
      <c r="L951" s="122"/>
      <c r="M951" s="122"/>
      <c r="N951" s="122"/>
      <c r="O951" s="122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  <c r="AA951" s="122"/>
      <c r="AB951" s="122"/>
    </row>
    <row r="952" spans="1:28" ht="15.75" customHeight="1" x14ac:dyDescent="0.2">
      <c r="A952" s="122"/>
      <c r="B952" s="122"/>
      <c r="C952" s="122"/>
      <c r="D952" s="122"/>
      <c r="E952" s="122"/>
      <c r="F952" s="122"/>
      <c r="G952" s="122"/>
      <c r="H952" s="122"/>
      <c r="I952" s="122"/>
      <c r="J952" s="122"/>
      <c r="K952" s="122"/>
      <c r="L952" s="122"/>
      <c r="M952" s="122"/>
      <c r="N952" s="122"/>
      <c r="O952" s="122"/>
      <c r="P952" s="122"/>
      <c r="Q952" s="122"/>
      <c r="R952" s="122"/>
      <c r="S952" s="122"/>
      <c r="T952" s="122"/>
      <c r="U952" s="122"/>
      <c r="V952" s="122"/>
      <c r="W952" s="122"/>
      <c r="X952" s="122"/>
      <c r="Y952" s="122"/>
      <c r="Z952" s="122"/>
      <c r="AA952" s="122"/>
      <c r="AB952" s="122"/>
    </row>
    <row r="953" spans="1:28" ht="15.75" customHeight="1" x14ac:dyDescent="0.2">
      <c r="A953" s="122"/>
      <c r="B953" s="122"/>
      <c r="C953" s="122"/>
      <c r="D953" s="122"/>
      <c r="E953" s="122"/>
      <c r="F953" s="122"/>
      <c r="G953" s="122"/>
      <c r="H953" s="122"/>
      <c r="I953" s="122"/>
      <c r="J953" s="122"/>
      <c r="K953" s="122"/>
      <c r="L953" s="122"/>
      <c r="M953" s="122"/>
      <c r="N953" s="122"/>
      <c r="O953" s="122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  <c r="AA953" s="122"/>
      <c r="AB953" s="122"/>
    </row>
    <row r="954" spans="1:28" ht="15.75" customHeight="1" x14ac:dyDescent="0.2">
      <c r="A954" s="122"/>
      <c r="B954" s="122"/>
      <c r="C954" s="122"/>
      <c r="D954" s="122"/>
      <c r="E954" s="122"/>
      <c r="F954" s="122"/>
      <c r="G954" s="122"/>
      <c r="H954" s="122"/>
      <c r="I954" s="122"/>
      <c r="J954" s="122"/>
      <c r="K954" s="122"/>
      <c r="L954" s="122"/>
      <c r="M954" s="122"/>
      <c r="N954" s="122"/>
      <c r="O954" s="122"/>
      <c r="P954" s="122"/>
      <c r="Q954" s="122"/>
      <c r="R954" s="122"/>
      <c r="S954" s="122"/>
      <c r="T954" s="122"/>
      <c r="U954" s="122"/>
      <c r="V954" s="122"/>
      <c r="W954" s="122"/>
      <c r="X954" s="122"/>
      <c r="Y954" s="122"/>
      <c r="Z954" s="122"/>
      <c r="AA954" s="122"/>
      <c r="AB954" s="122"/>
    </row>
    <row r="955" spans="1:28" ht="15.75" customHeight="1" x14ac:dyDescent="0.2">
      <c r="A955" s="122"/>
      <c r="B955" s="122"/>
      <c r="C955" s="122"/>
      <c r="D955" s="122"/>
      <c r="E955" s="122"/>
      <c r="F955" s="122"/>
      <c r="G955" s="122"/>
      <c r="H955" s="122"/>
      <c r="I955" s="122"/>
      <c r="J955" s="122"/>
      <c r="K955" s="122"/>
      <c r="L955" s="122"/>
      <c r="M955" s="122"/>
      <c r="N955" s="122"/>
      <c r="O955" s="122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  <c r="AA955" s="122"/>
      <c r="AB955" s="122"/>
    </row>
    <row r="956" spans="1:28" ht="15.75" customHeight="1" x14ac:dyDescent="0.2">
      <c r="A956" s="122"/>
      <c r="B956" s="122"/>
      <c r="C956" s="122"/>
      <c r="D956" s="122"/>
      <c r="E956" s="122"/>
      <c r="F956" s="122"/>
      <c r="G956" s="122"/>
      <c r="H956" s="122"/>
      <c r="I956" s="122"/>
      <c r="J956" s="122"/>
      <c r="K956" s="122"/>
      <c r="L956" s="122"/>
      <c r="M956" s="122"/>
      <c r="N956" s="122"/>
      <c r="O956" s="122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  <c r="Z956" s="122"/>
      <c r="AA956" s="122"/>
      <c r="AB956" s="122"/>
    </row>
    <row r="957" spans="1:28" ht="15.75" customHeight="1" x14ac:dyDescent="0.2">
      <c r="A957" s="122"/>
      <c r="B957" s="122"/>
      <c r="C957" s="122"/>
      <c r="D957" s="122"/>
      <c r="E957" s="122"/>
      <c r="F957" s="122"/>
      <c r="G957" s="122"/>
      <c r="H957" s="122"/>
      <c r="I957" s="122"/>
      <c r="J957" s="122"/>
      <c r="K957" s="122"/>
      <c r="L957" s="122"/>
      <c r="M957" s="122"/>
      <c r="N957" s="122"/>
      <c r="O957" s="122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  <c r="AA957" s="122"/>
      <c r="AB957" s="122"/>
    </row>
    <row r="958" spans="1:28" ht="15.75" customHeight="1" x14ac:dyDescent="0.2">
      <c r="A958" s="122"/>
      <c r="B958" s="122"/>
      <c r="C958" s="122"/>
      <c r="D958" s="122"/>
      <c r="E958" s="122"/>
      <c r="F958" s="122"/>
      <c r="G958" s="122"/>
      <c r="H958" s="122"/>
      <c r="I958" s="122"/>
      <c r="J958" s="122"/>
      <c r="K958" s="122"/>
      <c r="L958" s="122"/>
      <c r="M958" s="122"/>
      <c r="N958" s="122"/>
      <c r="O958" s="122"/>
      <c r="P958" s="122"/>
      <c r="Q958" s="122"/>
      <c r="R958" s="122"/>
      <c r="S958" s="122"/>
      <c r="T958" s="122"/>
      <c r="U958" s="122"/>
      <c r="V958" s="122"/>
      <c r="W958" s="122"/>
      <c r="X958" s="122"/>
      <c r="Y958" s="122"/>
      <c r="Z958" s="122"/>
      <c r="AA958" s="122"/>
      <c r="AB958" s="122"/>
    </row>
    <row r="959" spans="1:28" ht="15.75" customHeight="1" x14ac:dyDescent="0.2">
      <c r="A959" s="122"/>
      <c r="B959" s="122"/>
      <c r="C959" s="122"/>
      <c r="D959" s="122"/>
      <c r="E959" s="122"/>
      <c r="F959" s="122"/>
      <c r="G959" s="122"/>
      <c r="H959" s="122"/>
      <c r="I959" s="122"/>
      <c r="J959" s="122"/>
      <c r="K959" s="122"/>
      <c r="L959" s="122"/>
      <c r="M959" s="122"/>
      <c r="N959" s="122"/>
      <c r="O959" s="122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  <c r="AA959" s="122"/>
      <c r="AB959" s="122"/>
    </row>
    <row r="960" spans="1:28" ht="15.75" customHeight="1" x14ac:dyDescent="0.2">
      <c r="A960" s="122"/>
      <c r="B960" s="122"/>
      <c r="C960" s="122"/>
      <c r="D960" s="122"/>
      <c r="E960" s="122"/>
      <c r="F960" s="122"/>
      <c r="G960" s="122"/>
      <c r="H960" s="122"/>
      <c r="I960" s="122"/>
      <c r="J960" s="122"/>
      <c r="K960" s="122"/>
      <c r="L960" s="122"/>
      <c r="M960" s="122"/>
      <c r="N960" s="122"/>
      <c r="O960" s="122"/>
      <c r="P960" s="122"/>
      <c r="Q960" s="122"/>
      <c r="R960" s="122"/>
      <c r="S960" s="122"/>
      <c r="T960" s="122"/>
      <c r="U960" s="122"/>
      <c r="V960" s="122"/>
      <c r="W960" s="122"/>
      <c r="X960" s="122"/>
      <c r="Y960" s="122"/>
      <c r="Z960" s="122"/>
      <c r="AA960" s="122"/>
      <c r="AB960" s="122"/>
    </row>
    <row r="961" spans="1:28" ht="15.75" customHeight="1" x14ac:dyDescent="0.2">
      <c r="A961" s="122"/>
      <c r="B961" s="122"/>
      <c r="C961" s="122"/>
      <c r="D961" s="122"/>
      <c r="E961" s="122"/>
      <c r="F961" s="122"/>
      <c r="G961" s="122"/>
      <c r="H961" s="122"/>
      <c r="I961" s="122"/>
      <c r="J961" s="122"/>
      <c r="K961" s="122"/>
      <c r="L961" s="122"/>
      <c r="M961" s="122"/>
      <c r="N961" s="122"/>
      <c r="O961" s="122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  <c r="Z961" s="122"/>
      <c r="AA961" s="122"/>
      <c r="AB961" s="122"/>
    </row>
    <row r="962" spans="1:28" ht="15.75" customHeight="1" x14ac:dyDescent="0.2">
      <c r="A962" s="122"/>
      <c r="B962" s="122"/>
      <c r="C962" s="122"/>
      <c r="D962" s="122"/>
      <c r="E962" s="122"/>
      <c r="F962" s="122"/>
      <c r="G962" s="122"/>
      <c r="H962" s="122"/>
      <c r="I962" s="122"/>
      <c r="J962" s="122"/>
      <c r="K962" s="122"/>
      <c r="L962" s="122"/>
      <c r="M962" s="122"/>
      <c r="N962" s="122"/>
      <c r="O962" s="122"/>
      <c r="P962" s="122"/>
      <c r="Q962" s="122"/>
      <c r="R962" s="122"/>
      <c r="S962" s="122"/>
      <c r="T962" s="122"/>
      <c r="U962" s="122"/>
      <c r="V962" s="122"/>
      <c r="W962" s="122"/>
      <c r="X962" s="122"/>
      <c r="Y962" s="122"/>
      <c r="Z962" s="122"/>
      <c r="AA962" s="122"/>
      <c r="AB962" s="122"/>
    </row>
    <row r="963" spans="1:28" ht="15.75" customHeight="1" x14ac:dyDescent="0.2">
      <c r="A963" s="122"/>
      <c r="B963" s="122"/>
      <c r="C963" s="122"/>
      <c r="D963" s="122"/>
      <c r="E963" s="122"/>
      <c r="F963" s="122"/>
      <c r="G963" s="122"/>
      <c r="H963" s="122"/>
      <c r="I963" s="122"/>
      <c r="J963" s="122"/>
      <c r="K963" s="122"/>
      <c r="L963" s="122"/>
      <c r="M963" s="122"/>
      <c r="N963" s="122"/>
      <c r="O963" s="122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  <c r="Z963" s="122"/>
      <c r="AA963" s="122"/>
      <c r="AB963" s="122"/>
    </row>
    <row r="964" spans="1:28" ht="15.75" customHeight="1" x14ac:dyDescent="0.2">
      <c r="A964" s="122"/>
      <c r="B964" s="122"/>
      <c r="C964" s="122"/>
      <c r="D964" s="122"/>
      <c r="E964" s="122"/>
      <c r="F964" s="122"/>
      <c r="G964" s="122"/>
      <c r="H964" s="122"/>
      <c r="I964" s="122"/>
      <c r="J964" s="122"/>
      <c r="K964" s="122"/>
      <c r="L964" s="122"/>
      <c r="M964" s="122"/>
      <c r="N964" s="122"/>
      <c r="O964" s="122"/>
      <c r="P964" s="122"/>
      <c r="Q964" s="122"/>
      <c r="R964" s="122"/>
      <c r="S964" s="122"/>
      <c r="T964" s="122"/>
      <c r="U964" s="122"/>
      <c r="V964" s="122"/>
      <c r="W964" s="122"/>
      <c r="X964" s="122"/>
      <c r="Y964" s="122"/>
      <c r="Z964" s="122"/>
      <c r="AA964" s="122"/>
      <c r="AB964" s="122"/>
    </row>
    <row r="965" spans="1:28" ht="15.75" customHeight="1" x14ac:dyDescent="0.2">
      <c r="A965" s="122"/>
      <c r="B965" s="122"/>
      <c r="C965" s="122"/>
      <c r="D965" s="122"/>
      <c r="E965" s="122"/>
      <c r="F965" s="122"/>
      <c r="G965" s="122"/>
      <c r="H965" s="122"/>
      <c r="I965" s="122"/>
      <c r="J965" s="122"/>
      <c r="K965" s="122"/>
      <c r="L965" s="122"/>
      <c r="M965" s="122"/>
      <c r="N965" s="122"/>
      <c r="O965" s="122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  <c r="Z965" s="122"/>
      <c r="AA965" s="122"/>
      <c r="AB965" s="122"/>
    </row>
    <row r="966" spans="1:28" ht="15.75" customHeight="1" x14ac:dyDescent="0.2">
      <c r="A966" s="122"/>
      <c r="B966" s="122"/>
      <c r="C966" s="122"/>
      <c r="D966" s="122"/>
      <c r="E966" s="122"/>
      <c r="F966" s="122"/>
      <c r="G966" s="122"/>
      <c r="H966" s="122"/>
      <c r="I966" s="122"/>
      <c r="J966" s="122"/>
      <c r="K966" s="122"/>
      <c r="L966" s="122"/>
      <c r="M966" s="122"/>
      <c r="N966" s="122"/>
      <c r="O966" s="122"/>
      <c r="P966" s="122"/>
      <c r="Q966" s="122"/>
      <c r="R966" s="122"/>
      <c r="S966" s="122"/>
      <c r="T966" s="122"/>
      <c r="U966" s="122"/>
      <c r="V966" s="122"/>
      <c r="W966" s="122"/>
      <c r="X966" s="122"/>
      <c r="Y966" s="122"/>
      <c r="Z966" s="122"/>
      <c r="AA966" s="122"/>
      <c r="AB966" s="122"/>
    </row>
    <row r="967" spans="1:28" ht="15.75" customHeight="1" x14ac:dyDescent="0.2">
      <c r="A967" s="122"/>
      <c r="B967" s="122"/>
      <c r="C967" s="122"/>
      <c r="D967" s="122"/>
      <c r="E967" s="122"/>
      <c r="F967" s="122"/>
      <c r="G967" s="122"/>
      <c r="H967" s="122"/>
      <c r="I967" s="122"/>
      <c r="J967" s="122"/>
      <c r="K967" s="122"/>
      <c r="L967" s="122"/>
      <c r="M967" s="122"/>
      <c r="N967" s="122"/>
      <c r="O967" s="122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  <c r="Z967" s="122"/>
      <c r="AA967" s="122"/>
      <c r="AB967" s="122"/>
    </row>
    <row r="968" spans="1:28" ht="15.75" customHeight="1" x14ac:dyDescent="0.2">
      <c r="A968" s="122"/>
      <c r="B968" s="122"/>
      <c r="C968" s="122"/>
      <c r="D968" s="122"/>
      <c r="E968" s="122"/>
      <c r="F968" s="122"/>
      <c r="G968" s="122"/>
      <c r="H968" s="122"/>
      <c r="I968" s="122"/>
      <c r="J968" s="122"/>
      <c r="K968" s="122"/>
      <c r="L968" s="122"/>
      <c r="M968" s="122"/>
      <c r="N968" s="122"/>
      <c r="O968" s="122"/>
      <c r="P968" s="122"/>
      <c r="Q968" s="122"/>
      <c r="R968" s="122"/>
      <c r="S968" s="122"/>
      <c r="T968" s="122"/>
      <c r="U968" s="122"/>
      <c r="V968" s="122"/>
      <c r="W968" s="122"/>
      <c r="X968" s="122"/>
      <c r="Y968" s="122"/>
      <c r="Z968" s="122"/>
      <c r="AA968" s="122"/>
      <c r="AB968" s="122"/>
    </row>
    <row r="969" spans="1:28" ht="15.75" customHeight="1" x14ac:dyDescent="0.2">
      <c r="A969" s="122"/>
      <c r="B969" s="122"/>
      <c r="C969" s="122"/>
      <c r="D969" s="122"/>
      <c r="E969" s="122"/>
      <c r="F969" s="122"/>
      <c r="G969" s="122"/>
      <c r="H969" s="122"/>
      <c r="I969" s="122"/>
      <c r="J969" s="122"/>
      <c r="K969" s="122"/>
      <c r="L969" s="122"/>
      <c r="M969" s="122"/>
      <c r="N969" s="122"/>
      <c r="O969" s="122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  <c r="Z969" s="122"/>
      <c r="AA969" s="122"/>
      <c r="AB969" s="122"/>
    </row>
    <row r="970" spans="1:28" ht="15.75" customHeight="1" x14ac:dyDescent="0.2">
      <c r="A970" s="122"/>
      <c r="B970" s="122"/>
      <c r="C970" s="122"/>
      <c r="D970" s="122"/>
      <c r="E970" s="122"/>
      <c r="F970" s="122"/>
      <c r="G970" s="122"/>
      <c r="H970" s="122"/>
      <c r="I970" s="122"/>
      <c r="J970" s="122"/>
      <c r="K970" s="122"/>
      <c r="L970" s="122"/>
      <c r="M970" s="122"/>
      <c r="N970" s="122"/>
      <c r="O970" s="122"/>
      <c r="P970" s="122"/>
      <c r="Q970" s="122"/>
      <c r="R970" s="122"/>
      <c r="S970" s="122"/>
      <c r="T970" s="122"/>
      <c r="U970" s="122"/>
      <c r="V970" s="122"/>
      <c r="W970" s="122"/>
      <c r="X970" s="122"/>
      <c r="Y970" s="122"/>
      <c r="Z970" s="122"/>
      <c r="AA970" s="122"/>
      <c r="AB970" s="122"/>
    </row>
    <row r="971" spans="1:28" ht="15.75" customHeight="1" x14ac:dyDescent="0.2">
      <c r="A971" s="122"/>
      <c r="B971" s="122"/>
      <c r="C971" s="122"/>
      <c r="D971" s="122"/>
      <c r="E971" s="122"/>
      <c r="F971" s="122"/>
      <c r="G971" s="122"/>
      <c r="H971" s="122"/>
      <c r="I971" s="122"/>
      <c r="J971" s="122"/>
      <c r="K971" s="122"/>
      <c r="L971" s="122"/>
      <c r="M971" s="122"/>
      <c r="N971" s="122"/>
      <c r="O971" s="122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  <c r="Z971" s="122"/>
      <c r="AA971" s="122"/>
      <c r="AB971" s="122"/>
    </row>
    <row r="972" spans="1:28" ht="15.75" customHeight="1" x14ac:dyDescent="0.2">
      <c r="A972" s="122"/>
      <c r="B972" s="122"/>
      <c r="C972" s="122"/>
      <c r="D972" s="122"/>
      <c r="E972" s="122"/>
      <c r="F972" s="122"/>
      <c r="G972" s="122"/>
      <c r="H972" s="122"/>
      <c r="I972" s="122"/>
      <c r="J972" s="122"/>
      <c r="K972" s="122"/>
      <c r="L972" s="122"/>
      <c r="M972" s="122"/>
      <c r="N972" s="122"/>
      <c r="O972" s="122"/>
      <c r="P972" s="122"/>
      <c r="Q972" s="122"/>
      <c r="R972" s="122"/>
      <c r="S972" s="122"/>
      <c r="T972" s="122"/>
      <c r="U972" s="122"/>
      <c r="V972" s="122"/>
      <c r="W972" s="122"/>
      <c r="X972" s="122"/>
      <c r="Y972" s="122"/>
      <c r="Z972" s="122"/>
      <c r="AA972" s="122"/>
      <c r="AB972" s="122"/>
    </row>
    <row r="973" spans="1:28" ht="15.75" customHeight="1" x14ac:dyDescent="0.2">
      <c r="A973" s="122"/>
      <c r="B973" s="122"/>
      <c r="C973" s="122"/>
      <c r="D973" s="122"/>
      <c r="E973" s="122"/>
      <c r="F973" s="122"/>
      <c r="G973" s="122"/>
      <c r="H973" s="122"/>
      <c r="I973" s="122"/>
      <c r="J973" s="122"/>
      <c r="K973" s="122"/>
      <c r="L973" s="122"/>
      <c r="M973" s="122"/>
      <c r="N973" s="122"/>
      <c r="O973" s="122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  <c r="Z973" s="122"/>
      <c r="AA973" s="122"/>
      <c r="AB973" s="122"/>
    </row>
    <row r="974" spans="1:28" ht="15.75" customHeight="1" x14ac:dyDescent="0.2">
      <c r="A974" s="122"/>
      <c r="B974" s="122"/>
      <c r="C974" s="122"/>
      <c r="D974" s="122"/>
      <c r="E974" s="122"/>
      <c r="F974" s="122"/>
      <c r="G974" s="122"/>
      <c r="H974" s="122"/>
      <c r="I974" s="122"/>
      <c r="J974" s="122"/>
      <c r="K974" s="122"/>
      <c r="L974" s="122"/>
      <c r="M974" s="122"/>
      <c r="N974" s="122"/>
      <c r="O974" s="122"/>
      <c r="P974" s="122"/>
      <c r="Q974" s="122"/>
      <c r="R974" s="122"/>
      <c r="S974" s="122"/>
      <c r="T974" s="122"/>
      <c r="U974" s="122"/>
      <c r="V974" s="122"/>
      <c r="W974" s="122"/>
      <c r="X974" s="122"/>
      <c r="Y974" s="122"/>
      <c r="Z974" s="122"/>
      <c r="AA974" s="122"/>
      <c r="AB974" s="122"/>
    </row>
    <row r="975" spans="1:28" ht="15.75" customHeight="1" x14ac:dyDescent="0.2">
      <c r="A975" s="122"/>
      <c r="B975" s="122"/>
      <c r="C975" s="122"/>
      <c r="D975" s="122"/>
      <c r="E975" s="122"/>
      <c r="F975" s="122"/>
      <c r="G975" s="122"/>
      <c r="H975" s="122"/>
      <c r="I975" s="122"/>
      <c r="J975" s="122"/>
      <c r="K975" s="122"/>
      <c r="L975" s="122"/>
      <c r="M975" s="122"/>
      <c r="N975" s="122"/>
      <c r="O975" s="122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  <c r="Z975" s="122"/>
      <c r="AA975" s="122"/>
      <c r="AB975" s="122"/>
    </row>
    <row r="976" spans="1:28" ht="15.75" customHeight="1" x14ac:dyDescent="0.2">
      <c r="A976" s="122"/>
      <c r="B976" s="122"/>
      <c r="C976" s="122"/>
      <c r="D976" s="122"/>
      <c r="E976" s="122"/>
      <c r="F976" s="122"/>
      <c r="G976" s="122"/>
      <c r="H976" s="122"/>
      <c r="I976" s="122"/>
      <c r="J976" s="122"/>
      <c r="K976" s="122"/>
      <c r="L976" s="122"/>
      <c r="M976" s="122"/>
      <c r="N976" s="122"/>
      <c r="O976" s="122"/>
      <c r="P976" s="122"/>
      <c r="Q976" s="122"/>
      <c r="R976" s="122"/>
      <c r="S976" s="122"/>
      <c r="T976" s="122"/>
      <c r="U976" s="122"/>
      <c r="V976" s="122"/>
      <c r="W976" s="122"/>
      <c r="X976" s="122"/>
      <c r="Y976" s="122"/>
      <c r="Z976" s="122"/>
      <c r="AA976" s="122"/>
      <c r="AB976" s="122"/>
    </row>
    <row r="977" spans="1:28" ht="15.75" customHeight="1" x14ac:dyDescent="0.2">
      <c r="A977" s="122"/>
      <c r="B977" s="122"/>
      <c r="C977" s="122"/>
      <c r="D977" s="122"/>
      <c r="E977" s="122"/>
      <c r="F977" s="122"/>
      <c r="G977" s="122"/>
      <c r="H977" s="122"/>
      <c r="I977" s="122"/>
      <c r="J977" s="122"/>
      <c r="K977" s="122"/>
      <c r="L977" s="122"/>
      <c r="M977" s="122"/>
      <c r="N977" s="122"/>
      <c r="O977" s="122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  <c r="Z977" s="122"/>
      <c r="AA977" s="122"/>
      <c r="AB977" s="122"/>
    </row>
    <row r="978" spans="1:28" ht="15.75" customHeight="1" x14ac:dyDescent="0.2">
      <c r="A978" s="122"/>
      <c r="B978" s="122"/>
      <c r="C978" s="122"/>
      <c r="D978" s="122"/>
      <c r="E978" s="122"/>
      <c r="F978" s="122"/>
      <c r="G978" s="122"/>
      <c r="H978" s="122"/>
      <c r="I978" s="122"/>
      <c r="J978" s="122"/>
      <c r="K978" s="122"/>
      <c r="L978" s="122"/>
      <c r="M978" s="122"/>
      <c r="N978" s="122"/>
      <c r="O978" s="122"/>
      <c r="P978" s="122"/>
      <c r="Q978" s="122"/>
      <c r="R978" s="122"/>
      <c r="S978" s="122"/>
      <c r="T978" s="122"/>
      <c r="U978" s="122"/>
      <c r="V978" s="122"/>
      <c r="W978" s="122"/>
      <c r="X978" s="122"/>
      <c r="Y978" s="122"/>
      <c r="Z978" s="122"/>
      <c r="AA978" s="122"/>
      <c r="AB978" s="122"/>
    </row>
    <row r="979" spans="1:28" ht="15.75" customHeight="1" x14ac:dyDescent="0.2">
      <c r="A979" s="122"/>
      <c r="B979" s="122"/>
      <c r="C979" s="122"/>
      <c r="D979" s="122"/>
      <c r="E979" s="122"/>
      <c r="F979" s="122"/>
      <c r="G979" s="122"/>
      <c r="H979" s="122"/>
      <c r="I979" s="122"/>
      <c r="J979" s="122"/>
      <c r="K979" s="122"/>
      <c r="L979" s="122"/>
      <c r="M979" s="122"/>
      <c r="N979" s="122"/>
      <c r="O979" s="122"/>
      <c r="P979" s="122"/>
      <c r="Q979" s="122"/>
      <c r="R979" s="122"/>
      <c r="S979" s="122"/>
      <c r="T979" s="122"/>
      <c r="U979" s="122"/>
      <c r="V979" s="122"/>
      <c r="W979" s="122"/>
      <c r="X979" s="122"/>
      <c r="Y979" s="122"/>
      <c r="Z979" s="122"/>
      <c r="AA979" s="122"/>
      <c r="AB979" s="122"/>
    </row>
    <row r="980" spans="1:28" ht="15.75" customHeight="1" x14ac:dyDescent="0.2">
      <c r="A980" s="122"/>
      <c r="B980" s="122"/>
      <c r="C980" s="122"/>
      <c r="D980" s="122"/>
      <c r="E980" s="122"/>
      <c r="F980" s="122"/>
      <c r="G980" s="122"/>
      <c r="H980" s="122"/>
      <c r="I980" s="122"/>
      <c r="J980" s="122"/>
      <c r="K980" s="122"/>
      <c r="L980" s="122"/>
      <c r="M980" s="122"/>
      <c r="N980" s="122"/>
      <c r="O980" s="122"/>
      <c r="P980" s="122"/>
      <c r="Q980" s="122"/>
      <c r="R980" s="122"/>
      <c r="S980" s="122"/>
      <c r="T980" s="122"/>
      <c r="U980" s="122"/>
      <c r="V980" s="122"/>
      <c r="W980" s="122"/>
      <c r="X980" s="122"/>
      <c r="Y980" s="122"/>
      <c r="Z980" s="122"/>
      <c r="AA980" s="122"/>
      <c r="AB980" s="122"/>
    </row>
    <row r="981" spans="1:28" ht="15.75" customHeight="1" x14ac:dyDescent="0.2">
      <c r="A981" s="122"/>
      <c r="B981" s="122"/>
      <c r="C981" s="122"/>
      <c r="D981" s="122"/>
      <c r="E981" s="122"/>
      <c r="F981" s="122"/>
      <c r="G981" s="122"/>
      <c r="H981" s="122"/>
      <c r="I981" s="122"/>
      <c r="J981" s="122"/>
      <c r="K981" s="122"/>
      <c r="L981" s="122"/>
      <c r="M981" s="122"/>
      <c r="N981" s="122"/>
      <c r="O981" s="122"/>
      <c r="P981" s="122"/>
      <c r="Q981" s="122"/>
      <c r="R981" s="122"/>
      <c r="S981" s="122"/>
      <c r="T981" s="122"/>
      <c r="U981" s="122"/>
      <c r="V981" s="122"/>
      <c r="W981" s="122"/>
      <c r="X981" s="122"/>
      <c r="Y981" s="122"/>
      <c r="Z981" s="122"/>
      <c r="AA981" s="122"/>
      <c r="AB981" s="122"/>
    </row>
    <row r="982" spans="1:28" ht="15.75" customHeight="1" x14ac:dyDescent="0.2">
      <c r="A982" s="122"/>
      <c r="B982" s="122"/>
      <c r="C982" s="122"/>
      <c r="D982" s="122"/>
      <c r="E982" s="122"/>
      <c r="F982" s="122"/>
      <c r="G982" s="122"/>
      <c r="H982" s="122"/>
      <c r="I982" s="122"/>
      <c r="J982" s="122"/>
      <c r="K982" s="122"/>
      <c r="L982" s="122"/>
      <c r="M982" s="122"/>
      <c r="N982" s="122"/>
      <c r="O982" s="122"/>
      <c r="P982" s="122"/>
      <c r="Q982" s="122"/>
      <c r="R982" s="122"/>
      <c r="S982" s="122"/>
      <c r="T982" s="122"/>
      <c r="U982" s="122"/>
      <c r="V982" s="122"/>
      <c r="W982" s="122"/>
      <c r="X982" s="122"/>
      <c r="Y982" s="122"/>
      <c r="Z982" s="122"/>
      <c r="AA982" s="122"/>
      <c r="AB982" s="122"/>
    </row>
    <row r="983" spans="1:28" ht="15.75" customHeight="1" x14ac:dyDescent="0.2">
      <c r="A983" s="122"/>
      <c r="B983" s="122"/>
      <c r="C983" s="122"/>
      <c r="D983" s="122"/>
      <c r="E983" s="122"/>
      <c r="F983" s="122"/>
      <c r="G983" s="122"/>
      <c r="H983" s="122"/>
      <c r="I983" s="122"/>
      <c r="J983" s="122"/>
      <c r="K983" s="122"/>
      <c r="L983" s="122"/>
      <c r="M983" s="122"/>
      <c r="N983" s="122"/>
      <c r="O983" s="122"/>
      <c r="P983" s="122"/>
      <c r="Q983" s="122"/>
      <c r="R983" s="122"/>
      <c r="S983" s="122"/>
      <c r="T983" s="122"/>
      <c r="U983" s="122"/>
      <c r="V983" s="122"/>
      <c r="W983" s="122"/>
      <c r="X983" s="122"/>
      <c r="Y983" s="122"/>
      <c r="Z983" s="122"/>
      <c r="AA983" s="122"/>
      <c r="AB983" s="122"/>
    </row>
    <row r="984" spans="1:28" ht="15.75" customHeight="1" x14ac:dyDescent="0.2">
      <c r="A984" s="122"/>
      <c r="B984" s="122"/>
      <c r="C984" s="122"/>
      <c r="D984" s="122"/>
      <c r="E984" s="122"/>
      <c r="F984" s="122"/>
      <c r="G984" s="122"/>
      <c r="H984" s="122"/>
      <c r="I984" s="122"/>
      <c r="J984" s="122"/>
      <c r="K984" s="122"/>
      <c r="L984" s="122"/>
      <c r="M984" s="122"/>
      <c r="N984" s="122"/>
      <c r="O984" s="122"/>
      <c r="P984" s="122"/>
      <c r="Q984" s="122"/>
      <c r="R984" s="122"/>
      <c r="S984" s="122"/>
      <c r="T984" s="122"/>
      <c r="U984" s="122"/>
      <c r="V984" s="122"/>
      <c r="W984" s="122"/>
      <c r="X984" s="122"/>
      <c r="Y984" s="122"/>
      <c r="Z984" s="122"/>
      <c r="AA984" s="122"/>
      <c r="AB984" s="122"/>
    </row>
    <row r="985" spans="1:28" ht="15.75" customHeight="1" x14ac:dyDescent="0.2">
      <c r="A985" s="122"/>
      <c r="B985" s="122"/>
      <c r="C985" s="122"/>
      <c r="D985" s="122"/>
      <c r="E985" s="122"/>
      <c r="F985" s="122"/>
      <c r="G985" s="122"/>
      <c r="H985" s="122"/>
      <c r="I985" s="122"/>
      <c r="J985" s="122"/>
      <c r="K985" s="122"/>
      <c r="L985" s="122"/>
      <c r="M985" s="122"/>
      <c r="N985" s="122"/>
      <c r="O985" s="122"/>
      <c r="P985" s="122"/>
      <c r="Q985" s="122"/>
      <c r="R985" s="122"/>
      <c r="S985" s="122"/>
      <c r="T985" s="122"/>
      <c r="U985" s="122"/>
      <c r="V985" s="122"/>
      <c r="W985" s="122"/>
      <c r="X985" s="122"/>
      <c r="Y985" s="122"/>
      <c r="Z985" s="122"/>
      <c r="AA985" s="122"/>
      <c r="AB985" s="122"/>
    </row>
    <row r="986" spans="1:28" ht="15.75" customHeight="1" x14ac:dyDescent="0.2">
      <c r="A986" s="122"/>
      <c r="B986" s="122"/>
      <c r="C986" s="122"/>
      <c r="D986" s="122"/>
      <c r="E986" s="122"/>
      <c r="F986" s="122"/>
      <c r="G986" s="122"/>
      <c r="H986" s="122"/>
      <c r="I986" s="122"/>
      <c r="J986" s="122"/>
      <c r="K986" s="122"/>
      <c r="L986" s="122"/>
      <c r="M986" s="122"/>
      <c r="N986" s="122"/>
      <c r="O986" s="122"/>
      <c r="P986" s="122"/>
      <c r="Q986" s="122"/>
      <c r="R986" s="122"/>
      <c r="S986" s="122"/>
      <c r="T986" s="122"/>
      <c r="U986" s="122"/>
      <c r="V986" s="122"/>
      <c r="W986" s="122"/>
      <c r="X986" s="122"/>
      <c r="Y986" s="122"/>
      <c r="Z986" s="122"/>
      <c r="AA986" s="122"/>
      <c r="AB986" s="122"/>
    </row>
    <row r="987" spans="1:28" ht="15.75" customHeight="1" x14ac:dyDescent="0.2">
      <c r="A987" s="122"/>
      <c r="B987" s="122"/>
      <c r="C987" s="122"/>
      <c r="D987" s="122"/>
      <c r="E987" s="122"/>
      <c r="F987" s="122"/>
      <c r="G987" s="122"/>
      <c r="H987" s="122"/>
      <c r="I987" s="122"/>
      <c r="J987" s="122"/>
      <c r="K987" s="122"/>
      <c r="L987" s="122"/>
      <c r="M987" s="122"/>
      <c r="N987" s="122"/>
      <c r="O987" s="122"/>
      <c r="P987" s="122"/>
      <c r="Q987" s="122"/>
      <c r="R987" s="122"/>
      <c r="S987" s="122"/>
      <c r="T987" s="122"/>
      <c r="U987" s="122"/>
      <c r="V987" s="122"/>
      <c r="W987" s="122"/>
      <c r="X987" s="122"/>
      <c r="Y987" s="122"/>
      <c r="Z987" s="122"/>
      <c r="AA987" s="122"/>
      <c r="AB987" s="122"/>
    </row>
    <row r="988" spans="1:28" ht="15.75" customHeight="1" x14ac:dyDescent="0.2">
      <c r="A988" s="122"/>
      <c r="B988" s="122"/>
      <c r="C988" s="122"/>
      <c r="D988" s="122"/>
      <c r="E988" s="122"/>
      <c r="F988" s="122"/>
      <c r="G988" s="122"/>
      <c r="H988" s="122"/>
      <c r="I988" s="122"/>
      <c r="J988" s="122"/>
      <c r="K988" s="122"/>
      <c r="L988" s="122"/>
      <c r="M988" s="122"/>
      <c r="N988" s="122"/>
      <c r="O988" s="122"/>
      <c r="P988" s="122"/>
      <c r="Q988" s="122"/>
      <c r="R988" s="122"/>
      <c r="S988" s="122"/>
      <c r="T988" s="122"/>
      <c r="U988" s="122"/>
      <c r="V988" s="122"/>
      <c r="W988" s="122"/>
      <c r="X988" s="122"/>
      <c r="Y988" s="122"/>
      <c r="Z988" s="122"/>
      <c r="AA988" s="122"/>
      <c r="AB988" s="122"/>
    </row>
    <row r="989" spans="1:28" ht="15.75" customHeight="1" x14ac:dyDescent="0.2">
      <c r="A989" s="122"/>
      <c r="B989" s="122"/>
      <c r="C989" s="122"/>
      <c r="D989" s="122"/>
      <c r="E989" s="122"/>
      <c r="F989" s="122"/>
      <c r="G989" s="122"/>
      <c r="H989" s="122"/>
      <c r="I989" s="122"/>
      <c r="J989" s="122"/>
      <c r="K989" s="122"/>
      <c r="L989" s="122"/>
      <c r="M989" s="122"/>
      <c r="N989" s="122"/>
      <c r="O989" s="122"/>
      <c r="P989" s="122"/>
      <c r="Q989" s="122"/>
      <c r="R989" s="122"/>
      <c r="S989" s="122"/>
      <c r="T989" s="122"/>
      <c r="U989" s="122"/>
      <c r="V989" s="122"/>
      <c r="W989" s="122"/>
      <c r="X989" s="122"/>
      <c r="Y989" s="122"/>
      <c r="Z989" s="122"/>
      <c r="AA989" s="122"/>
      <c r="AB989" s="122"/>
    </row>
    <row r="990" spans="1:28" ht="15.75" customHeight="1" x14ac:dyDescent="0.2">
      <c r="A990" s="122"/>
      <c r="B990" s="122"/>
      <c r="C990" s="122"/>
      <c r="D990" s="122"/>
      <c r="E990" s="122"/>
      <c r="F990" s="122"/>
      <c r="G990" s="122"/>
      <c r="H990" s="122"/>
      <c r="I990" s="122"/>
      <c r="J990" s="122"/>
      <c r="K990" s="122"/>
      <c r="L990" s="122"/>
      <c r="M990" s="122"/>
      <c r="N990" s="122"/>
      <c r="O990" s="122"/>
      <c r="P990" s="122"/>
      <c r="Q990" s="122"/>
      <c r="R990" s="122"/>
      <c r="S990" s="122"/>
      <c r="T990" s="122"/>
      <c r="U990" s="122"/>
      <c r="V990" s="122"/>
      <c r="W990" s="122"/>
      <c r="X990" s="122"/>
      <c r="Y990" s="122"/>
      <c r="Z990" s="122"/>
      <c r="AA990" s="122"/>
      <c r="AB990" s="122"/>
    </row>
    <row r="991" spans="1:28" ht="15.75" customHeight="1" x14ac:dyDescent="0.2">
      <c r="A991" s="122"/>
      <c r="B991" s="122"/>
      <c r="C991" s="122"/>
      <c r="D991" s="122"/>
      <c r="E991" s="122"/>
      <c r="F991" s="122"/>
      <c r="G991" s="122"/>
      <c r="H991" s="122"/>
      <c r="I991" s="122"/>
      <c r="J991" s="122"/>
      <c r="K991" s="122"/>
      <c r="L991" s="122"/>
      <c r="M991" s="122"/>
      <c r="N991" s="122"/>
      <c r="O991" s="122"/>
      <c r="P991" s="122"/>
      <c r="Q991" s="122"/>
      <c r="R991" s="122"/>
      <c r="S991" s="122"/>
      <c r="T991" s="122"/>
      <c r="U991" s="122"/>
      <c r="V991" s="122"/>
      <c r="W991" s="122"/>
      <c r="X991" s="122"/>
      <c r="Y991" s="122"/>
      <c r="Z991" s="122"/>
      <c r="AA991" s="122"/>
      <c r="AB991" s="122"/>
    </row>
    <row r="992" spans="1:28" ht="15.75" customHeight="1" x14ac:dyDescent="0.2">
      <c r="A992" s="122"/>
      <c r="B992" s="122"/>
      <c r="C992" s="122"/>
      <c r="D992" s="122"/>
      <c r="E992" s="122"/>
      <c r="F992" s="122"/>
      <c r="G992" s="122"/>
      <c r="H992" s="122"/>
      <c r="I992" s="122"/>
      <c r="J992" s="122"/>
      <c r="K992" s="122"/>
      <c r="L992" s="122"/>
      <c r="M992" s="122"/>
      <c r="N992" s="122"/>
      <c r="O992" s="122"/>
      <c r="P992" s="122"/>
      <c r="Q992" s="122"/>
      <c r="R992" s="122"/>
      <c r="S992" s="122"/>
      <c r="T992" s="122"/>
      <c r="U992" s="122"/>
      <c r="V992" s="122"/>
      <c r="W992" s="122"/>
      <c r="X992" s="122"/>
      <c r="Y992" s="122"/>
      <c r="Z992" s="122"/>
      <c r="AA992" s="122"/>
      <c r="AB992" s="122"/>
    </row>
    <row r="993" spans="1:28" ht="15.75" customHeight="1" x14ac:dyDescent="0.2">
      <c r="A993" s="122"/>
      <c r="B993" s="122"/>
      <c r="C993" s="122"/>
      <c r="D993" s="122"/>
      <c r="E993" s="122"/>
      <c r="F993" s="122"/>
      <c r="G993" s="122"/>
      <c r="H993" s="122"/>
      <c r="I993" s="122"/>
      <c r="J993" s="122"/>
      <c r="K993" s="122"/>
      <c r="L993" s="122"/>
      <c r="M993" s="122"/>
      <c r="N993" s="122"/>
      <c r="O993" s="122"/>
      <c r="P993" s="122"/>
      <c r="Q993" s="122"/>
      <c r="R993" s="122"/>
      <c r="S993" s="122"/>
      <c r="T993" s="122"/>
      <c r="U993" s="122"/>
      <c r="V993" s="122"/>
      <c r="W993" s="122"/>
      <c r="X993" s="122"/>
      <c r="Y993" s="122"/>
      <c r="Z993" s="122"/>
      <c r="AA993" s="122"/>
      <c r="AB993" s="122"/>
    </row>
    <row r="994" spans="1:28" ht="15.75" customHeight="1" x14ac:dyDescent="0.2">
      <c r="A994" s="122"/>
      <c r="B994" s="122"/>
      <c r="C994" s="122"/>
      <c r="D994" s="122"/>
      <c r="E994" s="122"/>
      <c r="F994" s="122"/>
      <c r="G994" s="122"/>
      <c r="H994" s="122"/>
      <c r="I994" s="122"/>
      <c r="J994" s="122"/>
      <c r="K994" s="122"/>
      <c r="L994" s="122"/>
      <c r="M994" s="122"/>
      <c r="N994" s="122"/>
      <c r="O994" s="122"/>
      <c r="P994" s="122"/>
      <c r="Q994" s="122"/>
      <c r="R994" s="122"/>
      <c r="S994" s="122"/>
      <c r="T994" s="122"/>
      <c r="U994" s="122"/>
      <c r="V994" s="122"/>
      <c r="W994" s="122"/>
      <c r="X994" s="122"/>
      <c r="Y994" s="122"/>
      <c r="Z994" s="122"/>
      <c r="AA994" s="122"/>
      <c r="AB994" s="122"/>
    </row>
    <row r="995" spans="1:28" ht="15.75" customHeight="1" x14ac:dyDescent="0.2">
      <c r="A995" s="122"/>
      <c r="B995" s="122"/>
      <c r="C995" s="122"/>
      <c r="D995" s="122"/>
      <c r="E995" s="122"/>
      <c r="F995" s="122"/>
      <c r="G995" s="122"/>
      <c r="H995" s="122"/>
      <c r="I995" s="122"/>
      <c r="J995" s="122"/>
      <c r="K995" s="122"/>
      <c r="L995" s="122"/>
      <c r="M995" s="122"/>
      <c r="N995" s="122"/>
      <c r="O995" s="122"/>
      <c r="P995" s="122"/>
      <c r="Q995" s="122"/>
      <c r="R995" s="122"/>
      <c r="S995" s="122"/>
      <c r="T995" s="122"/>
      <c r="U995" s="122"/>
      <c r="V995" s="122"/>
      <c r="W995" s="122"/>
      <c r="X995" s="122"/>
      <c r="Y995" s="122"/>
      <c r="Z995" s="122"/>
      <c r="AA995" s="122"/>
      <c r="AB995" s="122"/>
    </row>
    <row r="996" spans="1:28" ht="15.75" customHeight="1" x14ac:dyDescent="0.2">
      <c r="A996" s="122"/>
      <c r="B996" s="122"/>
      <c r="C996" s="122"/>
      <c r="D996" s="122"/>
      <c r="E996" s="122"/>
      <c r="F996" s="122"/>
      <c r="G996" s="122"/>
      <c r="H996" s="122"/>
      <c r="I996" s="122"/>
      <c r="J996" s="122"/>
      <c r="K996" s="122"/>
      <c r="L996" s="122"/>
      <c r="M996" s="122"/>
      <c r="N996" s="122"/>
      <c r="O996" s="122"/>
      <c r="P996" s="122"/>
      <c r="Q996" s="122"/>
      <c r="R996" s="122"/>
      <c r="S996" s="122"/>
      <c r="T996" s="122"/>
      <c r="U996" s="122"/>
      <c r="V996" s="122"/>
      <c r="W996" s="122"/>
      <c r="X996" s="122"/>
      <c r="Y996" s="122"/>
      <c r="Z996" s="122"/>
      <c r="AA996" s="122"/>
      <c r="AB996" s="122"/>
    </row>
    <row r="997" spans="1:28" ht="15.75" customHeight="1" x14ac:dyDescent="0.2">
      <c r="A997" s="122"/>
      <c r="B997" s="122"/>
      <c r="C997" s="122"/>
      <c r="D997" s="122"/>
      <c r="E997" s="122"/>
      <c r="F997" s="122"/>
      <c r="G997" s="122"/>
      <c r="H997" s="122"/>
      <c r="I997" s="122"/>
      <c r="J997" s="122"/>
      <c r="K997" s="122"/>
      <c r="L997" s="122"/>
      <c r="M997" s="122"/>
      <c r="N997" s="122"/>
      <c r="O997" s="122"/>
      <c r="P997" s="122"/>
      <c r="Q997" s="122"/>
      <c r="R997" s="122"/>
      <c r="S997" s="122"/>
      <c r="T997" s="122"/>
      <c r="U997" s="122"/>
      <c r="V997" s="122"/>
      <c r="W997" s="122"/>
      <c r="X997" s="122"/>
      <c r="Y997" s="122"/>
      <c r="Z997" s="122"/>
      <c r="AA997" s="122"/>
      <c r="AB997" s="122"/>
    </row>
    <row r="998" spans="1:28" ht="15.75" customHeight="1" x14ac:dyDescent="0.2">
      <c r="A998" s="122"/>
      <c r="B998" s="122"/>
      <c r="C998" s="122"/>
      <c r="D998" s="122"/>
      <c r="E998" s="122"/>
      <c r="F998" s="122"/>
      <c r="G998" s="122"/>
      <c r="H998" s="122"/>
      <c r="I998" s="122"/>
      <c r="J998" s="122"/>
      <c r="K998" s="122"/>
      <c r="L998" s="122"/>
      <c r="M998" s="122"/>
      <c r="N998" s="122"/>
      <c r="O998" s="122"/>
      <c r="P998" s="122"/>
      <c r="Q998" s="122"/>
      <c r="R998" s="122"/>
      <c r="S998" s="122"/>
      <c r="T998" s="122"/>
      <c r="U998" s="122"/>
      <c r="V998" s="122"/>
      <c r="W998" s="122"/>
      <c r="X998" s="122"/>
      <c r="Y998" s="122"/>
      <c r="Z998" s="122"/>
      <c r="AA998" s="122"/>
      <c r="AB998" s="122"/>
    </row>
    <row r="999" spans="1:28" ht="15.75" customHeight="1" x14ac:dyDescent="0.2">
      <c r="A999" s="122"/>
      <c r="B999" s="122"/>
      <c r="C999" s="122"/>
      <c r="D999" s="122"/>
      <c r="E999" s="122"/>
      <c r="F999" s="122"/>
      <c r="G999" s="122"/>
      <c r="H999" s="122"/>
      <c r="I999" s="122"/>
      <c r="J999" s="122"/>
      <c r="K999" s="122"/>
      <c r="L999" s="122"/>
      <c r="M999" s="122"/>
      <c r="N999" s="122"/>
      <c r="O999" s="122"/>
      <c r="P999" s="122"/>
      <c r="Q999" s="122"/>
      <c r="R999" s="122"/>
      <c r="S999" s="122"/>
      <c r="T999" s="122"/>
      <c r="U999" s="122"/>
      <c r="V999" s="122"/>
      <c r="W999" s="122"/>
      <c r="X999" s="122"/>
      <c r="Y999" s="122"/>
      <c r="Z999" s="122"/>
      <c r="AA999" s="122"/>
      <c r="AB999" s="122"/>
    </row>
    <row r="1000" spans="1:28" ht="15.75" customHeight="1" x14ac:dyDescent="0.2">
      <c r="A1000" s="122"/>
      <c r="B1000" s="122"/>
      <c r="C1000" s="122"/>
      <c r="D1000" s="122"/>
      <c r="E1000" s="122"/>
      <c r="F1000" s="122"/>
      <c r="G1000" s="122"/>
      <c r="H1000" s="122"/>
      <c r="I1000" s="122"/>
      <c r="J1000" s="122"/>
      <c r="K1000" s="122"/>
      <c r="L1000" s="122"/>
      <c r="M1000" s="122"/>
      <c r="N1000" s="122"/>
      <c r="O1000" s="122"/>
      <c r="P1000" s="122"/>
      <c r="Q1000" s="122"/>
      <c r="R1000" s="122"/>
      <c r="S1000" s="122"/>
      <c r="T1000" s="122"/>
      <c r="U1000" s="122"/>
      <c r="V1000" s="122"/>
      <c r="W1000" s="122"/>
      <c r="X1000" s="122"/>
      <c r="Y1000" s="122"/>
      <c r="Z1000" s="122"/>
      <c r="AA1000" s="122"/>
      <c r="AB1000" s="122"/>
    </row>
    <row r="1001" spans="1:28" ht="15.75" customHeight="1" x14ac:dyDescent="0.2">
      <c r="A1001" s="122"/>
      <c r="F1001" s="122"/>
      <c r="K1001" s="122"/>
      <c r="L1001" s="122"/>
      <c r="M1001" s="122"/>
      <c r="N1001" s="122"/>
      <c r="O1001" s="122"/>
      <c r="P1001" s="122"/>
      <c r="Q1001" s="122"/>
      <c r="R1001" s="122"/>
      <c r="S1001" s="122"/>
      <c r="T1001" s="122"/>
      <c r="U1001" s="122"/>
      <c r="V1001" s="122"/>
      <c r="W1001" s="122"/>
      <c r="X1001" s="122"/>
      <c r="Y1001" s="122"/>
      <c r="Z1001" s="122"/>
      <c r="AA1001" s="122"/>
      <c r="AB1001" s="122"/>
    </row>
  </sheetData>
  <sheetProtection sheet="1" objects="1" scenarios="1" selectLockedCells="1"/>
  <mergeCells count="6">
    <mergeCell ref="B2:D2"/>
    <mergeCell ref="G2:I2"/>
    <mergeCell ref="E3:E10"/>
    <mergeCell ref="J3:J6"/>
    <mergeCell ref="B12:C12"/>
    <mergeCell ref="G8:H8"/>
  </mergeCells>
  <pageMargins left="0" right="0" top="0" bottom="0" header="0" footer="0"/>
  <pageSetup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32E28-6852-407D-B1A7-6EF7105D0D55}">
  <dimension ref="B1:I11"/>
  <sheetViews>
    <sheetView workbookViewId="0">
      <selection activeCell="C6" sqref="C6"/>
    </sheetView>
  </sheetViews>
  <sheetFormatPr defaultColWidth="9.14453125" defaultRowHeight="15" x14ac:dyDescent="0.2"/>
  <cols>
    <col min="1" max="1" width="9.14453125" style="9"/>
    <col min="2" max="2" width="24.48046875" style="9" bestFit="1" customWidth="1"/>
    <col min="3" max="3" width="8.875" style="9" bestFit="1" customWidth="1"/>
    <col min="4" max="4" width="8.609375" style="9" bestFit="1" customWidth="1"/>
    <col min="5" max="5" width="9.14453125" style="9"/>
    <col min="6" max="6" width="12.10546875" style="9" bestFit="1" customWidth="1"/>
    <col min="7" max="7" width="8.875" style="9" bestFit="1" customWidth="1"/>
    <col min="8" max="8" width="8.203125" style="9" bestFit="1" customWidth="1"/>
    <col min="9" max="9" width="13.1796875" style="9" bestFit="1" customWidth="1"/>
    <col min="10" max="16384" width="9.14453125" style="9"/>
  </cols>
  <sheetData>
    <row r="1" spans="2:9" ht="15.75" thickBot="1" x14ac:dyDescent="0.25"/>
    <row r="2" spans="2:9" ht="15.75" thickBot="1" x14ac:dyDescent="0.25">
      <c r="B2" s="268" t="s">
        <v>145</v>
      </c>
      <c r="C2" s="269"/>
      <c r="D2" s="270"/>
      <c r="F2" s="302" t="s">
        <v>142</v>
      </c>
      <c r="G2" s="303"/>
      <c r="H2" s="303"/>
      <c r="I2" s="304"/>
    </row>
    <row r="3" spans="2:9" ht="15.75" thickBot="1" x14ac:dyDescent="0.25">
      <c r="B3" s="36"/>
      <c r="C3" s="37" t="s">
        <v>92</v>
      </c>
      <c r="D3" s="105" t="s">
        <v>96</v>
      </c>
      <c r="F3" s="220"/>
      <c r="G3" s="221" t="s">
        <v>92</v>
      </c>
      <c r="H3" s="222" t="s">
        <v>96</v>
      </c>
      <c r="I3" s="12" t="s">
        <v>171</v>
      </c>
    </row>
    <row r="4" spans="2:9" ht="15.75" thickBot="1" x14ac:dyDescent="0.25">
      <c r="B4" s="35" t="s">
        <v>19</v>
      </c>
      <c r="C4" s="109">
        <v>0.6</v>
      </c>
      <c r="D4" s="109">
        <f>48*12/16*C4*1.15</f>
        <v>24.839999999999996</v>
      </c>
      <c r="F4" s="12" t="s">
        <v>146</v>
      </c>
      <c r="G4" s="150">
        <v>1</v>
      </c>
      <c r="H4" s="218">
        <f>48*12/16*G4*1.15</f>
        <v>41.4</v>
      </c>
      <c r="I4" s="12" t="str">
        <f>ROUNDUP(((((C6*12*G4/16)*1.25))/20),0)&amp; " Boxes"</f>
        <v>18 Boxes</v>
      </c>
    </row>
    <row r="6" spans="2:9" x14ac:dyDescent="0.2">
      <c r="B6" s="9" t="s">
        <v>20</v>
      </c>
      <c r="C6" s="78">
        <v>384</v>
      </c>
    </row>
    <row r="8" spans="2:9" x14ac:dyDescent="0.2">
      <c r="B8" s="9" t="s">
        <v>9</v>
      </c>
      <c r="C8" s="78">
        <v>0</v>
      </c>
      <c r="G8" s="78"/>
    </row>
    <row r="10" spans="2:9" x14ac:dyDescent="0.2">
      <c r="B10" s="9" t="s">
        <v>11</v>
      </c>
    </row>
    <row r="11" spans="2:9" x14ac:dyDescent="0.2">
      <c r="B11" s="9" t="s">
        <v>19</v>
      </c>
      <c r="C11" s="94">
        <f>((C6*12*C4/16)*1.25)-C8</f>
        <v>215.99999999999997</v>
      </c>
      <c r="D11" s="9" t="s">
        <v>12</v>
      </c>
      <c r="G11" s="94"/>
    </row>
  </sheetData>
  <sheetProtection sheet="1" objects="1" scenarios="1" selectLockedCells="1"/>
  <mergeCells count="2">
    <mergeCell ref="B2:D2"/>
    <mergeCell ref="F2:I2"/>
  </mergeCells>
  <pageMargins left="0" right="0" top="0" bottom="0" header="0" footer="0"/>
  <pageSetup orientation="landscape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E18"/>
  <sheetViews>
    <sheetView workbookViewId="0">
      <selection activeCell="C13" sqref="C13"/>
    </sheetView>
  </sheetViews>
  <sheetFormatPr defaultColWidth="14.390625" defaultRowHeight="15" x14ac:dyDescent="0.2"/>
  <cols>
    <col min="1" max="1" width="9.14453125" style="18" customWidth="1"/>
    <col min="2" max="2" width="27.7109375" style="18" bestFit="1" customWidth="1"/>
    <col min="3" max="3" width="8.875" style="18" bestFit="1" customWidth="1"/>
    <col min="4" max="4" width="9.28125" style="18" bestFit="1" customWidth="1"/>
    <col min="5" max="5" width="10.76171875" style="18" bestFit="1" customWidth="1"/>
    <col min="6" max="27" width="9.14453125" style="18" customWidth="1"/>
    <col min="28" max="16384" width="14.390625" style="18"/>
  </cols>
  <sheetData>
    <row r="1" spans="2:5" ht="15.75" thickBot="1" x14ac:dyDescent="0.25"/>
    <row r="2" spans="2:5" ht="15.75" thickBot="1" x14ac:dyDescent="0.25">
      <c r="B2" s="305" t="s">
        <v>42</v>
      </c>
      <c r="C2" s="294"/>
      <c r="D2" s="295"/>
      <c r="E2" s="38" t="s">
        <v>0</v>
      </c>
    </row>
    <row r="3" spans="2:5" ht="15.75" thickBot="1" x14ac:dyDescent="0.25">
      <c r="B3" s="38"/>
      <c r="C3" s="38" t="s">
        <v>92</v>
      </c>
      <c r="D3" s="155" t="s">
        <v>132</v>
      </c>
      <c r="E3" s="296">
        <f>ROUNDUP(C12/D6,1)</f>
        <v>1</v>
      </c>
    </row>
    <row r="4" spans="2:5" ht="44.25" x14ac:dyDescent="0.2">
      <c r="B4" s="156" t="s">
        <v>149</v>
      </c>
      <c r="C4" s="50">
        <v>0.7</v>
      </c>
      <c r="D4" s="50">
        <f>48*12*C4/16*1.15</f>
        <v>28.979999999999997</v>
      </c>
      <c r="E4" s="297"/>
    </row>
    <row r="5" spans="2:5" x14ac:dyDescent="0.2">
      <c r="B5" s="52" t="s">
        <v>32</v>
      </c>
      <c r="C5" s="52">
        <v>0.15</v>
      </c>
      <c r="D5" s="52">
        <f>48*12*C5/16*1.15</f>
        <v>6.2099999999999991</v>
      </c>
      <c r="E5" s="297"/>
    </row>
    <row r="6" spans="2:5" ht="15.75" thickBot="1" x14ac:dyDescent="0.25">
      <c r="B6" s="54" t="s">
        <v>17</v>
      </c>
      <c r="C6" s="54">
        <f>SUM(C4:C5)</f>
        <v>0.85</v>
      </c>
      <c r="D6" s="54">
        <f>SUM(D4:D5)</f>
        <v>35.19</v>
      </c>
      <c r="E6" s="298"/>
    </row>
    <row r="8" spans="2:5" x14ac:dyDescent="0.2">
      <c r="B8" s="258" t="s">
        <v>133</v>
      </c>
      <c r="C8" s="258"/>
      <c r="D8" s="94">
        <f>ROUNDDOWN(250/D6,2)</f>
        <v>7.1</v>
      </c>
    </row>
    <row r="10" spans="2:5" x14ac:dyDescent="0.2">
      <c r="B10" s="18" t="s">
        <v>29</v>
      </c>
      <c r="C10" s="64">
        <v>48</v>
      </c>
    </row>
    <row r="12" spans="2:5" x14ac:dyDescent="0.2">
      <c r="B12" s="18" t="s">
        <v>8</v>
      </c>
      <c r="C12" s="18">
        <f>((C10*12*C6/16)*1.15)-C13</f>
        <v>35.19</v>
      </c>
    </row>
    <row r="13" spans="2:5" x14ac:dyDescent="0.2">
      <c r="B13" s="18" t="s">
        <v>9</v>
      </c>
      <c r="C13" s="64">
        <v>0</v>
      </c>
    </row>
    <row r="14" spans="2:5" x14ac:dyDescent="0.2">
      <c r="B14" s="18" t="s">
        <v>10</v>
      </c>
      <c r="C14" s="18">
        <f>D6*E3</f>
        <v>35.19</v>
      </c>
    </row>
    <row r="16" spans="2:5" x14ac:dyDescent="0.2">
      <c r="B16" s="18" t="s">
        <v>11</v>
      </c>
    </row>
    <row r="17" spans="2:4" ht="41.25" x14ac:dyDescent="0.2">
      <c r="B17" s="154" t="s">
        <v>150</v>
      </c>
      <c r="C17" s="18">
        <f>E3*D4</f>
        <v>28.979999999999997</v>
      </c>
      <c r="D17" s="18" t="s">
        <v>12</v>
      </c>
    </row>
    <row r="18" spans="2:4" x14ac:dyDescent="0.2">
      <c r="B18" s="18" t="s">
        <v>32</v>
      </c>
      <c r="C18" s="18">
        <f>E3*D5</f>
        <v>6.2099999999999991</v>
      </c>
      <c r="D18" s="18" t="s">
        <v>12</v>
      </c>
    </row>
  </sheetData>
  <sheetProtection sheet="1" objects="1" scenarios="1" selectLockedCells="1"/>
  <mergeCells count="3">
    <mergeCell ref="B2:D2"/>
    <mergeCell ref="E3:E6"/>
    <mergeCell ref="B8:C8"/>
  </mergeCells>
  <pageMargins left="0" right="0" top="0" bottom="0" header="0" footer="0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E18"/>
  <sheetViews>
    <sheetView workbookViewId="0">
      <selection activeCell="C10" sqref="C10"/>
    </sheetView>
  </sheetViews>
  <sheetFormatPr defaultColWidth="14.390625" defaultRowHeight="15" x14ac:dyDescent="0.2"/>
  <cols>
    <col min="1" max="1" width="9.14453125" style="9" customWidth="1"/>
    <col min="2" max="2" width="27.7109375" style="9" bestFit="1" customWidth="1"/>
    <col min="3" max="3" width="8.875" style="9" bestFit="1" customWidth="1"/>
    <col min="4" max="4" width="9.28125" style="9" bestFit="1" customWidth="1"/>
    <col min="5" max="5" width="10.76171875" style="9" bestFit="1" customWidth="1"/>
    <col min="6" max="27" width="9.14453125" style="9" customWidth="1"/>
    <col min="28" max="16384" width="14.390625" style="9"/>
  </cols>
  <sheetData>
    <row r="1" spans="2:5" ht="15.75" thickBot="1" x14ac:dyDescent="0.25"/>
    <row r="2" spans="2:5" ht="15.75" thickBot="1" x14ac:dyDescent="0.25">
      <c r="B2" s="268" t="s">
        <v>43</v>
      </c>
      <c r="C2" s="269"/>
      <c r="D2" s="270"/>
      <c r="E2" s="30" t="s">
        <v>0</v>
      </c>
    </row>
    <row r="3" spans="2:5" ht="15.75" thickBot="1" x14ac:dyDescent="0.25">
      <c r="B3" s="58"/>
      <c r="C3" s="12" t="s">
        <v>92</v>
      </c>
      <c r="D3" s="151" t="s">
        <v>132</v>
      </c>
      <c r="E3" s="271">
        <f>ROUNDUP(C12/D6,1)</f>
        <v>1</v>
      </c>
    </row>
    <row r="4" spans="2:5" ht="27.75" x14ac:dyDescent="0.2">
      <c r="B4" s="152" t="s">
        <v>147</v>
      </c>
      <c r="C4" s="59">
        <v>1.5</v>
      </c>
      <c r="D4" s="60">
        <f>48*12*C4/16*1.15</f>
        <v>62.099999999999994</v>
      </c>
      <c r="E4" s="291"/>
    </row>
    <row r="5" spans="2:5" ht="28.5" thickBot="1" x14ac:dyDescent="0.25">
      <c r="B5" s="153" t="s">
        <v>148</v>
      </c>
      <c r="C5" s="61">
        <v>0.5</v>
      </c>
      <c r="D5" s="62">
        <f>48*12*C5/16*1.15</f>
        <v>20.7</v>
      </c>
      <c r="E5" s="291"/>
    </row>
    <row r="6" spans="2:5" ht="15.75" thickBot="1" x14ac:dyDescent="0.25">
      <c r="B6" s="16" t="s">
        <v>17</v>
      </c>
      <c r="C6" s="17">
        <f>SUM(C4:C5)</f>
        <v>2</v>
      </c>
      <c r="D6" s="63">
        <f>SUM(D4:D5)</f>
        <v>82.8</v>
      </c>
      <c r="E6" s="273"/>
    </row>
    <row r="8" spans="2:5" x14ac:dyDescent="0.2">
      <c r="B8" s="258" t="s">
        <v>133</v>
      </c>
      <c r="C8" s="258"/>
      <c r="D8" s="94">
        <f>ROUNDDOWN(250/D6,2)</f>
        <v>3.01</v>
      </c>
    </row>
    <row r="10" spans="2:5" x14ac:dyDescent="0.2">
      <c r="B10" s="9" t="s">
        <v>29</v>
      </c>
      <c r="C10" s="78">
        <v>48</v>
      </c>
    </row>
    <row r="12" spans="2:5" x14ac:dyDescent="0.2">
      <c r="B12" s="9" t="s">
        <v>8</v>
      </c>
      <c r="C12" s="9">
        <f>((C10*12*C6/16)*1.15)-C13</f>
        <v>82.8</v>
      </c>
    </row>
    <row r="13" spans="2:5" x14ac:dyDescent="0.2">
      <c r="B13" s="9" t="s">
        <v>9</v>
      </c>
      <c r="C13" s="78">
        <v>0</v>
      </c>
    </row>
    <row r="14" spans="2:5" x14ac:dyDescent="0.2">
      <c r="B14" s="9" t="s">
        <v>10</v>
      </c>
      <c r="C14" s="9">
        <f>E3*D6</f>
        <v>82.8</v>
      </c>
    </row>
    <row r="16" spans="2:5" x14ac:dyDescent="0.2">
      <c r="B16" s="9" t="s">
        <v>11</v>
      </c>
    </row>
    <row r="17" spans="2:4" ht="27.75" x14ac:dyDescent="0.2">
      <c r="B17" s="154" t="s">
        <v>147</v>
      </c>
      <c r="C17" s="9">
        <f>E3*D4</f>
        <v>62.099999999999994</v>
      </c>
      <c r="D17" s="9" t="s">
        <v>12</v>
      </c>
    </row>
    <row r="18" spans="2:4" ht="27.75" x14ac:dyDescent="0.2">
      <c r="B18" s="154" t="s">
        <v>148</v>
      </c>
      <c r="C18" s="9">
        <f>E3*D5</f>
        <v>20.7</v>
      </c>
      <c r="D18" s="9" t="s">
        <v>12</v>
      </c>
    </row>
  </sheetData>
  <sheetProtection sheet="1" objects="1" scenarios="1" selectLockedCells="1"/>
  <mergeCells count="3">
    <mergeCell ref="B2:D2"/>
    <mergeCell ref="E3:E6"/>
    <mergeCell ref="B8:C8"/>
  </mergeCells>
  <pageMargins left="0" right="0" top="0" bottom="0" header="0" footer="0"/>
  <pageSetup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2:E22"/>
  <sheetViews>
    <sheetView workbookViewId="0">
      <selection activeCell="C12" sqref="C12"/>
    </sheetView>
  </sheetViews>
  <sheetFormatPr defaultColWidth="14.390625" defaultRowHeight="15" x14ac:dyDescent="0.2"/>
  <cols>
    <col min="1" max="1" width="5.109375" style="18" customWidth="1"/>
    <col min="2" max="2" width="29.0546875" style="18" bestFit="1" customWidth="1"/>
    <col min="3" max="3" width="8.875" style="18" bestFit="1" customWidth="1"/>
    <col min="4" max="4" width="9.28125" style="18" bestFit="1" customWidth="1"/>
    <col min="5" max="5" width="10.76171875" style="18" bestFit="1" customWidth="1"/>
    <col min="6" max="27" width="9.14453125" style="18" customWidth="1"/>
    <col min="28" max="16384" width="14.390625" style="18"/>
  </cols>
  <sheetData>
    <row r="2" spans="2:5" x14ac:dyDescent="0.2">
      <c r="B2" s="306" t="s">
        <v>194</v>
      </c>
      <c r="C2" s="294"/>
      <c r="D2" s="295"/>
      <c r="E2" s="47" t="s">
        <v>0</v>
      </c>
    </row>
    <row r="3" spans="2:5" x14ac:dyDescent="0.2">
      <c r="B3" s="26"/>
      <c r="C3" s="53" t="s">
        <v>92</v>
      </c>
      <c r="D3" s="164" t="s">
        <v>132</v>
      </c>
      <c r="E3" s="296">
        <f>ROUNDUP(C14/D8,1)</f>
        <v>1</v>
      </c>
    </row>
    <row r="4" spans="2:5" x14ac:dyDescent="0.2">
      <c r="B4" s="50" t="s">
        <v>59</v>
      </c>
      <c r="C4" s="120">
        <v>0.125</v>
      </c>
      <c r="D4" s="120">
        <f>105*12*C4/16*1.15</f>
        <v>11.3203125</v>
      </c>
      <c r="E4" s="297"/>
    </row>
    <row r="5" spans="2:5" x14ac:dyDescent="0.2">
      <c r="B5" s="45" t="s">
        <v>26</v>
      </c>
      <c r="C5" s="113">
        <v>0.125</v>
      </c>
      <c r="D5" s="113">
        <f>105*12*C5/16*1.15</f>
        <v>11.3203125</v>
      </c>
      <c r="E5" s="297"/>
    </row>
    <row r="6" spans="2:5" x14ac:dyDescent="0.2">
      <c r="B6" s="45" t="s">
        <v>27</v>
      </c>
      <c r="C6" s="113">
        <v>0.125</v>
      </c>
      <c r="D6" s="113">
        <f>105*12*C6/16*1.15</f>
        <v>11.3203125</v>
      </c>
      <c r="E6" s="297"/>
    </row>
    <row r="7" spans="2:5" x14ac:dyDescent="0.2">
      <c r="B7" s="52" t="s">
        <v>60</v>
      </c>
      <c r="C7" s="114">
        <v>0.125</v>
      </c>
      <c r="D7" s="114">
        <f>105*12*C7/16*1.15</f>
        <v>11.3203125</v>
      </c>
      <c r="E7" s="297"/>
    </row>
    <row r="8" spans="2:5" x14ac:dyDescent="0.2">
      <c r="B8" s="54" t="s">
        <v>17</v>
      </c>
      <c r="C8" s="165">
        <f>SUM(C4:C7)</f>
        <v>0.5</v>
      </c>
      <c r="D8" s="165">
        <f>SUM(D4:D7)</f>
        <v>45.28125</v>
      </c>
      <c r="E8" s="298"/>
    </row>
    <row r="10" spans="2:5" x14ac:dyDescent="0.2">
      <c r="B10" s="258" t="s">
        <v>133</v>
      </c>
      <c r="C10" s="258"/>
      <c r="D10" s="94">
        <f>ROUNDDOWN(250/D8,2)</f>
        <v>5.52</v>
      </c>
    </row>
    <row r="12" spans="2:5" x14ac:dyDescent="0.2">
      <c r="B12" s="18" t="s">
        <v>7</v>
      </c>
      <c r="C12" s="64">
        <v>105</v>
      </c>
    </row>
    <row r="14" spans="2:5" x14ac:dyDescent="0.2">
      <c r="B14" s="18" t="s">
        <v>8</v>
      </c>
      <c r="C14" s="99">
        <f>((C12*12*C8/16)*1.15)-C15</f>
        <v>45.28125</v>
      </c>
    </row>
    <row r="15" spans="2:5" x14ac:dyDescent="0.2">
      <c r="B15" s="18" t="s">
        <v>9</v>
      </c>
      <c r="C15" s="64">
        <v>0</v>
      </c>
    </row>
    <row r="16" spans="2:5" x14ac:dyDescent="0.2">
      <c r="B16" s="18" t="s">
        <v>10</v>
      </c>
      <c r="C16" s="99">
        <f>E3*D8</f>
        <v>45.28125</v>
      </c>
    </row>
    <row r="18" spans="2:4" x14ac:dyDescent="0.2">
      <c r="B18" s="18" t="s">
        <v>11</v>
      </c>
    </row>
    <row r="19" spans="2:4" x14ac:dyDescent="0.2">
      <c r="B19" s="18" t="s">
        <v>59</v>
      </c>
      <c r="C19" s="99">
        <f>E3*D4</f>
        <v>11.3203125</v>
      </c>
      <c r="D19" s="18" t="s">
        <v>12</v>
      </c>
    </row>
    <row r="20" spans="2:4" x14ac:dyDescent="0.2">
      <c r="B20" s="18" t="s">
        <v>26</v>
      </c>
      <c r="C20" s="99">
        <f>E3*D5</f>
        <v>11.3203125</v>
      </c>
      <c r="D20" s="18" t="s">
        <v>12</v>
      </c>
    </row>
    <row r="21" spans="2:4" x14ac:dyDescent="0.2">
      <c r="B21" s="18" t="s">
        <v>27</v>
      </c>
      <c r="C21" s="99">
        <f>E3*D6</f>
        <v>11.3203125</v>
      </c>
      <c r="D21" s="18" t="s">
        <v>12</v>
      </c>
    </row>
    <row r="22" spans="2:4" x14ac:dyDescent="0.2">
      <c r="B22" s="18" t="s">
        <v>60</v>
      </c>
      <c r="C22" s="99">
        <f>E3*D7</f>
        <v>11.3203125</v>
      </c>
      <c r="D22" s="18" t="s">
        <v>12</v>
      </c>
    </row>
  </sheetData>
  <sheetProtection sheet="1" objects="1" scenarios="1" selectLockedCells="1"/>
  <mergeCells count="3">
    <mergeCell ref="B2:D2"/>
    <mergeCell ref="E3:E8"/>
    <mergeCell ref="B10:C10"/>
  </mergeCells>
  <pageMargins left="0" right="0" top="0" bottom="0" header="0" footer="0"/>
  <pageSetup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81193-AC1A-4C91-8AAE-E6E22AE51434}">
  <dimension ref="B1:E11"/>
  <sheetViews>
    <sheetView workbookViewId="0">
      <selection activeCell="C6" sqref="C6"/>
    </sheetView>
  </sheetViews>
  <sheetFormatPr defaultColWidth="14.390625" defaultRowHeight="15" x14ac:dyDescent="0.2"/>
  <cols>
    <col min="1" max="1" width="3.765625" style="9" customWidth="1"/>
    <col min="2" max="2" width="24.48046875" style="9" bestFit="1" customWidth="1"/>
    <col min="3" max="3" width="8.875" style="9" bestFit="1" customWidth="1"/>
    <col min="4" max="4" width="8.203125" style="9" bestFit="1" customWidth="1"/>
    <col min="5" max="5" width="13.1796875" style="9" bestFit="1" customWidth="1"/>
    <col min="6" max="26" width="9.14453125" style="9" customWidth="1"/>
    <col min="27" max="16384" width="14.390625" style="9"/>
  </cols>
  <sheetData>
    <row r="1" spans="2:5" ht="15.75" thickBot="1" x14ac:dyDescent="0.25"/>
    <row r="2" spans="2:5" ht="15.75" thickBot="1" x14ac:dyDescent="0.25">
      <c r="B2" s="307" t="s">
        <v>151</v>
      </c>
      <c r="C2" s="308"/>
      <c r="D2" s="308"/>
      <c r="E2" s="309"/>
    </row>
    <row r="3" spans="2:5" ht="15.75" thickBot="1" x14ac:dyDescent="0.25">
      <c r="B3" s="36"/>
      <c r="C3" s="37" t="s">
        <v>92</v>
      </c>
      <c r="D3" s="105" t="s">
        <v>96</v>
      </c>
      <c r="E3" s="12" t="s">
        <v>171</v>
      </c>
    </row>
    <row r="4" spans="2:5" ht="15.75" thickBot="1" x14ac:dyDescent="0.25">
      <c r="B4" s="35" t="s">
        <v>19</v>
      </c>
      <c r="C4" s="109">
        <v>0.8</v>
      </c>
      <c r="D4" s="218">
        <f>48*12/16*C4*1.15</f>
        <v>33.119999999999997</v>
      </c>
      <c r="E4" s="12" t="str">
        <f>((C6*12*C4/16)*1.25)&amp; " pounds"</f>
        <v>78.75 pounds</v>
      </c>
    </row>
    <row r="6" spans="2:5" x14ac:dyDescent="0.2">
      <c r="B6" s="9" t="s">
        <v>20</v>
      </c>
      <c r="C6" s="78">
        <v>105</v>
      </c>
    </row>
    <row r="8" spans="2:5" x14ac:dyDescent="0.2">
      <c r="C8" s="78"/>
    </row>
    <row r="11" spans="2:5" x14ac:dyDescent="0.2">
      <c r="C11" s="94"/>
    </row>
  </sheetData>
  <sheetProtection sheet="1" objects="1" scenarios="1" selectLockedCells="1"/>
  <mergeCells count="1">
    <mergeCell ref="B2:E2"/>
  </mergeCells>
  <pageMargins left="0" right="0" top="0" bottom="0" header="0" footer="0"/>
  <pageSetup orientation="landscape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2:E18"/>
  <sheetViews>
    <sheetView workbookViewId="0">
      <selection activeCell="C13" sqref="C13"/>
    </sheetView>
  </sheetViews>
  <sheetFormatPr defaultColWidth="14.390625" defaultRowHeight="15" x14ac:dyDescent="0.2"/>
  <cols>
    <col min="1" max="1" width="9.14453125" style="70" customWidth="1"/>
    <col min="2" max="2" width="27.7109375" style="70" bestFit="1" customWidth="1"/>
    <col min="3" max="3" width="8.875" style="70" bestFit="1" customWidth="1"/>
    <col min="4" max="4" width="9.28125" style="70" bestFit="1" customWidth="1"/>
    <col min="5" max="5" width="10.76171875" style="70" bestFit="1" customWidth="1"/>
    <col min="6" max="27" width="9.14453125" style="70" customWidth="1"/>
    <col min="28" max="16384" width="14.390625" style="70"/>
  </cols>
  <sheetData>
    <row r="2" spans="2:5" x14ac:dyDescent="0.2">
      <c r="B2" s="310" t="s">
        <v>47</v>
      </c>
      <c r="C2" s="311"/>
      <c r="D2" s="311"/>
      <c r="E2" s="71" t="s">
        <v>0</v>
      </c>
    </row>
    <row r="3" spans="2:5" x14ac:dyDescent="0.2">
      <c r="B3" s="72"/>
      <c r="C3" s="73" t="s">
        <v>92</v>
      </c>
      <c r="D3" s="73" t="s">
        <v>132</v>
      </c>
      <c r="E3" s="312">
        <f>ROUNDUP(C12/D6,1)</f>
        <v>2</v>
      </c>
    </row>
    <row r="4" spans="2:5" x14ac:dyDescent="0.2">
      <c r="B4" s="74" t="s">
        <v>48</v>
      </c>
      <c r="C4" s="204">
        <v>0.8</v>
      </c>
      <c r="D4" s="204">
        <f>48*12*C4/16*1.15</f>
        <v>33.119999999999997</v>
      </c>
      <c r="E4" s="313"/>
    </row>
    <row r="5" spans="2:5" ht="41.25" x14ac:dyDescent="0.2">
      <c r="B5" s="202" t="s">
        <v>165</v>
      </c>
      <c r="C5" s="205">
        <v>0.5</v>
      </c>
      <c r="D5" s="205">
        <f>48*12*C5/16*1.15</f>
        <v>20.7</v>
      </c>
      <c r="E5" s="313"/>
    </row>
    <row r="6" spans="2:5" x14ac:dyDescent="0.2">
      <c r="B6" s="75" t="s">
        <v>17</v>
      </c>
      <c r="C6" s="206">
        <f>SUM(C4:C5)</f>
        <v>1.3</v>
      </c>
      <c r="D6" s="206">
        <f>SUM(D4:D5)</f>
        <v>53.819999999999993</v>
      </c>
      <c r="E6" s="314"/>
    </row>
    <row r="8" spans="2:5" x14ac:dyDescent="0.2">
      <c r="B8" s="315" t="s">
        <v>133</v>
      </c>
      <c r="C8" s="258"/>
      <c r="D8" s="94">
        <f>ROUNDDOWN(250/D6,2)</f>
        <v>4.6399999999999997</v>
      </c>
    </row>
    <row r="10" spans="2:5" x14ac:dyDescent="0.2">
      <c r="B10" s="70" t="s">
        <v>29</v>
      </c>
      <c r="C10" s="80">
        <v>96</v>
      </c>
    </row>
    <row r="12" spans="2:5" x14ac:dyDescent="0.2">
      <c r="B12" s="70" t="s">
        <v>8</v>
      </c>
      <c r="C12" s="207">
        <f>((C10*12*C6/16)*1.15)-C13</f>
        <v>107.64</v>
      </c>
    </row>
    <row r="13" spans="2:5" x14ac:dyDescent="0.2">
      <c r="B13" s="70" t="s">
        <v>9</v>
      </c>
      <c r="C13" s="80">
        <v>0</v>
      </c>
    </row>
    <row r="14" spans="2:5" x14ac:dyDescent="0.2">
      <c r="B14" s="70" t="s">
        <v>10</v>
      </c>
      <c r="C14" s="207">
        <f>E3*D6</f>
        <v>107.63999999999999</v>
      </c>
    </row>
    <row r="16" spans="2:5" x14ac:dyDescent="0.2">
      <c r="B16" s="70" t="s">
        <v>11</v>
      </c>
    </row>
    <row r="17" spans="2:4" x14ac:dyDescent="0.2">
      <c r="B17" s="70" t="s">
        <v>48</v>
      </c>
      <c r="C17" s="207">
        <f>E3*D4</f>
        <v>66.239999999999995</v>
      </c>
      <c r="D17" s="70" t="s">
        <v>12</v>
      </c>
    </row>
    <row r="18" spans="2:4" ht="41.25" x14ac:dyDescent="0.2">
      <c r="B18" s="203" t="s">
        <v>165</v>
      </c>
      <c r="C18" s="207">
        <f>E3*D5</f>
        <v>41.4</v>
      </c>
      <c r="D18" s="70" t="s">
        <v>12</v>
      </c>
    </row>
  </sheetData>
  <sheetProtection sheet="1" objects="1" scenarios="1" selectLockedCells="1"/>
  <mergeCells count="3">
    <mergeCell ref="B2:D2"/>
    <mergeCell ref="E3:E6"/>
    <mergeCell ref="B8:C8"/>
  </mergeCells>
  <pageMargins left="0" right="0" top="0" bottom="0" header="0" footer="0"/>
  <pageSetup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J27"/>
  <sheetViews>
    <sheetView workbookViewId="0">
      <selection activeCell="C11" sqref="C11"/>
    </sheetView>
  </sheetViews>
  <sheetFormatPr defaultColWidth="14.390625" defaultRowHeight="15" x14ac:dyDescent="0.2"/>
  <cols>
    <col min="1" max="1" width="9.14453125" style="18" customWidth="1"/>
    <col min="2" max="2" width="27.7109375" style="18" bestFit="1" customWidth="1"/>
    <col min="3" max="3" width="8.875" style="18" bestFit="1" customWidth="1"/>
    <col min="4" max="4" width="9.28125" style="18" bestFit="1" customWidth="1"/>
    <col min="5" max="5" width="10.76171875" style="18" bestFit="1" customWidth="1"/>
    <col min="6" max="6" width="10.22265625" style="18" customWidth="1"/>
    <col min="7" max="7" width="12.10546875" style="18" bestFit="1" customWidth="1"/>
    <col min="8" max="8" width="8.875" style="18" bestFit="1" customWidth="1"/>
    <col min="9" max="9" width="8.203125" style="18" bestFit="1" customWidth="1"/>
    <col min="10" max="10" width="13.1796875" style="18" bestFit="1" customWidth="1"/>
    <col min="11" max="27" width="9.14453125" style="18" customWidth="1"/>
    <col min="28" max="16384" width="14.390625" style="18"/>
  </cols>
  <sheetData>
    <row r="1" spans="2:10" ht="15.75" thickBot="1" x14ac:dyDescent="0.25"/>
    <row r="2" spans="2:10" ht="15.75" thickBot="1" x14ac:dyDescent="0.25">
      <c r="B2" s="299" t="s">
        <v>108</v>
      </c>
      <c r="C2" s="300"/>
      <c r="D2" s="301"/>
      <c r="E2" s="38" t="s">
        <v>0</v>
      </c>
      <c r="G2" s="302" t="s">
        <v>142</v>
      </c>
      <c r="H2" s="303"/>
      <c r="I2" s="303"/>
      <c r="J2" s="304"/>
    </row>
    <row r="3" spans="2:10" ht="15.75" thickBot="1" x14ac:dyDescent="0.25">
      <c r="B3" s="43"/>
      <c r="C3" s="57" t="s">
        <v>92</v>
      </c>
      <c r="D3" s="172" t="s">
        <v>132</v>
      </c>
      <c r="E3" s="316">
        <f>ROUNDUP(C13/D7,1)</f>
        <v>1</v>
      </c>
      <c r="G3" s="220"/>
      <c r="H3" s="221" t="s">
        <v>92</v>
      </c>
      <c r="I3" s="222" t="s">
        <v>96</v>
      </c>
      <c r="J3" s="12" t="s">
        <v>171</v>
      </c>
    </row>
    <row r="4" spans="2:10" ht="15.75" thickBot="1" x14ac:dyDescent="0.25">
      <c r="B4" s="166" t="s">
        <v>152</v>
      </c>
      <c r="C4" s="168">
        <v>2.15</v>
      </c>
      <c r="D4" s="168">
        <f>48*12*C4/16*1.15</f>
        <v>89.009999999999977</v>
      </c>
      <c r="E4" s="317"/>
      <c r="G4" s="12" t="s">
        <v>146</v>
      </c>
      <c r="H4" s="150">
        <v>1.01</v>
      </c>
      <c r="I4" s="218">
        <f>48*12/16*H4*1.25</f>
        <v>45.45</v>
      </c>
      <c r="J4" s="12" t="str">
        <f>ROUNDUP(((((C11*12*H4/16)*1.25))/20),0)&amp; " Boxes"</f>
        <v>3 Boxes</v>
      </c>
    </row>
    <row r="5" spans="2:10" x14ac:dyDescent="0.2">
      <c r="B5" s="44" t="s">
        <v>49</v>
      </c>
      <c r="C5" s="169">
        <v>1.25</v>
      </c>
      <c r="D5" s="169">
        <f>48*12*C5/16*1.15</f>
        <v>51.749999999999993</v>
      </c>
      <c r="E5" s="317"/>
    </row>
    <row r="6" spans="2:10" ht="15.75" thickBot="1" x14ac:dyDescent="0.25">
      <c r="B6" s="27" t="s">
        <v>91</v>
      </c>
      <c r="C6" s="170">
        <v>0.6</v>
      </c>
      <c r="D6" s="170">
        <f>48*12*C6/16*1.15</f>
        <v>24.839999999999996</v>
      </c>
      <c r="E6" s="317"/>
    </row>
    <row r="7" spans="2:10" ht="15.75" thickBot="1" x14ac:dyDescent="0.25">
      <c r="B7" s="19" t="s">
        <v>2</v>
      </c>
      <c r="C7" s="171">
        <f>SUM(C4:C6)</f>
        <v>4</v>
      </c>
      <c r="D7" s="171">
        <f>SUM(D4,D5,D6)</f>
        <v>165.59999999999997</v>
      </c>
      <c r="E7" s="318"/>
    </row>
    <row r="9" spans="2:10" x14ac:dyDescent="0.2">
      <c r="B9" s="315" t="s">
        <v>133</v>
      </c>
      <c r="C9" s="258"/>
      <c r="D9" s="94">
        <f>ROUNDDOWN(250/D7,2)</f>
        <v>1.5</v>
      </c>
    </row>
    <row r="11" spans="2:10" x14ac:dyDescent="0.2">
      <c r="B11" s="18" t="s">
        <v>29</v>
      </c>
      <c r="C11" s="64">
        <v>48</v>
      </c>
    </row>
    <row r="13" spans="2:10" x14ac:dyDescent="0.2">
      <c r="B13" s="18" t="s">
        <v>8</v>
      </c>
      <c r="C13" s="99">
        <f>((C11*12*C7/16)*1.15)-C14</f>
        <v>165.6</v>
      </c>
    </row>
    <row r="14" spans="2:10" x14ac:dyDescent="0.2">
      <c r="B14" s="18" t="s">
        <v>9</v>
      </c>
      <c r="C14" s="64">
        <v>0</v>
      </c>
    </row>
    <row r="15" spans="2:10" x14ac:dyDescent="0.2">
      <c r="B15" s="18" t="s">
        <v>10</v>
      </c>
      <c r="C15" s="99">
        <f>E3*D7</f>
        <v>165.59999999999997</v>
      </c>
    </row>
    <row r="18" spans="2:4" x14ac:dyDescent="0.2">
      <c r="B18" s="18" t="s">
        <v>11</v>
      </c>
    </row>
    <row r="19" spans="2:4" x14ac:dyDescent="0.2">
      <c r="B19" s="167" t="s">
        <v>152</v>
      </c>
      <c r="C19" s="99">
        <f>E3*D4</f>
        <v>89.009999999999977</v>
      </c>
      <c r="D19" s="18" t="s">
        <v>12</v>
      </c>
    </row>
    <row r="20" spans="2:4" x14ac:dyDescent="0.2">
      <c r="B20" s="18" t="s">
        <v>49</v>
      </c>
      <c r="C20" s="99">
        <f>E3*D5</f>
        <v>51.749999999999993</v>
      </c>
      <c r="D20" s="18" t="s">
        <v>12</v>
      </c>
    </row>
    <row r="21" spans="2:4" x14ac:dyDescent="0.2">
      <c r="B21" s="18" t="s">
        <v>91</v>
      </c>
      <c r="C21" s="99">
        <f>E3*D6</f>
        <v>24.839999999999996</v>
      </c>
      <c r="D21" s="18" t="s">
        <v>12</v>
      </c>
    </row>
    <row r="22" spans="2:4" x14ac:dyDescent="0.2">
      <c r="C22" s="99"/>
    </row>
    <row r="26" spans="2:4" x14ac:dyDescent="0.2">
      <c r="C26" s="99"/>
      <c r="D26" s="167"/>
    </row>
    <row r="27" spans="2:4" x14ac:dyDescent="0.2">
      <c r="C27" s="99"/>
    </row>
  </sheetData>
  <sheetProtection sheet="1" objects="1" scenarios="1" selectLockedCells="1"/>
  <mergeCells count="4">
    <mergeCell ref="B2:D2"/>
    <mergeCell ref="B9:C9"/>
    <mergeCell ref="G2:J2"/>
    <mergeCell ref="E3:E7"/>
  </mergeCells>
  <pageMargins left="0" right="0" top="0" bottom="0" header="0" footer="0"/>
  <pageSetup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J27"/>
  <sheetViews>
    <sheetView workbookViewId="0">
      <selection activeCell="C12" sqref="C12"/>
    </sheetView>
  </sheetViews>
  <sheetFormatPr defaultColWidth="9.14453125" defaultRowHeight="15" x14ac:dyDescent="0.2"/>
  <cols>
    <col min="1" max="1" width="9.14453125" style="18"/>
    <col min="2" max="2" width="23.67578125" style="18" bestFit="1" customWidth="1"/>
    <col min="3" max="3" width="8.875" style="18" bestFit="1" customWidth="1"/>
    <col min="4" max="4" width="9.28125" style="18" bestFit="1" customWidth="1"/>
    <col min="5" max="5" width="10.76171875" style="18" bestFit="1" customWidth="1"/>
    <col min="6" max="6" width="9.14453125" style="18"/>
    <col min="7" max="7" width="17.484375" style="18" bestFit="1" customWidth="1"/>
    <col min="8" max="8" width="8.875" style="18" bestFit="1" customWidth="1"/>
    <col min="9" max="9" width="8.203125" style="18" bestFit="1" customWidth="1"/>
    <col min="10" max="10" width="13.1796875" style="18" bestFit="1" customWidth="1"/>
    <col min="11" max="16384" width="9.14453125" style="18"/>
  </cols>
  <sheetData>
    <row r="1" spans="2:10" ht="15.75" thickBot="1" x14ac:dyDescent="0.25"/>
    <row r="2" spans="2:10" ht="15.75" thickBot="1" x14ac:dyDescent="0.25">
      <c r="B2" s="305" t="s">
        <v>112</v>
      </c>
      <c r="C2" s="294"/>
      <c r="D2" s="295"/>
      <c r="E2" s="38" t="s">
        <v>0</v>
      </c>
      <c r="G2" s="284" t="s">
        <v>46</v>
      </c>
      <c r="H2" s="320"/>
      <c r="I2" s="320"/>
      <c r="J2" s="321"/>
    </row>
    <row r="3" spans="2:10" ht="15.75" thickBot="1" x14ac:dyDescent="0.25">
      <c r="B3" s="38"/>
      <c r="C3" s="38" t="s">
        <v>92</v>
      </c>
      <c r="D3" s="155" t="s">
        <v>132</v>
      </c>
      <c r="E3" s="296">
        <f>ROUNDUP(C14/D8,1)</f>
        <v>1</v>
      </c>
      <c r="G3" s="220"/>
      <c r="H3" s="221" t="s">
        <v>92</v>
      </c>
      <c r="I3" s="222" t="s">
        <v>96</v>
      </c>
      <c r="J3" s="217" t="s">
        <v>171</v>
      </c>
    </row>
    <row r="4" spans="2:10" ht="15.75" thickBot="1" x14ac:dyDescent="0.25">
      <c r="B4" s="49" t="s">
        <v>113</v>
      </c>
      <c r="C4" s="194">
        <v>0.7</v>
      </c>
      <c r="D4" s="120">
        <f>48*12*C4/16*1.15</f>
        <v>28.979999999999997</v>
      </c>
      <c r="E4" s="297"/>
      <c r="G4" s="35" t="s">
        <v>173</v>
      </c>
      <c r="H4" s="109">
        <v>0.75</v>
      </c>
      <c r="I4" s="218">
        <f>48*12/16*H4*1.15</f>
        <v>31.049999999999997</v>
      </c>
      <c r="J4" s="57">
        <f>(C12*12*H4/16*1.25)+5</f>
        <v>38.75</v>
      </c>
    </row>
    <row r="5" spans="2:10" x14ac:dyDescent="0.2">
      <c r="B5" s="44" t="s">
        <v>114</v>
      </c>
      <c r="C5" s="146">
        <v>0.6</v>
      </c>
      <c r="D5" s="113">
        <f>48*12*C5/16*1.15</f>
        <v>24.839999999999996</v>
      </c>
      <c r="E5" s="297"/>
    </row>
    <row r="6" spans="2:10" x14ac:dyDescent="0.2">
      <c r="B6" s="44" t="s">
        <v>44</v>
      </c>
      <c r="C6" s="146"/>
      <c r="D6" s="113">
        <v>5</v>
      </c>
      <c r="E6" s="297"/>
    </row>
    <row r="7" spans="2:10" x14ac:dyDescent="0.2">
      <c r="B7" s="51" t="s">
        <v>36</v>
      </c>
      <c r="C7" s="195">
        <v>0.2</v>
      </c>
      <c r="D7" s="114">
        <f>48*12*C7/16*1.15</f>
        <v>8.2799999999999994</v>
      </c>
      <c r="E7" s="297"/>
    </row>
    <row r="8" spans="2:10" x14ac:dyDescent="0.2">
      <c r="B8" s="54" t="s">
        <v>17</v>
      </c>
      <c r="C8" s="165">
        <f>SUM(C4:C7)</f>
        <v>1.4999999999999998</v>
      </c>
      <c r="D8" s="165">
        <f>SUM(D4,D5,D7)</f>
        <v>62.099999999999994</v>
      </c>
      <c r="E8" s="298"/>
    </row>
    <row r="10" spans="2:10" x14ac:dyDescent="0.2">
      <c r="B10" s="258" t="s">
        <v>133</v>
      </c>
      <c r="C10" s="258"/>
      <c r="D10" s="94">
        <f>ROUNDDOWN(250/D8,2)</f>
        <v>4.0199999999999996</v>
      </c>
    </row>
    <row r="12" spans="2:10" x14ac:dyDescent="0.2">
      <c r="B12" s="18" t="s">
        <v>29</v>
      </c>
      <c r="C12" s="64">
        <v>48</v>
      </c>
    </row>
    <row r="14" spans="2:10" x14ac:dyDescent="0.2">
      <c r="B14" s="18" t="s">
        <v>45</v>
      </c>
      <c r="C14" s="99">
        <f>((C12*12*C8/16)*1.15)-C15</f>
        <v>62.099999999999987</v>
      </c>
    </row>
    <row r="15" spans="2:10" x14ac:dyDescent="0.2">
      <c r="B15" s="18" t="s">
        <v>9</v>
      </c>
      <c r="C15" s="64">
        <v>0</v>
      </c>
    </row>
    <row r="16" spans="2:10" x14ac:dyDescent="0.2">
      <c r="B16" s="18" t="s">
        <v>41</v>
      </c>
      <c r="C16" s="99">
        <f>E3*D8</f>
        <v>62.099999999999994</v>
      </c>
    </row>
    <row r="18" spans="2:5" x14ac:dyDescent="0.2">
      <c r="B18" s="18" t="s">
        <v>11</v>
      </c>
    </row>
    <row r="19" spans="2:5" x14ac:dyDescent="0.2">
      <c r="B19" s="18" t="s">
        <v>115</v>
      </c>
      <c r="C19" s="99">
        <f>D4*E3</f>
        <v>28.979999999999997</v>
      </c>
      <c r="D19" s="18" t="s">
        <v>12</v>
      </c>
    </row>
    <row r="20" spans="2:5" x14ac:dyDescent="0.2">
      <c r="B20" s="18" t="s">
        <v>114</v>
      </c>
      <c r="C20" s="99">
        <f>D5*E3</f>
        <v>24.839999999999996</v>
      </c>
      <c r="D20" s="18" t="s">
        <v>12</v>
      </c>
    </row>
    <row r="21" spans="2:5" x14ac:dyDescent="0.2">
      <c r="B21" s="18" t="s">
        <v>36</v>
      </c>
      <c r="C21" s="99">
        <f>D7*E3</f>
        <v>8.2799999999999994</v>
      </c>
      <c r="D21" s="18" t="s">
        <v>12</v>
      </c>
    </row>
    <row r="22" spans="2:5" x14ac:dyDescent="0.2">
      <c r="B22" s="18" t="s">
        <v>44</v>
      </c>
      <c r="C22" s="99">
        <f>E3*D6</f>
        <v>5</v>
      </c>
      <c r="D22" s="18" t="s">
        <v>12</v>
      </c>
    </row>
    <row r="24" spans="2:5" x14ac:dyDescent="0.2">
      <c r="B24" s="216" t="s">
        <v>46</v>
      </c>
      <c r="D24" s="216" t="s">
        <v>174</v>
      </c>
    </row>
    <row r="25" spans="2:5" x14ac:dyDescent="0.2">
      <c r="B25" s="18" t="s">
        <v>117</v>
      </c>
      <c r="C25" s="99">
        <f>J4/3.5*6</f>
        <v>66.428571428571431</v>
      </c>
      <c r="D25" s="99">
        <f>C25/6</f>
        <v>11.071428571428571</v>
      </c>
      <c r="E25" s="18" t="s">
        <v>118</v>
      </c>
    </row>
    <row r="27" spans="2:5" x14ac:dyDescent="0.2">
      <c r="B27" s="319" t="s">
        <v>116</v>
      </c>
      <c r="C27" s="319"/>
      <c r="D27" s="319"/>
      <c r="E27" s="319"/>
    </row>
  </sheetData>
  <sheetProtection sheet="1" objects="1" scenarios="1" selectLockedCells="1"/>
  <mergeCells count="5">
    <mergeCell ref="E3:E8"/>
    <mergeCell ref="B2:D2"/>
    <mergeCell ref="B27:E27"/>
    <mergeCell ref="B10:C10"/>
    <mergeCell ref="G2:J2"/>
  </mergeCells>
  <pageMargins left="0" right="0" top="0" bottom="0" header="0" footer="0"/>
  <pageSetup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E20"/>
  <sheetViews>
    <sheetView workbookViewId="0">
      <selection activeCell="C11" sqref="C11"/>
    </sheetView>
  </sheetViews>
  <sheetFormatPr defaultColWidth="14.390625" defaultRowHeight="15" x14ac:dyDescent="0.2"/>
  <cols>
    <col min="1" max="1" width="9.14453125" style="18" customWidth="1"/>
    <col min="2" max="2" width="27.7109375" style="18" bestFit="1" customWidth="1"/>
    <col min="3" max="3" width="8.875" style="18" bestFit="1" customWidth="1"/>
    <col min="4" max="4" width="9.28125" style="18" bestFit="1" customWidth="1"/>
    <col min="5" max="5" width="11.1640625" style="18" bestFit="1" customWidth="1"/>
    <col min="6" max="27" width="9.14453125" style="18" customWidth="1"/>
    <col min="28" max="16384" width="14.390625" style="18"/>
  </cols>
  <sheetData>
    <row r="1" spans="2:5" ht="15.75" thickBot="1" x14ac:dyDescent="0.25"/>
    <row r="2" spans="2:5" ht="15.75" thickBot="1" x14ac:dyDescent="0.25">
      <c r="B2" s="305" t="s">
        <v>50</v>
      </c>
      <c r="C2" s="300"/>
      <c r="D2" s="301"/>
      <c r="E2" s="47" t="s">
        <v>30</v>
      </c>
    </row>
    <row r="3" spans="2:5" ht="15.75" thickBot="1" x14ac:dyDescent="0.25">
      <c r="B3" s="48"/>
      <c r="C3" s="55" t="s">
        <v>92</v>
      </c>
      <c r="D3" s="201" t="s">
        <v>132</v>
      </c>
      <c r="E3" s="274">
        <f>ROUNDUP(C13/D7,1)</f>
        <v>1</v>
      </c>
    </row>
    <row r="4" spans="2:5" x14ac:dyDescent="0.2">
      <c r="B4" s="199" t="s">
        <v>162</v>
      </c>
      <c r="C4" s="174">
        <v>1.25</v>
      </c>
      <c r="D4" s="174">
        <f>48*12*C4/16*1.15</f>
        <v>51.749999999999993</v>
      </c>
      <c r="E4" s="275"/>
    </row>
    <row r="5" spans="2:5" ht="44.25" x14ac:dyDescent="0.2">
      <c r="B5" s="200" t="s">
        <v>163</v>
      </c>
      <c r="C5" s="169">
        <v>0.7</v>
      </c>
      <c r="D5" s="169">
        <f>48*12*C5/16*1.15</f>
        <v>28.979999999999997</v>
      </c>
      <c r="E5" s="275"/>
    </row>
    <row r="6" spans="2:5" ht="15.75" thickBot="1" x14ac:dyDescent="0.25">
      <c r="B6" s="51" t="s">
        <v>32</v>
      </c>
      <c r="C6" s="183">
        <v>0.2</v>
      </c>
      <c r="D6" s="183">
        <f>48*12*C6/16*1.15</f>
        <v>8.2799999999999994</v>
      </c>
      <c r="E6" s="275"/>
    </row>
    <row r="7" spans="2:5" ht="15.75" thickBot="1" x14ac:dyDescent="0.25">
      <c r="B7" s="42" t="s">
        <v>17</v>
      </c>
      <c r="C7" s="188">
        <f>SUM(C4:C6)</f>
        <v>2.15</v>
      </c>
      <c r="D7" s="188">
        <f>SUM(D4:D6)</f>
        <v>89.009999999999991</v>
      </c>
      <c r="E7" s="276"/>
    </row>
    <row r="9" spans="2:5" x14ac:dyDescent="0.2">
      <c r="B9" s="258" t="s">
        <v>133</v>
      </c>
      <c r="C9" s="258"/>
      <c r="D9" s="94">
        <f>ROUNDDOWN(250/D7,2)</f>
        <v>2.8</v>
      </c>
    </row>
    <row r="10" spans="2:5" x14ac:dyDescent="0.2">
      <c r="B10" s="9"/>
      <c r="C10" s="9"/>
      <c r="D10" s="94"/>
    </row>
    <row r="11" spans="2:5" x14ac:dyDescent="0.2">
      <c r="B11" s="18" t="s">
        <v>29</v>
      </c>
      <c r="C11" s="64">
        <v>48</v>
      </c>
    </row>
    <row r="13" spans="2:5" x14ac:dyDescent="0.2">
      <c r="B13" s="18" t="s">
        <v>8</v>
      </c>
      <c r="C13" s="99">
        <f>((C11*12*C7/16)*1.15)-C14</f>
        <v>89.009999999999977</v>
      </c>
    </row>
    <row r="14" spans="2:5" x14ac:dyDescent="0.2">
      <c r="B14" s="18" t="s">
        <v>9</v>
      </c>
      <c r="C14" s="64">
        <v>0</v>
      </c>
    </row>
    <row r="15" spans="2:5" x14ac:dyDescent="0.2">
      <c r="B15" s="18" t="s">
        <v>10</v>
      </c>
      <c r="C15" s="99">
        <f>E3*D7</f>
        <v>89.009999999999991</v>
      </c>
    </row>
    <row r="17" spans="2:4" x14ac:dyDescent="0.2">
      <c r="B17" s="18" t="s">
        <v>11</v>
      </c>
    </row>
    <row r="18" spans="2:4" x14ac:dyDescent="0.2">
      <c r="B18" s="18" t="s">
        <v>31</v>
      </c>
      <c r="C18" s="99">
        <f>E3*D4</f>
        <v>51.749999999999993</v>
      </c>
      <c r="D18" s="18" t="s">
        <v>12</v>
      </c>
    </row>
    <row r="19" spans="2:4" ht="41.25" x14ac:dyDescent="0.2">
      <c r="B19" s="154" t="s">
        <v>164</v>
      </c>
      <c r="C19" s="99">
        <f>E3*D5</f>
        <v>28.979999999999997</v>
      </c>
      <c r="D19" s="18" t="s">
        <v>12</v>
      </c>
    </row>
    <row r="20" spans="2:4" x14ac:dyDescent="0.2">
      <c r="B20" s="18" t="s">
        <v>32</v>
      </c>
      <c r="C20" s="99">
        <f>E3*D6</f>
        <v>8.2799999999999994</v>
      </c>
      <c r="D20" s="18" t="s">
        <v>12</v>
      </c>
    </row>
  </sheetData>
  <sheetProtection sheet="1" objects="1" scenarios="1" selectLockedCells="1"/>
  <mergeCells count="3">
    <mergeCell ref="E3:E7"/>
    <mergeCell ref="B2:D2"/>
    <mergeCell ref="B9:C9"/>
  </mergeCells>
  <pageMargins left="0" right="0" top="0" bottom="0" header="0" footer="0"/>
  <pageSetup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E29"/>
  <sheetViews>
    <sheetView workbookViewId="0">
      <selection activeCell="C15" sqref="C15"/>
    </sheetView>
  </sheetViews>
  <sheetFormatPr defaultColWidth="14.390625" defaultRowHeight="15" x14ac:dyDescent="0.2"/>
  <cols>
    <col min="1" max="1" width="9.14453125" style="18" customWidth="1"/>
    <col min="2" max="2" width="28.11328125" style="18" bestFit="1" customWidth="1"/>
    <col min="3" max="3" width="8.875" style="18" bestFit="1" customWidth="1"/>
    <col min="4" max="4" width="9.28125" style="18" bestFit="1" customWidth="1"/>
    <col min="5" max="5" width="10.76171875" style="18" bestFit="1" customWidth="1"/>
    <col min="6" max="27" width="9.14453125" style="18" customWidth="1"/>
    <col min="28" max="16384" width="14.390625" style="18"/>
  </cols>
  <sheetData>
    <row r="1" spans="2:5" ht="15.75" thickBot="1" x14ac:dyDescent="0.25"/>
    <row r="2" spans="2:5" ht="15.75" thickBot="1" x14ac:dyDescent="0.25">
      <c r="B2" s="277" t="s">
        <v>109</v>
      </c>
      <c r="C2" s="278"/>
      <c r="D2" s="279"/>
      <c r="E2" s="65" t="s">
        <v>0</v>
      </c>
    </row>
    <row r="3" spans="2:5" ht="15.75" thickBot="1" x14ac:dyDescent="0.25">
      <c r="B3" s="43"/>
      <c r="C3" s="57" t="s">
        <v>92</v>
      </c>
      <c r="D3" s="172" t="s">
        <v>132</v>
      </c>
      <c r="E3" s="274">
        <f>ROUNDUP(C17/D11,1)</f>
        <v>1</v>
      </c>
    </row>
    <row r="4" spans="2:5" x14ac:dyDescent="0.2">
      <c r="B4" s="166" t="s">
        <v>152</v>
      </c>
      <c r="C4" s="168">
        <v>2.02</v>
      </c>
      <c r="D4" s="168">
        <f t="shared" ref="D4:D10" si="0">48*12*C4/16*1.15</f>
        <v>83.627999999999986</v>
      </c>
      <c r="E4" s="275"/>
    </row>
    <row r="5" spans="2:5" x14ac:dyDescent="0.2">
      <c r="B5" s="44" t="s">
        <v>51</v>
      </c>
      <c r="C5" s="169">
        <v>0.71</v>
      </c>
      <c r="D5" s="169">
        <f t="shared" si="0"/>
        <v>29.393999999999995</v>
      </c>
      <c r="E5" s="275"/>
    </row>
    <row r="6" spans="2:5" x14ac:dyDescent="0.2">
      <c r="B6" s="44" t="s">
        <v>52</v>
      </c>
      <c r="C6" s="169">
        <v>0.71</v>
      </c>
      <c r="D6" s="169">
        <f t="shared" si="0"/>
        <v>29.393999999999995</v>
      </c>
      <c r="E6" s="275"/>
    </row>
    <row r="7" spans="2:5" x14ac:dyDescent="0.2">
      <c r="B7" s="82" t="s">
        <v>124</v>
      </c>
      <c r="C7" s="169">
        <v>0.4</v>
      </c>
      <c r="D7" s="169">
        <f t="shared" si="0"/>
        <v>16.559999999999999</v>
      </c>
      <c r="E7" s="275"/>
    </row>
    <row r="8" spans="2:5" x14ac:dyDescent="0.2">
      <c r="B8" s="44" t="s">
        <v>54</v>
      </c>
      <c r="C8" s="169">
        <v>0.1</v>
      </c>
      <c r="D8" s="169">
        <f t="shared" si="0"/>
        <v>4.1399999999999997</v>
      </c>
      <c r="E8" s="275"/>
    </row>
    <row r="9" spans="2:5" x14ac:dyDescent="0.2">
      <c r="B9" s="44" t="s">
        <v>55</v>
      </c>
      <c r="C9" s="169">
        <v>0.03</v>
      </c>
      <c r="D9" s="169">
        <f t="shared" si="0"/>
        <v>1.242</v>
      </c>
      <c r="E9" s="275"/>
    </row>
    <row r="10" spans="2:5" ht="15.75" thickBot="1" x14ac:dyDescent="0.25">
      <c r="B10" s="27" t="s">
        <v>56</v>
      </c>
      <c r="C10" s="170">
        <v>0.03</v>
      </c>
      <c r="D10" s="170">
        <f t="shared" si="0"/>
        <v>1.242</v>
      </c>
      <c r="E10" s="275"/>
    </row>
    <row r="11" spans="2:5" ht="15.75" thickBot="1" x14ac:dyDescent="0.25">
      <c r="B11" s="19" t="s">
        <v>2</v>
      </c>
      <c r="C11" s="171">
        <f>SUM(C4:C10)</f>
        <v>3.9999999999999996</v>
      </c>
      <c r="D11" s="171">
        <f>SUM(D4:D7,D8:D10)</f>
        <v>165.59999999999994</v>
      </c>
      <c r="E11" s="276"/>
    </row>
    <row r="13" spans="2:5" x14ac:dyDescent="0.2">
      <c r="B13" s="258" t="s">
        <v>133</v>
      </c>
      <c r="C13" s="258"/>
      <c r="D13" s="94">
        <f>ROUNDDOWN(250/D11,2)</f>
        <v>1.5</v>
      </c>
    </row>
    <row r="15" spans="2:5" x14ac:dyDescent="0.2">
      <c r="B15" s="18" t="s">
        <v>29</v>
      </c>
      <c r="C15" s="64">
        <v>48</v>
      </c>
    </row>
    <row r="17" spans="2:4" x14ac:dyDescent="0.2">
      <c r="B17" s="18" t="s">
        <v>8</v>
      </c>
      <c r="C17" s="99">
        <f>((C15*12*C11/16)*1.15)-C18</f>
        <v>165.59999999999997</v>
      </c>
    </row>
    <row r="18" spans="2:4" x14ac:dyDescent="0.2">
      <c r="B18" s="18" t="s">
        <v>9</v>
      </c>
      <c r="C18" s="64">
        <v>0</v>
      </c>
    </row>
    <row r="19" spans="2:4" x14ac:dyDescent="0.2">
      <c r="B19" s="18" t="s">
        <v>57</v>
      </c>
      <c r="C19" s="99">
        <f>E3*D11</f>
        <v>165.59999999999994</v>
      </c>
    </row>
    <row r="22" spans="2:4" x14ac:dyDescent="0.2">
      <c r="B22" s="18" t="s">
        <v>11</v>
      </c>
    </row>
    <row r="23" spans="2:4" x14ac:dyDescent="0.2">
      <c r="B23" s="167" t="s">
        <v>152</v>
      </c>
      <c r="C23" s="99">
        <f>D4*E3</f>
        <v>83.627999999999986</v>
      </c>
      <c r="D23" s="18" t="s">
        <v>12</v>
      </c>
    </row>
    <row r="24" spans="2:4" x14ac:dyDescent="0.2">
      <c r="B24" s="18" t="s">
        <v>51</v>
      </c>
      <c r="C24" s="99">
        <f>D5*E3</f>
        <v>29.393999999999995</v>
      </c>
      <c r="D24" s="18" t="s">
        <v>12</v>
      </c>
    </row>
    <row r="25" spans="2:4" x14ac:dyDescent="0.2">
      <c r="B25" s="18" t="s">
        <v>52</v>
      </c>
      <c r="C25" s="99">
        <f>D6*E3</f>
        <v>29.393999999999995</v>
      </c>
      <c r="D25" s="18" t="s">
        <v>12</v>
      </c>
    </row>
    <row r="26" spans="2:4" x14ac:dyDescent="0.2">
      <c r="B26" s="18" t="s">
        <v>53</v>
      </c>
      <c r="C26" s="99">
        <f>D7*E3</f>
        <v>16.559999999999999</v>
      </c>
      <c r="D26" s="18" t="s">
        <v>12</v>
      </c>
    </row>
    <row r="27" spans="2:4" x14ac:dyDescent="0.2">
      <c r="B27" s="18" t="s">
        <v>54</v>
      </c>
      <c r="C27" s="99">
        <f>D8*E3</f>
        <v>4.1399999999999997</v>
      </c>
      <c r="D27" s="18" t="s">
        <v>12</v>
      </c>
    </row>
    <row r="28" spans="2:4" x14ac:dyDescent="0.2">
      <c r="B28" s="18" t="s">
        <v>58</v>
      </c>
      <c r="C28" s="99">
        <f>D9*E3</f>
        <v>1.242</v>
      </c>
      <c r="D28" s="18" t="s">
        <v>12</v>
      </c>
    </row>
    <row r="29" spans="2:4" x14ac:dyDescent="0.2">
      <c r="B29" s="18" t="s">
        <v>56</v>
      </c>
      <c r="C29" s="99">
        <f>D10*E3</f>
        <v>1.242</v>
      </c>
      <c r="D29" s="18" t="s">
        <v>12</v>
      </c>
    </row>
  </sheetData>
  <sheetProtection sheet="1" objects="1" scenarios="1" selectLockedCells="1"/>
  <mergeCells count="3">
    <mergeCell ref="B2:D2"/>
    <mergeCell ref="E3:E11"/>
    <mergeCell ref="B13:C13"/>
  </mergeCells>
  <pageMargins left="0" right="0" top="0" bottom="0" header="0" footer="0"/>
  <pageSetup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J25"/>
  <sheetViews>
    <sheetView workbookViewId="0">
      <selection activeCell="C10" sqref="C10"/>
    </sheetView>
  </sheetViews>
  <sheetFormatPr defaultColWidth="14.390625" defaultRowHeight="15" x14ac:dyDescent="0.2"/>
  <cols>
    <col min="1" max="1" width="9.14453125" style="18" customWidth="1"/>
    <col min="2" max="2" width="27.7109375" style="18" bestFit="1" customWidth="1"/>
    <col min="3" max="3" width="8.875" style="18" bestFit="1" customWidth="1"/>
    <col min="4" max="4" width="9.28125" style="18" bestFit="1" customWidth="1"/>
    <col min="5" max="5" width="10.76171875" style="18" bestFit="1" customWidth="1"/>
    <col min="6" max="6" width="9.14453125" style="18" customWidth="1"/>
    <col min="7" max="7" width="21.5234375" style="18" bestFit="1" customWidth="1"/>
    <col min="8" max="8" width="8.875" style="18" bestFit="1" customWidth="1"/>
    <col min="9" max="9" width="9.28125" style="18" bestFit="1" customWidth="1"/>
    <col min="10" max="10" width="13.1796875" style="18" bestFit="1" customWidth="1"/>
    <col min="11" max="28" width="9.14453125" style="18" customWidth="1"/>
    <col min="29" max="16384" width="14.390625" style="18"/>
  </cols>
  <sheetData>
    <row r="1" spans="2:10" ht="15.75" thickBot="1" x14ac:dyDescent="0.25"/>
    <row r="2" spans="2:10" ht="15.75" thickBot="1" x14ac:dyDescent="0.25">
      <c r="B2" s="299" t="s">
        <v>37</v>
      </c>
      <c r="C2" s="300"/>
      <c r="D2" s="301"/>
      <c r="E2" s="47" t="s">
        <v>0</v>
      </c>
      <c r="G2" s="299" t="s">
        <v>38</v>
      </c>
      <c r="H2" s="300"/>
      <c r="I2" s="301"/>
      <c r="J2" s="38" t="s">
        <v>0</v>
      </c>
    </row>
    <row r="3" spans="2:10" ht="15.75" thickBot="1" x14ac:dyDescent="0.25">
      <c r="B3" s="43"/>
      <c r="C3" s="57" t="s">
        <v>92</v>
      </c>
      <c r="D3" s="151" t="s">
        <v>132</v>
      </c>
      <c r="E3" s="274">
        <f>ROUNDUP(C12/D6,1)</f>
        <v>1</v>
      </c>
      <c r="G3" s="181"/>
      <c r="H3" s="55" t="s">
        <v>92</v>
      </c>
      <c r="I3" s="192" t="s">
        <v>132</v>
      </c>
      <c r="J3" s="316">
        <f>ROUNDUP(H12/I6,1)</f>
        <v>1.5</v>
      </c>
    </row>
    <row r="4" spans="2:10" x14ac:dyDescent="0.2">
      <c r="B4" s="24" t="s">
        <v>39</v>
      </c>
      <c r="C4" s="168">
        <v>7.0000000000000007E-2</v>
      </c>
      <c r="D4" s="185">
        <f>48*12*C4/16*1.15</f>
        <v>2.8980000000000001</v>
      </c>
      <c r="E4" s="275"/>
      <c r="G4" s="25" t="s">
        <v>36</v>
      </c>
      <c r="H4" s="96">
        <v>0.25</v>
      </c>
      <c r="I4" s="189">
        <f>48*12*H4/16*1.15</f>
        <v>10.35</v>
      </c>
      <c r="J4" s="317"/>
    </row>
    <row r="5" spans="2:10" ht="45" thickBot="1" x14ac:dyDescent="0.25">
      <c r="B5" s="180" t="s">
        <v>158</v>
      </c>
      <c r="C5" s="183">
        <v>2.4300000000000002</v>
      </c>
      <c r="D5" s="186">
        <f>48*12*C5/16*1.15</f>
        <v>100.602</v>
      </c>
      <c r="E5" s="275"/>
      <c r="G5" s="182" t="s">
        <v>159</v>
      </c>
      <c r="H5" s="97">
        <v>0.5</v>
      </c>
      <c r="I5" s="190">
        <f>48*12*H5/16*1.15</f>
        <v>20.7</v>
      </c>
      <c r="J5" s="317"/>
    </row>
    <row r="6" spans="2:10" ht="15.75" thickBot="1" x14ac:dyDescent="0.25">
      <c r="B6" s="46" t="s">
        <v>2</v>
      </c>
      <c r="C6" s="184">
        <f>SUM(C4:C5)</f>
        <v>2.5</v>
      </c>
      <c r="D6" s="187">
        <f>SUM(D4:D5)</f>
        <v>103.5</v>
      </c>
      <c r="E6" s="276"/>
      <c r="G6" s="42" t="s">
        <v>17</v>
      </c>
      <c r="H6" s="188">
        <f>SUM(H4:H5)</f>
        <v>0.75</v>
      </c>
      <c r="I6" s="191">
        <f>SUM(I5:I5)</f>
        <v>20.7</v>
      </c>
      <c r="J6" s="318"/>
    </row>
    <row r="8" spans="2:10" x14ac:dyDescent="0.2">
      <c r="B8" s="258" t="s">
        <v>133</v>
      </c>
      <c r="C8" s="258"/>
      <c r="D8" s="94">
        <f>ROUNDDOWN(250/D6,2)</f>
        <v>2.41</v>
      </c>
      <c r="G8" s="258" t="s">
        <v>133</v>
      </c>
      <c r="H8" s="258"/>
      <c r="I8" s="94">
        <f>ROUNDDOWN(250/I6,2)</f>
        <v>12.07</v>
      </c>
    </row>
    <row r="10" spans="2:10" x14ac:dyDescent="0.2">
      <c r="B10" s="18" t="s">
        <v>29</v>
      </c>
      <c r="C10" s="64">
        <v>48</v>
      </c>
    </row>
    <row r="12" spans="2:10" x14ac:dyDescent="0.2">
      <c r="B12" s="18" t="s">
        <v>8</v>
      </c>
      <c r="C12" s="99">
        <f>((C10*12*C6/16)*1.15)-C13</f>
        <v>103.49999999999999</v>
      </c>
      <c r="G12" s="18" t="s">
        <v>40</v>
      </c>
      <c r="H12" s="99">
        <f>((C10*12*H6/16)*1.15)-H13</f>
        <v>31.049999999999997</v>
      </c>
    </row>
    <row r="13" spans="2:10" x14ac:dyDescent="0.2">
      <c r="B13" s="18" t="s">
        <v>9</v>
      </c>
      <c r="C13" s="64">
        <v>0</v>
      </c>
      <c r="G13" s="18" t="s">
        <v>9</v>
      </c>
      <c r="H13" s="64">
        <v>0</v>
      </c>
    </row>
    <row r="14" spans="2:10" x14ac:dyDescent="0.2">
      <c r="B14" s="18" t="s">
        <v>10</v>
      </c>
      <c r="C14" s="99">
        <f>E3*D6</f>
        <v>103.5</v>
      </c>
      <c r="G14" s="18" t="s">
        <v>41</v>
      </c>
      <c r="H14" s="99">
        <f>J3*I6</f>
        <v>31.049999999999997</v>
      </c>
    </row>
    <row r="15" spans="2:10" ht="15.75" thickBot="1" x14ac:dyDescent="0.25"/>
    <row r="16" spans="2:10" ht="15.75" thickBot="1" x14ac:dyDescent="0.25">
      <c r="B16" s="18" t="s">
        <v>11</v>
      </c>
      <c r="G16" s="302" t="s">
        <v>142</v>
      </c>
      <c r="H16" s="303"/>
      <c r="I16" s="303"/>
      <c r="J16" s="304"/>
    </row>
    <row r="17" spans="2:10" ht="15.75" thickBot="1" x14ac:dyDescent="0.25">
      <c r="B17" s="18" t="s">
        <v>36</v>
      </c>
      <c r="C17" s="99">
        <f>J3*I4</f>
        <v>15.524999999999999</v>
      </c>
      <c r="D17" s="18" t="s">
        <v>12</v>
      </c>
      <c r="G17" s="220"/>
      <c r="H17" s="223" t="s">
        <v>92</v>
      </c>
      <c r="I17" s="222" t="s">
        <v>96</v>
      </c>
      <c r="J17" s="12" t="s">
        <v>171</v>
      </c>
    </row>
    <row r="18" spans="2:10" ht="15.75" thickBot="1" x14ac:dyDescent="0.25">
      <c r="B18" s="18" t="s">
        <v>39</v>
      </c>
      <c r="C18" s="99">
        <f>D4*E3</f>
        <v>2.8980000000000001</v>
      </c>
      <c r="D18" s="18" t="s">
        <v>12</v>
      </c>
      <c r="G18" s="35" t="s">
        <v>141</v>
      </c>
      <c r="H18" s="35">
        <v>2</v>
      </c>
      <c r="I18" s="218">
        <f>48*12/16*H18*1.25</f>
        <v>90</v>
      </c>
      <c r="J18" s="12" t="str">
        <f>ROUNDUP(((((C10*12*H18/16)*1.25))/82),0)&amp; " Buckets"</f>
        <v>2 Buckets</v>
      </c>
    </row>
    <row r="19" spans="2:10" ht="41.25" x14ac:dyDescent="0.2">
      <c r="B19" s="154" t="s">
        <v>160</v>
      </c>
      <c r="C19" s="99">
        <f>J3*I5</f>
        <v>31.049999999999997</v>
      </c>
      <c r="D19" s="18" t="s">
        <v>12</v>
      </c>
    </row>
    <row r="20" spans="2:10" ht="41.25" x14ac:dyDescent="0.2">
      <c r="B20" s="154" t="s">
        <v>158</v>
      </c>
      <c r="C20" s="99">
        <f>D5*E3</f>
        <v>100.602</v>
      </c>
      <c r="D20" s="18" t="s">
        <v>12</v>
      </c>
    </row>
    <row r="24" spans="2:10" x14ac:dyDescent="0.2">
      <c r="C24" s="99"/>
      <c r="D24" s="167"/>
    </row>
    <row r="25" spans="2:10" x14ac:dyDescent="0.2">
      <c r="C25" s="99"/>
    </row>
  </sheetData>
  <sheetProtection sheet="1" objects="1" scenarios="1" selectLockedCells="1"/>
  <mergeCells count="7">
    <mergeCell ref="G16:J16"/>
    <mergeCell ref="B2:D2"/>
    <mergeCell ref="G2:I2"/>
    <mergeCell ref="E3:E6"/>
    <mergeCell ref="J3:J6"/>
    <mergeCell ref="B8:C8"/>
    <mergeCell ref="G8:H8"/>
  </mergeCells>
  <pageMargins left="0" right="0" top="0" bottom="0" header="0" footer="0"/>
  <pageSetup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A998"/>
  <sheetViews>
    <sheetView workbookViewId="0">
      <selection activeCell="C13" sqref="C13"/>
    </sheetView>
  </sheetViews>
  <sheetFormatPr defaultColWidth="14.390625" defaultRowHeight="15" customHeight="1" x14ac:dyDescent="0.2"/>
  <cols>
    <col min="1" max="1" width="9.14453125" customWidth="1"/>
    <col min="2" max="2" width="29.0546875" bestFit="1" customWidth="1"/>
    <col min="3" max="3" width="8.875" bestFit="1" customWidth="1"/>
    <col min="4" max="4" width="9.28125" bestFit="1" customWidth="1"/>
    <col min="5" max="5" width="10.76171875" bestFit="1" customWidth="1"/>
    <col min="6" max="27" width="9.14453125" customWidth="1"/>
  </cols>
  <sheetData>
    <row r="1" spans="1:27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thickBot="1" x14ac:dyDescent="0.25">
      <c r="A2" s="1"/>
      <c r="B2" s="322" t="s">
        <v>119</v>
      </c>
      <c r="C2" s="323"/>
      <c r="D2" s="324"/>
      <c r="E2" s="3" t="s">
        <v>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 thickBot="1" x14ac:dyDescent="0.25">
      <c r="A3" s="1"/>
      <c r="B3" s="2"/>
      <c r="C3" s="68" t="s">
        <v>92</v>
      </c>
      <c r="D3" s="225" t="s">
        <v>132</v>
      </c>
      <c r="E3" s="325">
        <f>ROUNDUP(C15/D9,1)</f>
        <v>1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" customHeight="1" x14ac:dyDescent="0.2">
      <c r="A4" s="1"/>
      <c r="B4" s="196" t="s">
        <v>161</v>
      </c>
      <c r="C4" s="8">
        <v>0.35</v>
      </c>
      <c r="D4" s="226">
        <f>48*12*C4/16*1.15</f>
        <v>14.489999999999998</v>
      </c>
      <c r="E4" s="326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" customHeight="1" x14ac:dyDescent="0.2">
      <c r="A5" s="1"/>
      <c r="B5" s="197" t="s">
        <v>22</v>
      </c>
      <c r="C5" s="5">
        <v>0.35</v>
      </c>
      <c r="D5" s="227">
        <f>48*12*C5/16*1.15</f>
        <v>14.489999999999998</v>
      </c>
      <c r="E5" s="326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" customHeight="1" x14ac:dyDescent="0.2">
      <c r="A6" s="1"/>
      <c r="B6" s="4" t="s">
        <v>13</v>
      </c>
      <c r="C6" s="5"/>
      <c r="D6" s="227">
        <v>5</v>
      </c>
      <c r="E6" s="326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6.5" customHeight="1" x14ac:dyDescent="0.2">
      <c r="A7" s="1"/>
      <c r="B7" s="4" t="s">
        <v>23</v>
      </c>
      <c r="C7" s="5">
        <v>0.35</v>
      </c>
      <c r="D7" s="227">
        <f>48*12*C7/16*1.15</f>
        <v>14.489999999999998</v>
      </c>
      <c r="E7" s="326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 thickBot="1" x14ac:dyDescent="0.25">
      <c r="A8" s="1"/>
      <c r="B8" s="6" t="s">
        <v>24</v>
      </c>
      <c r="C8" s="7">
        <v>0.35</v>
      </c>
      <c r="D8" s="228">
        <f>48*12*C8/16*1.15</f>
        <v>14.489999999999998</v>
      </c>
      <c r="E8" s="326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5.75" thickBot="1" x14ac:dyDescent="0.25">
      <c r="A9" s="1"/>
      <c r="B9" s="66" t="s">
        <v>17</v>
      </c>
      <c r="C9" s="67">
        <f>SUM(C4:C8)</f>
        <v>1.4</v>
      </c>
      <c r="D9" s="224">
        <f>SUM(D4,D5,D7,D8)</f>
        <v>57.959999999999994</v>
      </c>
      <c r="E9" s="32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9.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9.5" customHeight="1" x14ac:dyDescent="0.2">
      <c r="A11" s="1"/>
      <c r="B11" s="258" t="s">
        <v>133</v>
      </c>
      <c r="C11" s="258"/>
      <c r="D11" s="94">
        <f>ROUNDDOWN(250/D9,2)</f>
        <v>4.3099999999999996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9.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x14ac:dyDescent="0.2">
      <c r="A13" s="1"/>
      <c r="B13" s="1" t="s">
        <v>29</v>
      </c>
      <c r="C13" s="79">
        <v>48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7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7" x14ac:dyDescent="0.2">
      <c r="A15" s="1"/>
      <c r="B15" s="1" t="s">
        <v>8</v>
      </c>
      <c r="C15" s="1">
        <f>((C13*12*C9/16)*1.15)-C16</f>
        <v>57.959999999999994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7" x14ac:dyDescent="0.2">
      <c r="A16" s="1"/>
      <c r="B16" s="1" t="s">
        <v>9</v>
      </c>
      <c r="C16" s="79">
        <v>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7" x14ac:dyDescent="0.2">
      <c r="A17" s="1"/>
      <c r="B17" s="1" t="s">
        <v>10</v>
      </c>
      <c r="C17" s="1">
        <f>E3*D9</f>
        <v>57.959999999999994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7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7" x14ac:dyDescent="0.2">
      <c r="A19" s="1"/>
      <c r="B19" s="1" t="s">
        <v>11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7" ht="15.75" customHeight="1" x14ac:dyDescent="0.2">
      <c r="A20" s="1"/>
      <c r="B20" s="198" t="s">
        <v>161</v>
      </c>
      <c r="C20" s="1">
        <f>E3*D4</f>
        <v>14.489999999999998</v>
      </c>
      <c r="D20" s="1" t="s">
        <v>12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7" ht="15.75" customHeight="1" x14ac:dyDescent="0.2">
      <c r="A21" s="1"/>
      <c r="B21" s="1" t="s">
        <v>22</v>
      </c>
      <c r="C21" s="1">
        <f>E3*D5</f>
        <v>14.489999999999998</v>
      </c>
      <c r="D21" s="1" t="s">
        <v>12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7" ht="15.75" customHeight="1" x14ac:dyDescent="0.2">
      <c r="A22" s="1"/>
      <c r="B22" s="1" t="s">
        <v>23</v>
      </c>
      <c r="C22" s="1">
        <f>E3*D7</f>
        <v>14.489999999999998</v>
      </c>
      <c r="D22" s="1" t="s">
        <v>12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7" ht="15.75" customHeight="1" x14ac:dyDescent="0.2">
      <c r="A23" s="1"/>
      <c r="B23" s="1" t="s">
        <v>24</v>
      </c>
      <c r="C23" s="1">
        <f>E3*D8</f>
        <v>14.489999999999998</v>
      </c>
      <c r="D23" s="1" t="s">
        <v>12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7" ht="15.75" customHeight="1" x14ac:dyDescent="0.2">
      <c r="A24" s="1"/>
      <c r="B24" s="1" t="s">
        <v>13</v>
      </c>
      <c r="C24" s="1">
        <f>D6*E3</f>
        <v>5</v>
      </c>
      <c r="D24" s="1" t="s">
        <v>12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7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.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</sheetData>
  <sheetProtection sheet="1" objects="1" scenarios="1" selectLockedCells="1"/>
  <mergeCells count="3">
    <mergeCell ref="B2:D2"/>
    <mergeCell ref="B11:C11"/>
    <mergeCell ref="E3:E9"/>
  </mergeCells>
  <pageMargins left="0" right="0" top="0" bottom="0" header="0" footer="0"/>
  <pageSetup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B1:E35"/>
  <sheetViews>
    <sheetView workbookViewId="0">
      <selection activeCell="C17" sqref="C17"/>
    </sheetView>
  </sheetViews>
  <sheetFormatPr defaultColWidth="14.390625" defaultRowHeight="15" x14ac:dyDescent="0.2"/>
  <cols>
    <col min="1" max="1" width="9.14453125" style="18" customWidth="1"/>
    <col min="2" max="2" width="27.7109375" style="18" bestFit="1" customWidth="1"/>
    <col min="3" max="3" width="8.875" style="18" bestFit="1" customWidth="1"/>
    <col min="4" max="4" width="9.28125" style="18" bestFit="1" customWidth="1"/>
    <col min="5" max="5" width="10.76171875" style="18" bestFit="1" customWidth="1"/>
    <col min="6" max="27" width="9.14453125" style="18" customWidth="1"/>
    <col min="28" max="16384" width="14.390625" style="18"/>
  </cols>
  <sheetData>
    <row r="1" spans="2:5" ht="15.75" thickBot="1" x14ac:dyDescent="0.25"/>
    <row r="2" spans="2:5" ht="15.75" thickBot="1" x14ac:dyDescent="0.25">
      <c r="B2" s="305" t="s">
        <v>110</v>
      </c>
      <c r="C2" s="300"/>
      <c r="D2" s="295"/>
      <c r="E2" s="47" t="s">
        <v>0</v>
      </c>
    </row>
    <row r="3" spans="2:5" ht="15.75" thickBot="1" x14ac:dyDescent="0.25">
      <c r="B3" s="48"/>
      <c r="C3" s="55" t="s">
        <v>92</v>
      </c>
      <c r="D3" s="193" t="s">
        <v>132</v>
      </c>
      <c r="E3" s="296">
        <f>ROUNDUP(C16/D9,1)</f>
        <v>2.2000000000000002</v>
      </c>
    </row>
    <row r="4" spans="2:5" x14ac:dyDescent="0.2">
      <c r="B4" s="49" t="s">
        <v>65</v>
      </c>
      <c r="C4" s="174">
        <v>2.2999999999999998</v>
      </c>
      <c r="D4" s="175">
        <f>48*12*C4/16*1.15</f>
        <v>95.219999999999985</v>
      </c>
      <c r="E4" s="297"/>
    </row>
    <row r="5" spans="2:5" x14ac:dyDescent="0.2">
      <c r="B5" s="173" t="s">
        <v>154</v>
      </c>
      <c r="C5" s="169">
        <v>0.24</v>
      </c>
      <c r="D5" s="176">
        <f>48*12*C5/16*1.15</f>
        <v>9.9359999999999999</v>
      </c>
      <c r="E5" s="297"/>
    </row>
    <row r="6" spans="2:5" x14ac:dyDescent="0.2">
      <c r="B6" s="179" t="s">
        <v>155</v>
      </c>
      <c r="C6" s="170">
        <v>0.06</v>
      </c>
      <c r="D6" s="176">
        <f>48*12*C6/16*1.15</f>
        <v>2.484</v>
      </c>
      <c r="E6" s="297"/>
    </row>
    <row r="7" spans="2:5" x14ac:dyDescent="0.2">
      <c r="B7" s="44" t="s">
        <v>66</v>
      </c>
      <c r="C7" s="169">
        <v>0.3</v>
      </c>
      <c r="D7" s="176">
        <f>48*12*C7/16*1.15</f>
        <v>12.419999999999998</v>
      </c>
      <c r="E7" s="297"/>
    </row>
    <row r="8" spans="2:5" ht="15.75" thickBot="1" x14ac:dyDescent="0.25">
      <c r="B8" s="27" t="s">
        <v>67</v>
      </c>
      <c r="C8" s="170">
        <v>0.1</v>
      </c>
      <c r="D8" s="177">
        <f>48*12*C8/16*1.15</f>
        <v>4.1399999999999997</v>
      </c>
      <c r="E8" s="297"/>
    </row>
    <row r="9" spans="2:5" ht="15.75" thickBot="1" x14ac:dyDescent="0.25">
      <c r="B9" s="19" t="s">
        <v>2</v>
      </c>
      <c r="C9" s="171">
        <f>SUM(C4:C8)</f>
        <v>3</v>
      </c>
      <c r="D9" s="178">
        <f>SUM(D4:D8)</f>
        <v>124.19999999999997</v>
      </c>
      <c r="E9" s="276"/>
    </row>
    <row r="11" spans="2:5" x14ac:dyDescent="0.2">
      <c r="B11" s="258" t="s">
        <v>133</v>
      </c>
      <c r="C11" s="258"/>
      <c r="D11" s="94">
        <f>ROUNDDOWN(250/D9,2)</f>
        <v>2.0099999999999998</v>
      </c>
    </row>
    <row r="13" spans="2:5" x14ac:dyDescent="0.2">
      <c r="B13" s="18" t="s">
        <v>29</v>
      </c>
      <c r="C13" s="64">
        <v>105</v>
      </c>
    </row>
    <row r="14" spans="2:5" x14ac:dyDescent="0.2">
      <c r="B14" s="18" t="s">
        <v>28</v>
      </c>
      <c r="C14" s="18">
        <v>3</v>
      </c>
    </row>
    <row r="15" spans="2:5" x14ac:dyDescent="0.2">
      <c r="D15" s="328" t="s">
        <v>111</v>
      </c>
      <c r="E15" s="328"/>
    </row>
    <row r="16" spans="2:5" x14ac:dyDescent="0.2">
      <c r="B16" s="18" t="s">
        <v>8</v>
      </c>
      <c r="C16" s="99">
        <f>((C13*12*C14/16)*1.15)-C17</f>
        <v>271.6875</v>
      </c>
      <c r="D16" s="328"/>
      <c r="E16" s="328"/>
    </row>
    <row r="17" spans="2:5" x14ac:dyDescent="0.2">
      <c r="B17" s="18" t="s">
        <v>9</v>
      </c>
      <c r="C17" s="64">
        <v>0</v>
      </c>
      <c r="D17" s="328"/>
      <c r="E17" s="328"/>
    </row>
    <row r="18" spans="2:5" x14ac:dyDescent="0.2">
      <c r="B18" s="18" t="s">
        <v>10</v>
      </c>
      <c r="C18" s="99">
        <f>E3*D9</f>
        <v>273.23999999999995</v>
      </c>
      <c r="D18" s="328"/>
      <c r="E18" s="328"/>
    </row>
    <row r="20" spans="2:5" x14ac:dyDescent="0.2">
      <c r="B20" s="18" t="s">
        <v>11</v>
      </c>
    </row>
    <row r="21" spans="2:5" x14ac:dyDescent="0.2">
      <c r="B21" s="18" t="s">
        <v>65</v>
      </c>
      <c r="C21" s="99">
        <f>E3*D4</f>
        <v>209.48399999999998</v>
      </c>
    </row>
    <row r="22" spans="2:5" x14ac:dyDescent="0.2">
      <c r="B22" s="167" t="s">
        <v>154</v>
      </c>
      <c r="C22" s="99">
        <f>E3*D5</f>
        <v>21.859200000000001</v>
      </c>
    </row>
    <row r="23" spans="2:5" x14ac:dyDescent="0.2">
      <c r="B23" s="167" t="s">
        <v>155</v>
      </c>
      <c r="C23" s="99">
        <f>E3*D6</f>
        <v>5.4648000000000003</v>
      </c>
    </row>
    <row r="24" spans="2:5" x14ac:dyDescent="0.2">
      <c r="B24" s="18" t="s">
        <v>66</v>
      </c>
      <c r="C24" s="99">
        <f>E3*D7</f>
        <v>27.323999999999998</v>
      </c>
    </row>
    <row r="25" spans="2:5" x14ac:dyDescent="0.2">
      <c r="B25" s="18" t="s">
        <v>67</v>
      </c>
      <c r="C25" s="99">
        <f>E3*D8</f>
        <v>9.1080000000000005</v>
      </c>
    </row>
    <row r="27" spans="2:5" x14ac:dyDescent="0.2">
      <c r="B27" s="280" t="s">
        <v>68</v>
      </c>
      <c r="C27" s="280"/>
      <c r="D27" s="280"/>
    </row>
    <row r="28" spans="2:5" x14ac:dyDescent="0.2">
      <c r="B28" s="315" t="s">
        <v>156</v>
      </c>
      <c r="C28" s="319"/>
      <c r="D28" s="319"/>
    </row>
    <row r="29" spans="2:5" x14ac:dyDescent="0.2">
      <c r="B29" s="319" t="s">
        <v>69</v>
      </c>
      <c r="C29" s="319"/>
      <c r="D29" s="319"/>
    </row>
    <row r="30" spans="2:5" x14ac:dyDescent="0.2">
      <c r="B30" s="319" t="s">
        <v>70</v>
      </c>
      <c r="C30" s="319"/>
      <c r="D30" s="319"/>
    </row>
    <row r="31" spans="2:5" x14ac:dyDescent="0.2">
      <c r="B31" s="319" t="s">
        <v>71</v>
      </c>
      <c r="C31" s="319"/>
      <c r="D31" s="319"/>
    </row>
    <row r="32" spans="2:5" x14ac:dyDescent="0.2">
      <c r="B32" s="315" t="s">
        <v>157</v>
      </c>
      <c r="C32" s="319"/>
      <c r="D32" s="319"/>
    </row>
    <row r="33" spans="2:4" x14ac:dyDescent="0.2">
      <c r="B33" s="319" t="s">
        <v>72</v>
      </c>
      <c r="C33" s="319"/>
      <c r="D33" s="319"/>
    </row>
    <row r="34" spans="2:4" x14ac:dyDescent="0.2">
      <c r="B34" s="319"/>
      <c r="C34" s="319"/>
      <c r="D34" s="319"/>
    </row>
    <row r="35" spans="2:4" x14ac:dyDescent="0.2">
      <c r="B35" s="280" t="s">
        <v>73</v>
      </c>
      <c r="C35" s="280"/>
      <c r="D35" s="280"/>
    </row>
  </sheetData>
  <sheetProtection sheet="1" objects="1" scenarios="1" selectLockedCells="1"/>
  <mergeCells count="13">
    <mergeCell ref="B2:D2"/>
    <mergeCell ref="E3:E9"/>
    <mergeCell ref="D15:E18"/>
    <mergeCell ref="B27:D27"/>
    <mergeCell ref="B28:D28"/>
    <mergeCell ref="B11:C11"/>
    <mergeCell ref="B29:D29"/>
    <mergeCell ref="B35:D35"/>
    <mergeCell ref="B30:D30"/>
    <mergeCell ref="B31:D31"/>
    <mergeCell ref="B32:D32"/>
    <mergeCell ref="B33:D33"/>
    <mergeCell ref="B34:D34"/>
  </mergeCells>
  <pageMargins left="0" right="0" top="0" bottom="0" header="0" footer="0"/>
  <pageSetup fitToWidth="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E9"/>
  <sheetViews>
    <sheetView workbookViewId="0">
      <selection activeCell="C6" sqref="C6"/>
    </sheetView>
  </sheetViews>
  <sheetFormatPr defaultColWidth="14.390625" defaultRowHeight="15" x14ac:dyDescent="0.2"/>
  <cols>
    <col min="1" max="1" width="3.765625" style="9" customWidth="1"/>
    <col min="2" max="2" width="24.48046875" style="9" bestFit="1" customWidth="1"/>
    <col min="3" max="3" width="8.875" style="9" bestFit="1" customWidth="1"/>
    <col min="4" max="4" width="8.203125" style="9" bestFit="1" customWidth="1"/>
    <col min="5" max="5" width="13.1796875" style="9" bestFit="1" customWidth="1"/>
    <col min="6" max="26" width="9.14453125" style="9" customWidth="1"/>
    <col min="27" max="16384" width="14.390625" style="9"/>
  </cols>
  <sheetData>
    <row r="1" spans="2:5" ht="15.75" thickBot="1" x14ac:dyDescent="0.25"/>
    <row r="2" spans="2:5" ht="15.75" thickBot="1" x14ac:dyDescent="0.25">
      <c r="B2" s="307" t="s">
        <v>153</v>
      </c>
      <c r="C2" s="308"/>
      <c r="D2" s="308"/>
      <c r="E2" s="309"/>
    </row>
    <row r="3" spans="2:5" ht="15.75" thickBot="1" x14ac:dyDescent="0.25">
      <c r="B3" s="36"/>
      <c r="C3" s="37" t="s">
        <v>92</v>
      </c>
      <c r="D3" s="105" t="s">
        <v>96</v>
      </c>
      <c r="E3" s="12" t="s">
        <v>171</v>
      </c>
    </row>
    <row r="4" spans="2:5" ht="15.75" thickBot="1" x14ac:dyDescent="0.25">
      <c r="B4" s="35" t="s">
        <v>19</v>
      </c>
      <c r="C4" s="109">
        <v>2</v>
      </c>
      <c r="D4" s="218">
        <f>48*12/16*C4*1.25</f>
        <v>90</v>
      </c>
      <c r="E4" s="12" t="str">
        <f>((C6*12*C4/16)*1.25)&amp; " pounds"</f>
        <v>90 pounds</v>
      </c>
    </row>
    <row r="6" spans="2:5" x14ac:dyDescent="0.2">
      <c r="B6" s="9" t="s">
        <v>20</v>
      </c>
      <c r="C6" s="78">
        <v>48</v>
      </c>
    </row>
    <row r="9" spans="2:5" x14ac:dyDescent="0.2">
      <c r="C9" s="94"/>
    </row>
  </sheetData>
  <sheetProtection sheet="1" objects="1" scenarios="1" selectLockedCells="1"/>
  <mergeCells count="1">
    <mergeCell ref="B2:E2"/>
  </mergeCells>
  <pageMargins left="0" right="0" top="0" bottom="0" header="0" footer="0"/>
  <pageSetup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00511-8340-4186-8040-A5E72F730147}">
  <dimension ref="B1:E11"/>
  <sheetViews>
    <sheetView workbookViewId="0">
      <selection activeCell="C7" sqref="C7"/>
    </sheetView>
  </sheetViews>
  <sheetFormatPr defaultColWidth="14.390625" defaultRowHeight="15" x14ac:dyDescent="0.2"/>
  <cols>
    <col min="1" max="1" width="3.765625" style="9" customWidth="1"/>
    <col min="2" max="2" width="21.5234375" style="9" bestFit="1" customWidth="1"/>
    <col min="3" max="3" width="8.875" style="9" bestFit="1" customWidth="1"/>
    <col min="4" max="4" width="8.609375" style="9" bestFit="1" customWidth="1"/>
    <col min="5" max="5" width="13.1796875" style="9" bestFit="1" customWidth="1"/>
    <col min="6" max="21" width="9.14453125" style="9" customWidth="1"/>
    <col min="22" max="16384" width="14.390625" style="9"/>
  </cols>
  <sheetData>
    <row r="1" spans="2:5" ht="15.75" thickBot="1" x14ac:dyDescent="0.25"/>
    <row r="2" spans="2:5" ht="33.75" customHeight="1" thickBot="1" x14ac:dyDescent="0.25">
      <c r="B2" s="329" t="s">
        <v>175</v>
      </c>
      <c r="C2" s="308"/>
      <c r="D2" s="308"/>
      <c r="E2" s="309"/>
    </row>
    <row r="3" spans="2:5" ht="15.75" thickBot="1" x14ac:dyDescent="0.25">
      <c r="B3" s="220"/>
      <c r="C3" s="229" t="s">
        <v>92</v>
      </c>
      <c r="D3" s="222" t="s">
        <v>96</v>
      </c>
      <c r="E3" s="12" t="s">
        <v>171</v>
      </c>
    </row>
    <row r="4" spans="2:5" ht="28.5" thickBot="1" x14ac:dyDescent="0.25">
      <c r="B4" s="211" t="s">
        <v>167</v>
      </c>
      <c r="C4" s="109">
        <v>0.4</v>
      </c>
      <c r="D4" s="218">
        <f>105*12/16*C4*1.25</f>
        <v>39.375</v>
      </c>
      <c r="E4" s="108">
        <f>((C7*12*C4/16)*1.25)</f>
        <v>78.75</v>
      </c>
    </row>
    <row r="5" spans="2:5" ht="28.5" thickBot="1" x14ac:dyDescent="0.25">
      <c r="B5" s="211" t="s">
        <v>168</v>
      </c>
      <c r="C5" s="109">
        <v>0.6</v>
      </c>
      <c r="D5" s="218">
        <f>105*12/16*C5*1.25</f>
        <v>59.0625</v>
      </c>
      <c r="E5" s="108">
        <f>((C7*12*C5/16)*1.25)</f>
        <v>118.125</v>
      </c>
    </row>
    <row r="7" spans="2:5" x14ac:dyDescent="0.2">
      <c r="B7" s="9" t="s">
        <v>20</v>
      </c>
      <c r="C7" s="78">
        <v>210</v>
      </c>
    </row>
    <row r="10" spans="2:5" x14ac:dyDescent="0.2">
      <c r="B10" s="154"/>
      <c r="C10" s="212"/>
      <c r="D10" s="167"/>
    </row>
    <row r="11" spans="2:5" x14ac:dyDescent="0.2">
      <c r="B11" s="154"/>
      <c r="C11" s="212"/>
      <c r="D11" s="167"/>
    </row>
  </sheetData>
  <sheetProtection sheet="1" objects="1" scenarios="1" selectLockedCells="1"/>
  <mergeCells count="1">
    <mergeCell ref="B2:E2"/>
  </mergeCells>
  <pageMargins left="0" right="0" top="0" bottom="0" header="0" footer="0"/>
  <pageSetup orientation="landscape" horizontalDpi="0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ACA1A-8957-4292-9E3B-670A5FF6AB11}">
  <dimension ref="B1:I12"/>
  <sheetViews>
    <sheetView workbookViewId="0">
      <selection activeCell="C6" sqref="C6"/>
    </sheetView>
  </sheetViews>
  <sheetFormatPr defaultColWidth="9.14453125" defaultRowHeight="15" x14ac:dyDescent="0.2"/>
  <cols>
    <col min="1" max="1" width="9.14453125" style="9"/>
    <col min="2" max="2" width="24.48046875" style="9" bestFit="1" customWidth="1"/>
    <col min="3" max="3" width="8.875" style="9" bestFit="1" customWidth="1"/>
    <col min="4" max="4" width="8.609375" style="9" bestFit="1" customWidth="1"/>
    <col min="5" max="5" width="9.14453125" style="9"/>
    <col min="6" max="6" width="13.85546875" style="9" bestFit="1" customWidth="1"/>
    <col min="7" max="7" width="8.875" style="9" bestFit="1" customWidth="1"/>
    <col min="8" max="8" width="8.203125" style="9" bestFit="1" customWidth="1"/>
    <col min="9" max="9" width="13.1796875" style="9" bestFit="1" customWidth="1"/>
    <col min="10" max="16384" width="9.14453125" style="9"/>
  </cols>
  <sheetData>
    <row r="1" spans="2:9" ht="15.75" thickBot="1" x14ac:dyDescent="0.25"/>
    <row r="2" spans="2:9" ht="15.75" thickBot="1" x14ac:dyDescent="0.25">
      <c r="B2" s="330" t="s">
        <v>169</v>
      </c>
      <c r="C2" s="269"/>
      <c r="D2" s="270"/>
      <c r="F2" s="307" t="s">
        <v>142</v>
      </c>
      <c r="G2" s="308"/>
      <c r="H2" s="308"/>
      <c r="I2" s="309"/>
    </row>
    <row r="3" spans="2:9" ht="15.75" thickBot="1" x14ac:dyDescent="0.25">
      <c r="B3" s="36"/>
      <c r="C3" s="37" t="s">
        <v>92</v>
      </c>
      <c r="D3" s="105" t="s">
        <v>96</v>
      </c>
      <c r="F3" s="220"/>
      <c r="G3" s="229" t="s">
        <v>92</v>
      </c>
      <c r="H3" s="222" t="s">
        <v>96</v>
      </c>
      <c r="I3" s="12" t="s">
        <v>171</v>
      </c>
    </row>
    <row r="4" spans="2:9" ht="28.5" thickBot="1" x14ac:dyDescent="0.25">
      <c r="B4" s="35" t="s">
        <v>19</v>
      </c>
      <c r="C4" s="109">
        <v>2</v>
      </c>
      <c r="D4" s="109">
        <f>105*12/16*C4*1.25</f>
        <v>196.875</v>
      </c>
      <c r="F4" s="211" t="s">
        <v>168</v>
      </c>
      <c r="G4" s="109">
        <v>0.6</v>
      </c>
      <c r="H4" s="218">
        <f>105*12/16*G4*1.25</f>
        <v>59.0625</v>
      </c>
      <c r="I4" s="108">
        <f>((C6*12*G4/16)*1.25)</f>
        <v>177.1875</v>
      </c>
    </row>
    <row r="6" spans="2:9" x14ac:dyDescent="0.2">
      <c r="B6" s="9" t="s">
        <v>20</v>
      </c>
      <c r="C6" s="78">
        <v>315</v>
      </c>
    </row>
    <row r="8" spans="2:9" x14ac:dyDescent="0.2">
      <c r="B8" s="9" t="s">
        <v>11</v>
      </c>
    </row>
    <row r="9" spans="2:9" x14ac:dyDescent="0.2">
      <c r="B9" s="9" t="s">
        <v>19</v>
      </c>
      <c r="C9" s="94">
        <f>((C6*12*C4/16)*1.25)</f>
        <v>590.625</v>
      </c>
      <c r="D9" s="9" t="s">
        <v>12</v>
      </c>
    </row>
    <row r="12" spans="2:9" x14ac:dyDescent="0.2">
      <c r="B12" s="154"/>
      <c r="C12" s="212"/>
      <c r="D12" s="167"/>
    </row>
  </sheetData>
  <sheetProtection sheet="1" objects="1" scenarios="1" selectLockedCells="1"/>
  <mergeCells count="2">
    <mergeCell ref="B2:D2"/>
    <mergeCell ref="F2:I2"/>
  </mergeCells>
  <pageMargins left="0" right="0" top="0" bottom="0" header="0" footer="0"/>
  <pageSetup orientation="landscape" horizontalDpi="0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7B8C4-7B2E-4C47-AB24-5E3BCDEB1FE4}">
  <dimension ref="B1:E6"/>
  <sheetViews>
    <sheetView workbookViewId="0">
      <selection activeCell="C6" sqref="C6"/>
    </sheetView>
  </sheetViews>
  <sheetFormatPr defaultColWidth="14.390625" defaultRowHeight="15" x14ac:dyDescent="0.2"/>
  <cols>
    <col min="1" max="1" width="3.765625" style="9" customWidth="1"/>
    <col min="2" max="2" width="18.6953125" style="9" bestFit="1" customWidth="1"/>
    <col min="3" max="3" width="8.875" style="9" bestFit="1" customWidth="1"/>
    <col min="4" max="4" width="8.203125" style="9" bestFit="1" customWidth="1"/>
    <col min="5" max="5" width="13.1796875" style="9" bestFit="1" customWidth="1"/>
    <col min="6" max="6" width="15.46875" style="9" customWidth="1"/>
    <col min="7" max="7" width="8.875" style="9" bestFit="1" customWidth="1"/>
    <col min="8" max="8" width="8.203125" style="9" bestFit="1" customWidth="1"/>
    <col min="9" max="26" width="9.14453125" style="9" customWidth="1"/>
    <col min="27" max="16384" width="14.390625" style="9"/>
  </cols>
  <sheetData>
    <row r="1" spans="2:5" ht="15.75" thickBot="1" x14ac:dyDescent="0.25"/>
    <row r="2" spans="2:5" ht="33.75" customHeight="1" thickBot="1" x14ac:dyDescent="0.25">
      <c r="B2" s="329" t="s">
        <v>176</v>
      </c>
      <c r="C2" s="331"/>
      <c r="D2" s="331"/>
      <c r="E2" s="332"/>
    </row>
    <row r="3" spans="2:5" ht="15.75" thickBot="1" x14ac:dyDescent="0.25">
      <c r="B3" s="220"/>
      <c r="C3" s="229" t="s">
        <v>92</v>
      </c>
      <c r="D3" s="222" t="s">
        <v>96</v>
      </c>
      <c r="E3" s="217" t="s">
        <v>171</v>
      </c>
    </row>
    <row r="4" spans="2:5" ht="28.5" thickBot="1" x14ac:dyDescent="0.25">
      <c r="B4" s="211" t="s">
        <v>168</v>
      </c>
      <c r="C4" s="109">
        <v>0.6</v>
      </c>
      <c r="D4" s="218">
        <f>105*12/16*C4*1.25</f>
        <v>59.0625</v>
      </c>
      <c r="E4" s="108">
        <f>((C6*12*C4/16)*1.25)</f>
        <v>118.125</v>
      </c>
    </row>
    <row r="6" spans="2:5" x14ac:dyDescent="0.2">
      <c r="B6" s="9" t="s">
        <v>20</v>
      </c>
      <c r="C6" s="78">
        <v>210</v>
      </c>
    </row>
  </sheetData>
  <sheetProtection sheet="1" objects="1" scenarios="1" selectLockedCells="1"/>
  <mergeCells count="1">
    <mergeCell ref="B2:E2"/>
  </mergeCells>
  <pageMargins left="0" right="0" top="0" bottom="0" header="0" footer="0"/>
  <pageSetup orientation="landscape" horizontalDpi="0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A1001"/>
  <sheetViews>
    <sheetView workbookViewId="0">
      <selection activeCell="C13" sqref="C13"/>
    </sheetView>
  </sheetViews>
  <sheetFormatPr defaultColWidth="14.390625" defaultRowHeight="15" x14ac:dyDescent="0.2"/>
  <cols>
    <col min="1" max="1" width="9.14453125" style="56" customWidth="1"/>
    <col min="2" max="2" width="27.7109375" style="56" bestFit="1" customWidth="1"/>
    <col min="3" max="3" width="8.875" style="56" bestFit="1" customWidth="1"/>
    <col min="4" max="4" width="9.28125" style="56" bestFit="1" customWidth="1"/>
    <col min="5" max="5" width="10.76171875" style="56" bestFit="1" customWidth="1"/>
    <col min="6" max="6" width="9.14453125" style="56" customWidth="1"/>
    <col min="7" max="7" width="15.19921875" style="56" customWidth="1"/>
    <col min="8" max="9" width="9.14453125" style="56" customWidth="1"/>
    <col min="10" max="10" width="12.375" style="56" bestFit="1" customWidth="1"/>
    <col min="11" max="27" width="9.14453125" style="56" customWidth="1"/>
    <col min="28" max="16384" width="14.390625" style="56"/>
  </cols>
  <sheetData>
    <row r="1" spans="1:27" ht="15.75" thickBot="1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spans="1:27" ht="15.75" thickBot="1" x14ac:dyDescent="0.25">
      <c r="A2" s="18"/>
      <c r="B2" s="299" t="s">
        <v>74</v>
      </c>
      <c r="C2" s="300"/>
      <c r="D2" s="333"/>
      <c r="E2" s="30" t="s">
        <v>0</v>
      </c>
      <c r="F2" s="18"/>
      <c r="G2" s="284" t="s">
        <v>142</v>
      </c>
      <c r="H2" s="320"/>
      <c r="I2" s="320"/>
      <c r="J2" s="321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spans="1:27" ht="15.75" thickBot="1" x14ac:dyDescent="0.25">
      <c r="A3" s="18"/>
      <c r="B3" s="55"/>
      <c r="C3" s="55" t="s">
        <v>92</v>
      </c>
      <c r="D3" s="201" t="s">
        <v>132</v>
      </c>
      <c r="E3" s="274">
        <f>ROUNDUP(C12/D6,1)</f>
        <v>3</v>
      </c>
      <c r="F3" s="18"/>
      <c r="G3" s="36"/>
      <c r="H3" s="210" t="s">
        <v>92</v>
      </c>
      <c r="I3" s="105" t="s">
        <v>96</v>
      </c>
      <c r="J3" s="217" t="s">
        <v>170</v>
      </c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spans="1:27" ht="28.5" thickBot="1" x14ac:dyDescent="0.25">
      <c r="A4" s="18"/>
      <c r="B4" s="208" t="s">
        <v>166</v>
      </c>
      <c r="C4" s="174">
        <v>0.2</v>
      </c>
      <c r="D4" s="174">
        <f>105*12*C4/16*1.15</f>
        <v>18.112499999999997</v>
      </c>
      <c r="E4" s="334"/>
      <c r="F4" s="18"/>
      <c r="G4" s="213" t="s">
        <v>168</v>
      </c>
      <c r="H4" s="215">
        <v>0.6</v>
      </c>
      <c r="I4" s="218">
        <f>105*12/16*H4*1.25</f>
        <v>59.0625</v>
      </c>
      <c r="J4" s="149">
        <f>((C10*12*H4/16)*1.25)</f>
        <v>177.1875</v>
      </c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spans="1:27" ht="28.5" thickBot="1" x14ac:dyDescent="0.25">
      <c r="A5" s="18"/>
      <c r="B5" s="209" t="s">
        <v>167</v>
      </c>
      <c r="C5" s="183">
        <v>0.2</v>
      </c>
      <c r="D5" s="183">
        <f>105*12*C5/16*1.15</f>
        <v>18.112499999999997</v>
      </c>
      <c r="E5" s="334"/>
      <c r="F5" s="18"/>
      <c r="G5" s="214" t="s">
        <v>123</v>
      </c>
      <c r="H5" s="149">
        <v>0.75</v>
      </c>
      <c r="I5" s="219">
        <f>105*12/16*H5*1.15</f>
        <v>67.921875</v>
      </c>
      <c r="J5" s="149">
        <f>C10*12*H5/16*1.15</f>
        <v>203.76562499999997</v>
      </c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spans="1:27" ht="15.75" thickBot="1" x14ac:dyDescent="0.25">
      <c r="A6" s="18"/>
      <c r="B6" s="69" t="s">
        <v>17</v>
      </c>
      <c r="C6" s="188">
        <f>SUM(C4:C5)</f>
        <v>0.4</v>
      </c>
      <c r="D6" s="188">
        <f>SUM(D4:D5)</f>
        <v>36.224999999999994</v>
      </c>
      <c r="E6" s="335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spans="1:27" x14ac:dyDescent="0.2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spans="1:27" x14ac:dyDescent="0.2">
      <c r="A8" s="18"/>
      <c r="B8" s="258" t="s">
        <v>133</v>
      </c>
      <c r="C8" s="258"/>
      <c r="D8" s="94">
        <f>ROUNDDOWN(250/D6,2)</f>
        <v>6.9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spans="1:27" x14ac:dyDescent="0.2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spans="1:27" x14ac:dyDescent="0.2">
      <c r="A10" s="18"/>
      <c r="B10" s="18" t="s">
        <v>29</v>
      </c>
      <c r="C10" s="64">
        <v>315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7" x14ac:dyDescent="0.2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7" x14ac:dyDescent="0.2">
      <c r="A12" s="18"/>
      <c r="B12" s="18" t="s">
        <v>8</v>
      </c>
      <c r="C12" s="99">
        <f>((C10*12*C6/16)*1.15)-C13</f>
        <v>108.675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7" x14ac:dyDescent="0.2">
      <c r="A13" s="18"/>
      <c r="B13" s="18" t="s">
        <v>9</v>
      </c>
      <c r="C13" s="64">
        <v>0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7" x14ac:dyDescent="0.2">
      <c r="A14" s="18"/>
      <c r="B14" s="18" t="s">
        <v>10</v>
      </c>
      <c r="C14" s="99">
        <f>D6*E3</f>
        <v>108.67499999999998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7" x14ac:dyDescent="0.2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7" x14ac:dyDescent="0.2">
      <c r="A16" s="18"/>
      <c r="B16" s="18" t="s">
        <v>11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7" ht="27.75" x14ac:dyDescent="0.2">
      <c r="A17" s="18"/>
      <c r="B17" s="154" t="s">
        <v>166</v>
      </c>
      <c r="C17" s="99">
        <f>E3*D4</f>
        <v>54.337499999999991</v>
      </c>
      <c r="D17" s="18" t="s">
        <v>12</v>
      </c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7" ht="27.75" x14ac:dyDescent="0.2">
      <c r="A18" s="18"/>
      <c r="B18" s="154" t="s">
        <v>167</v>
      </c>
      <c r="C18" s="99">
        <f>E3*D5</f>
        <v>54.337499999999991</v>
      </c>
      <c r="D18" s="18" t="s">
        <v>12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7" x14ac:dyDescent="0.2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spans="1:27" x14ac:dyDescent="0.2">
      <c r="A20" s="18"/>
      <c r="B20" s="9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spans="1:27" x14ac:dyDescent="0.2">
      <c r="A21" s="18"/>
      <c r="B21" s="154"/>
      <c r="C21" s="212"/>
      <c r="D21" s="167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spans="1:27" x14ac:dyDescent="0.2">
      <c r="A22" s="18"/>
      <c r="B22" s="81"/>
      <c r="C22" s="99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spans="1:27" x14ac:dyDescent="0.2">
      <c r="A23" s="18"/>
      <c r="B23" s="81"/>
      <c r="C23" s="99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spans="1:27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spans="1:27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spans="1:27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spans="1:27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spans="1:27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spans="1:27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spans="1:27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spans="1:27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spans="1:27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spans="1:27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spans="1:27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spans="1:27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spans="1:27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spans="1:27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spans="1:27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spans="1:27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spans="1:27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spans="1:27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spans="1:27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spans="1:27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spans="1:27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spans="1:27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spans="1:27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spans="1:27" x14ac:dyDescent="0.2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spans="1:27" x14ac:dyDescent="0.2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spans="1:27" x14ac:dyDescent="0.2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spans="1:27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spans="1:27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spans="1:27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spans="1:27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spans="1:27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spans="1:27" x14ac:dyDescent="0.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spans="1:27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spans="1:27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spans="1:27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 spans="1:27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 spans="1:27" x14ac:dyDescent="0.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 spans="1:27" x14ac:dyDescent="0.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spans="1:27" x14ac:dyDescent="0.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 spans="1:27" x14ac:dyDescent="0.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spans="1:27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spans="1:27" x14ac:dyDescent="0.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 spans="1:27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 spans="1:27" x14ac:dyDescent="0.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spans="1:27" x14ac:dyDescent="0.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 spans="1:27" x14ac:dyDescent="0.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spans="1:27" x14ac:dyDescent="0.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 spans="1:27" x14ac:dyDescent="0.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 spans="1:27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spans="1:27" x14ac:dyDescent="0.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spans="1:27" x14ac:dyDescent="0.2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spans="1:27" x14ac:dyDescent="0.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spans="1:27" x14ac:dyDescent="0.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spans="1:27" x14ac:dyDescent="0.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spans="1:27" x14ac:dyDescent="0.2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spans="1:27" x14ac:dyDescent="0.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spans="1:27" x14ac:dyDescent="0.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spans="1:27" x14ac:dyDescent="0.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spans="1:27" x14ac:dyDescent="0.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spans="1:27" x14ac:dyDescent="0.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 spans="1:27" x14ac:dyDescent="0.2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 spans="1:27" x14ac:dyDescent="0.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 spans="1:27" x14ac:dyDescent="0.2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spans="1:27" x14ac:dyDescent="0.2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spans="1:27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spans="1:27" x14ac:dyDescent="0.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 spans="1:27" x14ac:dyDescent="0.2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spans="1:27" x14ac:dyDescent="0.2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spans="1:27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spans="1:27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 spans="1:27" x14ac:dyDescent="0.2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spans="1:27" x14ac:dyDescent="0.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spans="1:27" x14ac:dyDescent="0.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spans="1:27" x14ac:dyDescent="0.2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spans="1:27" x14ac:dyDescent="0.2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spans="1:27" x14ac:dyDescent="0.2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spans="1:27" x14ac:dyDescent="0.2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spans="1:27" x14ac:dyDescent="0.2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spans="1:27" x14ac:dyDescent="0.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spans="1:27" x14ac:dyDescent="0.2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spans="1:27" x14ac:dyDescent="0.2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spans="1:27" x14ac:dyDescent="0.2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spans="1:27" x14ac:dyDescent="0.2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spans="1:27" x14ac:dyDescent="0.2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spans="1:27" x14ac:dyDescent="0.2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spans="1:27" x14ac:dyDescent="0.2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spans="1:27" x14ac:dyDescent="0.2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spans="1:27" x14ac:dyDescent="0.2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spans="1:27" x14ac:dyDescent="0.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spans="1:27" x14ac:dyDescent="0.2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spans="1:27" x14ac:dyDescent="0.2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spans="1:27" x14ac:dyDescent="0.2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spans="1:27" x14ac:dyDescent="0.2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spans="1:27" x14ac:dyDescent="0.2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spans="1:27" x14ac:dyDescent="0.2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spans="1:27" x14ac:dyDescent="0.2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spans="1:27" x14ac:dyDescent="0.2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spans="1:27" x14ac:dyDescent="0.2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spans="1:27" x14ac:dyDescent="0.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spans="1:27" x14ac:dyDescent="0.2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spans="1:27" x14ac:dyDescent="0.2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spans="1:27" x14ac:dyDescent="0.2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spans="1:27" x14ac:dyDescent="0.2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spans="1:27" x14ac:dyDescent="0.2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spans="1:27" x14ac:dyDescent="0.2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spans="1:27" x14ac:dyDescent="0.2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 spans="1:27" x14ac:dyDescent="0.2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spans="1:27" x14ac:dyDescent="0.2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 spans="1:27" x14ac:dyDescent="0.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spans="1:27" x14ac:dyDescent="0.2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spans="1:27" x14ac:dyDescent="0.2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spans="1:27" x14ac:dyDescent="0.2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spans="1:27" x14ac:dyDescent="0.2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spans="1:27" x14ac:dyDescent="0.2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spans="1:27" x14ac:dyDescent="0.2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spans="1:27" x14ac:dyDescent="0.2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spans="1:27" x14ac:dyDescent="0.2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spans="1:27" x14ac:dyDescent="0.2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 spans="1:27" x14ac:dyDescent="0.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spans="1:27" x14ac:dyDescent="0.2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spans="1:27" x14ac:dyDescent="0.2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spans="1:27" x14ac:dyDescent="0.2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spans="1:27" x14ac:dyDescent="0.2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spans="1:27" x14ac:dyDescent="0.2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 spans="1:27" x14ac:dyDescent="0.2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spans="1:27" x14ac:dyDescent="0.2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 spans="1:27" x14ac:dyDescent="0.2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 spans="1:27" x14ac:dyDescent="0.2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 spans="1:27" x14ac:dyDescent="0.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spans="1:27" x14ac:dyDescent="0.2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 spans="1:27" x14ac:dyDescent="0.2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spans="1:27" x14ac:dyDescent="0.2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spans="1:27" x14ac:dyDescent="0.2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spans="1:27" x14ac:dyDescent="0.2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spans="1:27" x14ac:dyDescent="0.2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spans="1:27" x14ac:dyDescent="0.2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spans="1:27" x14ac:dyDescent="0.2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spans="1:27" x14ac:dyDescent="0.2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spans="1:27" x14ac:dyDescent="0.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spans="1:27" x14ac:dyDescent="0.2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spans="1:27" x14ac:dyDescent="0.2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spans="1:27" x14ac:dyDescent="0.2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spans="1:27" x14ac:dyDescent="0.2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spans="1:27" x14ac:dyDescent="0.2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spans="1:27" x14ac:dyDescent="0.2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spans="1:27" x14ac:dyDescent="0.2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spans="1:27" x14ac:dyDescent="0.2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spans="1:27" x14ac:dyDescent="0.2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spans="1:27" x14ac:dyDescent="0.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spans="1:27" x14ac:dyDescent="0.2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spans="1:27" x14ac:dyDescent="0.2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spans="1:27" x14ac:dyDescent="0.2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spans="1:27" x14ac:dyDescent="0.2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spans="1:27" x14ac:dyDescent="0.2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spans="1:27" x14ac:dyDescent="0.2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spans="1:27" x14ac:dyDescent="0.2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spans="1:27" x14ac:dyDescent="0.2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spans="1:27" x14ac:dyDescent="0.2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spans="1:27" x14ac:dyDescent="0.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spans="1:27" x14ac:dyDescent="0.2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spans="1:27" x14ac:dyDescent="0.2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spans="1:27" x14ac:dyDescent="0.2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spans="1:27" x14ac:dyDescent="0.2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spans="1:27" x14ac:dyDescent="0.2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spans="1:27" x14ac:dyDescent="0.2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spans="1:27" x14ac:dyDescent="0.2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spans="1:27" x14ac:dyDescent="0.2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spans="1:27" x14ac:dyDescent="0.2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spans="1:27" x14ac:dyDescent="0.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spans="1:27" x14ac:dyDescent="0.2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spans="1:27" x14ac:dyDescent="0.2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spans="1:27" x14ac:dyDescent="0.2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spans="1:27" x14ac:dyDescent="0.2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spans="1:27" x14ac:dyDescent="0.2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spans="1:27" x14ac:dyDescent="0.2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spans="1:27" x14ac:dyDescent="0.2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spans="1:27" x14ac:dyDescent="0.2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spans="1:27" x14ac:dyDescent="0.2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spans="1:27" x14ac:dyDescent="0.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spans="1:27" x14ac:dyDescent="0.2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spans="1:27" x14ac:dyDescent="0.2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spans="1:27" x14ac:dyDescent="0.2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spans="1:27" x14ac:dyDescent="0.2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spans="1:27" x14ac:dyDescent="0.2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 spans="1:27" x14ac:dyDescent="0.2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 spans="1:27" x14ac:dyDescent="0.2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 spans="1:27" x14ac:dyDescent="0.2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 spans="1:27" x14ac:dyDescent="0.2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 spans="1:27" x14ac:dyDescent="0.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 spans="1:27" x14ac:dyDescent="0.2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 spans="1:27" x14ac:dyDescent="0.2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 spans="1:27" x14ac:dyDescent="0.2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 spans="1:27" x14ac:dyDescent="0.2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 spans="1:27" x14ac:dyDescent="0.2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 spans="1:27" x14ac:dyDescent="0.2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 spans="1:27" x14ac:dyDescent="0.2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 spans="1:27" x14ac:dyDescent="0.2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 spans="1:27" x14ac:dyDescent="0.2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</row>
    <row r="222" spans="1:27" x14ac:dyDescent="0.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</row>
    <row r="223" spans="1:27" x14ac:dyDescent="0.2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</row>
    <row r="224" spans="1:27" x14ac:dyDescent="0.2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</row>
    <row r="225" spans="1:27" x14ac:dyDescent="0.2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</row>
    <row r="226" spans="1:27" x14ac:dyDescent="0.2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</row>
    <row r="227" spans="1:27" x14ac:dyDescent="0.2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</row>
    <row r="228" spans="1:27" x14ac:dyDescent="0.2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</row>
    <row r="229" spans="1:27" x14ac:dyDescent="0.2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</row>
    <row r="230" spans="1:27" x14ac:dyDescent="0.2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</row>
    <row r="231" spans="1:27" x14ac:dyDescent="0.2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</row>
    <row r="232" spans="1:27" x14ac:dyDescent="0.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</row>
    <row r="233" spans="1:27" x14ac:dyDescent="0.2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</row>
    <row r="234" spans="1:27" x14ac:dyDescent="0.2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</row>
    <row r="235" spans="1:27" x14ac:dyDescent="0.2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</row>
    <row r="236" spans="1:27" x14ac:dyDescent="0.2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</row>
    <row r="237" spans="1:27" x14ac:dyDescent="0.2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</row>
    <row r="238" spans="1:27" x14ac:dyDescent="0.2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</row>
    <row r="239" spans="1:27" x14ac:dyDescent="0.2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</row>
    <row r="240" spans="1:27" x14ac:dyDescent="0.2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</row>
    <row r="241" spans="1:27" x14ac:dyDescent="0.2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</row>
    <row r="242" spans="1:27" x14ac:dyDescent="0.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</row>
    <row r="243" spans="1:27" x14ac:dyDescent="0.2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</row>
    <row r="244" spans="1:27" x14ac:dyDescent="0.2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</row>
    <row r="245" spans="1:27" x14ac:dyDescent="0.2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</row>
    <row r="246" spans="1:27" x14ac:dyDescent="0.2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</row>
    <row r="247" spans="1:27" x14ac:dyDescent="0.2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</row>
    <row r="248" spans="1:27" x14ac:dyDescent="0.2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</row>
    <row r="249" spans="1:27" x14ac:dyDescent="0.2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</row>
    <row r="250" spans="1:27" x14ac:dyDescent="0.2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</row>
    <row r="251" spans="1:27" x14ac:dyDescent="0.2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</row>
    <row r="252" spans="1:27" x14ac:dyDescent="0.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</row>
    <row r="253" spans="1:27" x14ac:dyDescent="0.2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</row>
    <row r="254" spans="1:27" x14ac:dyDescent="0.2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</row>
    <row r="255" spans="1:27" x14ac:dyDescent="0.2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</row>
    <row r="256" spans="1:27" x14ac:dyDescent="0.2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</row>
    <row r="257" spans="1:27" x14ac:dyDescent="0.2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</row>
    <row r="258" spans="1:27" x14ac:dyDescent="0.2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</row>
    <row r="259" spans="1:27" x14ac:dyDescent="0.2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</row>
    <row r="260" spans="1:27" x14ac:dyDescent="0.2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</row>
    <row r="261" spans="1:27" x14ac:dyDescent="0.2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</row>
    <row r="262" spans="1:27" x14ac:dyDescent="0.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</row>
    <row r="263" spans="1:27" x14ac:dyDescent="0.2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</row>
    <row r="264" spans="1:27" x14ac:dyDescent="0.2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</row>
    <row r="265" spans="1:27" x14ac:dyDescent="0.2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</row>
    <row r="266" spans="1:27" x14ac:dyDescent="0.2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</row>
    <row r="267" spans="1:27" x14ac:dyDescent="0.2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</row>
    <row r="268" spans="1:27" x14ac:dyDescent="0.2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</row>
    <row r="269" spans="1:27" x14ac:dyDescent="0.2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</row>
    <row r="270" spans="1:27" x14ac:dyDescent="0.2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</row>
    <row r="271" spans="1:27" x14ac:dyDescent="0.2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</row>
    <row r="272" spans="1:27" x14ac:dyDescent="0.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</row>
    <row r="273" spans="1:27" x14ac:dyDescent="0.2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</row>
    <row r="274" spans="1:27" x14ac:dyDescent="0.2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</row>
    <row r="275" spans="1:27" x14ac:dyDescent="0.2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</row>
    <row r="276" spans="1:27" x14ac:dyDescent="0.2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</row>
    <row r="277" spans="1:27" x14ac:dyDescent="0.2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</row>
    <row r="278" spans="1:27" x14ac:dyDescent="0.2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</row>
    <row r="279" spans="1:27" x14ac:dyDescent="0.2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</row>
    <row r="280" spans="1:27" x14ac:dyDescent="0.2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</row>
    <row r="281" spans="1:27" x14ac:dyDescent="0.2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</row>
    <row r="282" spans="1:27" x14ac:dyDescent="0.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</row>
    <row r="283" spans="1:27" x14ac:dyDescent="0.2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</row>
    <row r="284" spans="1:27" x14ac:dyDescent="0.2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</row>
    <row r="285" spans="1:27" x14ac:dyDescent="0.2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</row>
    <row r="286" spans="1:27" x14ac:dyDescent="0.2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</row>
    <row r="287" spans="1:27" x14ac:dyDescent="0.2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</row>
    <row r="288" spans="1:27" x14ac:dyDescent="0.2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</row>
    <row r="289" spans="1:27" x14ac:dyDescent="0.2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</row>
    <row r="290" spans="1:27" x14ac:dyDescent="0.2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</row>
    <row r="291" spans="1:27" x14ac:dyDescent="0.2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</row>
    <row r="292" spans="1:27" x14ac:dyDescent="0.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</row>
    <row r="293" spans="1:27" x14ac:dyDescent="0.2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</row>
    <row r="294" spans="1:27" x14ac:dyDescent="0.2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</row>
    <row r="295" spans="1:27" x14ac:dyDescent="0.2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</row>
    <row r="296" spans="1:27" x14ac:dyDescent="0.2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</row>
    <row r="297" spans="1:27" x14ac:dyDescent="0.2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</row>
    <row r="298" spans="1:27" x14ac:dyDescent="0.2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</row>
    <row r="299" spans="1:27" x14ac:dyDescent="0.2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</row>
    <row r="300" spans="1:27" x14ac:dyDescent="0.2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</row>
    <row r="301" spans="1:27" x14ac:dyDescent="0.2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</row>
    <row r="302" spans="1:27" x14ac:dyDescent="0.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</row>
    <row r="303" spans="1:27" x14ac:dyDescent="0.2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</row>
    <row r="304" spans="1:27" x14ac:dyDescent="0.2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</row>
    <row r="305" spans="1:27" x14ac:dyDescent="0.2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</row>
    <row r="306" spans="1:27" x14ac:dyDescent="0.2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</row>
    <row r="307" spans="1:27" x14ac:dyDescent="0.2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</row>
    <row r="308" spans="1:27" x14ac:dyDescent="0.2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</row>
    <row r="309" spans="1:27" x14ac:dyDescent="0.2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</row>
    <row r="310" spans="1:27" x14ac:dyDescent="0.2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</row>
    <row r="311" spans="1:27" x14ac:dyDescent="0.2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</row>
    <row r="312" spans="1:27" x14ac:dyDescent="0.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</row>
    <row r="313" spans="1:27" x14ac:dyDescent="0.2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</row>
    <row r="314" spans="1:27" x14ac:dyDescent="0.2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</row>
    <row r="315" spans="1:27" x14ac:dyDescent="0.2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</row>
    <row r="316" spans="1:27" x14ac:dyDescent="0.2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</row>
    <row r="317" spans="1:27" x14ac:dyDescent="0.2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</row>
    <row r="318" spans="1:27" x14ac:dyDescent="0.2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</row>
    <row r="319" spans="1:27" x14ac:dyDescent="0.2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</row>
    <row r="320" spans="1:27" x14ac:dyDescent="0.2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</row>
    <row r="321" spans="1:27" x14ac:dyDescent="0.2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</row>
    <row r="322" spans="1:27" x14ac:dyDescent="0.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</row>
    <row r="323" spans="1:27" x14ac:dyDescent="0.2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</row>
    <row r="324" spans="1:27" x14ac:dyDescent="0.2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</row>
    <row r="325" spans="1:27" x14ac:dyDescent="0.2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</row>
    <row r="326" spans="1:27" x14ac:dyDescent="0.2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</row>
    <row r="327" spans="1:27" x14ac:dyDescent="0.2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</row>
    <row r="328" spans="1:27" x14ac:dyDescent="0.2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</row>
    <row r="329" spans="1:27" x14ac:dyDescent="0.2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</row>
    <row r="330" spans="1:27" x14ac:dyDescent="0.2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</row>
    <row r="331" spans="1:27" x14ac:dyDescent="0.2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</row>
    <row r="332" spans="1:27" x14ac:dyDescent="0.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</row>
    <row r="333" spans="1:27" x14ac:dyDescent="0.2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</row>
    <row r="334" spans="1:27" x14ac:dyDescent="0.2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</row>
    <row r="335" spans="1:27" x14ac:dyDescent="0.2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</row>
    <row r="336" spans="1:27" x14ac:dyDescent="0.2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</row>
    <row r="337" spans="1:27" x14ac:dyDescent="0.2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</row>
    <row r="338" spans="1:27" x14ac:dyDescent="0.2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</row>
    <row r="339" spans="1:27" x14ac:dyDescent="0.2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</row>
    <row r="340" spans="1:27" x14ac:dyDescent="0.2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</row>
    <row r="341" spans="1:27" x14ac:dyDescent="0.2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</row>
    <row r="342" spans="1:27" x14ac:dyDescent="0.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</row>
    <row r="343" spans="1:27" x14ac:dyDescent="0.2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</row>
    <row r="344" spans="1:27" x14ac:dyDescent="0.2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</row>
    <row r="345" spans="1:27" x14ac:dyDescent="0.2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</row>
    <row r="346" spans="1:27" x14ac:dyDescent="0.2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</row>
    <row r="347" spans="1:27" x14ac:dyDescent="0.2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</row>
    <row r="348" spans="1:27" x14ac:dyDescent="0.2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</row>
    <row r="349" spans="1:27" x14ac:dyDescent="0.2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</row>
    <row r="350" spans="1:27" x14ac:dyDescent="0.2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</row>
    <row r="351" spans="1:27" x14ac:dyDescent="0.2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</row>
    <row r="352" spans="1:27" x14ac:dyDescent="0.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</row>
    <row r="353" spans="1:27" x14ac:dyDescent="0.2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</row>
    <row r="354" spans="1:27" x14ac:dyDescent="0.2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</row>
    <row r="355" spans="1:27" x14ac:dyDescent="0.2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</row>
    <row r="356" spans="1:27" x14ac:dyDescent="0.2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</row>
    <row r="357" spans="1:27" x14ac:dyDescent="0.2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</row>
    <row r="358" spans="1:27" x14ac:dyDescent="0.2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</row>
    <row r="359" spans="1:27" x14ac:dyDescent="0.2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</row>
    <row r="360" spans="1:27" x14ac:dyDescent="0.2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</row>
    <row r="361" spans="1:27" x14ac:dyDescent="0.2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</row>
    <row r="362" spans="1:27" x14ac:dyDescent="0.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</row>
    <row r="363" spans="1:27" x14ac:dyDescent="0.2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</row>
    <row r="364" spans="1:27" x14ac:dyDescent="0.2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</row>
    <row r="365" spans="1:27" x14ac:dyDescent="0.2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</row>
    <row r="366" spans="1:27" x14ac:dyDescent="0.2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</row>
    <row r="367" spans="1:27" x14ac:dyDescent="0.2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</row>
    <row r="368" spans="1:27" x14ac:dyDescent="0.2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</row>
    <row r="369" spans="1:27" x14ac:dyDescent="0.2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</row>
    <row r="370" spans="1:27" x14ac:dyDescent="0.2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</row>
    <row r="371" spans="1:27" x14ac:dyDescent="0.2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</row>
    <row r="372" spans="1:27" x14ac:dyDescent="0.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</row>
    <row r="373" spans="1:27" x14ac:dyDescent="0.2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</row>
    <row r="374" spans="1:27" x14ac:dyDescent="0.2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</row>
    <row r="375" spans="1:27" x14ac:dyDescent="0.2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</row>
    <row r="376" spans="1:27" x14ac:dyDescent="0.2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</row>
    <row r="377" spans="1:27" x14ac:dyDescent="0.2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</row>
    <row r="378" spans="1:27" x14ac:dyDescent="0.2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</row>
    <row r="379" spans="1:27" x14ac:dyDescent="0.2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</row>
    <row r="380" spans="1:27" x14ac:dyDescent="0.2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</row>
    <row r="381" spans="1:27" x14ac:dyDescent="0.2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</row>
    <row r="382" spans="1:27" x14ac:dyDescent="0.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</row>
    <row r="383" spans="1:27" x14ac:dyDescent="0.2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</row>
    <row r="384" spans="1:27" x14ac:dyDescent="0.2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</row>
    <row r="385" spans="1:27" x14ac:dyDescent="0.2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</row>
    <row r="386" spans="1:27" x14ac:dyDescent="0.2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</row>
    <row r="387" spans="1:27" x14ac:dyDescent="0.2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</row>
    <row r="388" spans="1:27" x14ac:dyDescent="0.2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</row>
    <row r="389" spans="1:27" x14ac:dyDescent="0.2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</row>
    <row r="390" spans="1:27" x14ac:dyDescent="0.2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</row>
    <row r="391" spans="1:27" x14ac:dyDescent="0.2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</row>
    <row r="392" spans="1:27" x14ac:dyDescent="0.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</row>
    <row r="393" spans="1:27" x14ac:dyDescent="0.2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</row>
    <row r="394" spans="1:27" x14ac:dyDescent="0.2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</row>
    <row r="395" spans="1:27" x14ac:dyDescent="0.2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</row>
    <row r="396" spans="1:27" x14ac:dyDescent="0.2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</row>
    <row r="397" spans="1:27" x14ac:dyDescent="0.2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</row>
    <row r="398" spans="1:27" x14ac:dyDescent="0.2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</row>
    <row r="399" spans="1:27" x14ac:dyDescent="0.2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</row>
    <row r="400" spans="1:27" x14ac:dyDescent="0.2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</row>
    <row r="401" spans="1:27" x14ac:dyDescent="0.2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</row>
    <row r="402" spans="1:27" x14ac:dyDescent="0.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</row>
    <row r="403" spans="1:27" x14ac:dyDescent="0.2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</row>
    <row r="404" spans="1:27" x14ac:dyDescent="0.2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</row>
    <row r="405" spans="1:27" x14ac:dyDescent="0.2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</row>
    <row r="406" spans="1:27" x14ac:dyDescent="0.2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</row>
    <row r="407" spans="1:27" x14ac:dyDescent="0.2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</row>
    <row r="408" spans="1:27" x14ac:dyDescent="0.2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</row>
    <row r="409" spans="1:27" x14ac:dyDescent="0.2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</row>
    <row r="410" spans="1:27" x14ac:dyDescent="0.2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</row>
    <row r="411" spans="1:27" x14ac:dyDescent="0.2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</row>
    <row r="412" spans="1:27" x14ac:dyDescent="0.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</row>
    <row r="413" spans="1:27" x14ac:dyDescent="0.2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</row>
    <row r="414" spans="1:27" x14ac:dyDescent="0.2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</row>
    <row r="415" spans="1:27" x14ac:dyDescent="0.2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</row>
    <row r="416" spans="1:27" x14ac:dyDescent="0.2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</row>
    <row r="417" spans="1:27" x14ac:dyDescent="0.2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</row>
    <row r="418" spans="1:27" x14ac:dyDescent="0.2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</row>
    <row r="419" spans="1:27" x14ac:dyDescent="0.2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</row>
    <row r="420" spans="1:27" x14ac:dyDescent="0.2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</row>
    <row r="421" spans="1:27" x14ac:dyDescent="0.2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</row>
    <row r="422" spans="1:27" x14ac:dyDescent="0.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</row>
    <row r="423" spans="1:27" x14ac:dyDescent="0.2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</row>
    <row r="424" spans="1:27" x14ac:dyDescent="0.2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</row>
    <row r="425" spans="1:27" x14ac:dyDescent="0.2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</row>
    <row r="426" spans="1:27" x14ac:dyDescent="0.2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</row>
    <row r="427" spans="1:27" x14ac:dyDescent="0.2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</row>
    <row r="428" spans="1:27" x14ac:dyDescent="0.2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</row>
    <row r="429" spans="1:27" x14ac:dyDescent="0.2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</row>
    <row r="430" spans="1:27" x14ac:dyDescent="0.2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</row>
    <row r="431" spans="1:27" x14ac:dyDescent="0.2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</row>
    <row r="432" spans="1:27" x14ac:dyDescent="0.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</row>
    <row r="433" spans="1:27" x14ac:dyDescent="0.2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</row>
    <row r="434" spans="1:27" x14ac:dyDescent="0.2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</row>
    <row r="435" spans="1:27" x14ac:dyDescent="0.2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</row>
    <row r="436" spans="1:27" x14ac:dyDescent="0.2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</row>
    <row r="437" spans="1:27" x14ac:dyDescent="0.2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</row>
    <row r="438" spans="1:27" x14ac:dyDescent="0.2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</row>
    <row r="439" spans="1:27" x14ac:dyDescent="0.2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</row>
    <row r="440" spans="1:27" x14ac:dyDescent="0.2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</row>
    <row r="441" spans="1:27" x14ac:dyDescent="0.2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</row>
    <row r="442" spans="1:27" x14ac:dyDescent="0.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</row>
    <row r="443" spans="1:27" x14ac:dyDescent="0.2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</row>
    <row r="444" spans="1:27" x14ac:dyDescent="0.2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</row>
    <row r="445" spans="1:27" x14ac:dyDescent="0.2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</row>
    <row r="446" spans="1:27" x14ac:dyDescent="0.2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</row>
    <row r="447" spans="1:27" x14ac:dyDescent="0.2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</row>
    <row r="448" spans="1:27" x14ac:dyDescent="0.2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</row>
    <row r="449" spans="1:27" x14ac:dyDescent="0.2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</row>
    <row r="450" spans="1:27" x14ac:dyDescent="0.2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</row>
    <row r="451" spans="1:27" x14ac:dyDescent="0.2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</row>
    <row r="452" spans="1:27" x14ac:dyDescent="0.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</row>
    <row r="453" spans="1:27" x14ac:dyDescent="0.2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</row>
    <row r="454" spans="1:27" x14ac:dyDescent="0.2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</row>
    <row r="455" spans="1:27" x14ac:dyDescent="0.2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</row>
    <row r="456" spans="1:27" x14ac:dyDescent="0.2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</row>
    <row r="457" spans="1:27" x14ac:dyDescent="0.2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</row>
    <row r="458" spans="1:27" x14ac:dyDescent="0.2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</row>
    <row r="459" spans="1:27" x14ac:dyDescent="0.2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</row>
    <row r="460" spans="1:27" x14ac:dyDescent="0.2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</row>
    <row r="461" spans="1:27" x14ac:dyDescent="0.2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</row>
    <row r="462" spans="1:27" x14ac:dyDescent="0.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</row>
    <row r="463" spans="1:27" x14ac:dyDescent="0.2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</row>
    <row r="464" spans="1:27" x14ac:dyDescent="0.2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</row>
    <row r="465" spans="1:27" x14ac:dyDescent="0.2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</row>
    <row r="466" spans="1:27" x14ac:dyDescent="0.2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</row>
    <row r="467" spans="1:27" x14ac:dyDescent="0.2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</row>
    <row r="468" spans="1:27" x14ac:dyDescent="0.2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</row>
    <row r="469" spans="1:27" x14ac:dyDescent="0.2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</row>
    <row r="470" spans="1:27" x14ac:dyDescent="0.2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</row>
    <row r="471" spans="1:27" x14ac:dyDescent="0.2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</row>
    <row r="472" spans="1:27" x14ac:dyDescent="0.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</row>
    <row r="473" spans="1:27" x14ac:dyDescent="0.2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</row>
    <row r="474" spans="1:27" x14ac:dyDescent="0.2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</row>
    <row r="475" spans="1:27" x14ac:dyDescent="0.2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</row>
    <row r="476" spans="1:27" x14ac:dyDescent="0.2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</row>
    <row r="477" spans="1:27" x14ac:dyDescent="0.2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</row>
    <row r="478" spans="1:27" x14ac:dyDescent="0.2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</row>
    <row r="479" spans="1:27" x14ac:dyDescent="0.2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</row>
    <row r="480" spans="1:27" x14ac:dyDescent="0.2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</row>
    <row r="481" spans="1:27" x14ac:dyDescent="0.2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</row>
    <row r="482" spans="1:27" x14ac:dyDescent="0.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</row>
    <row r="483" spans="1:27" x14ac:dyDescent="0.2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</row>
    <row r="484" spans="1:27" x14ac:dyDescent="0.2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</row>
    <row r="485" spans="1:27" x14ac:dyDescent="0.2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</row>
    <row r="486" spans="1:27" x14ac:dyDescent="0.2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</row>
    <row r="487" spans="1:27" x14ac:dyDescent="0.2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</row>
    <row r="488" spans="1:27" x14ac:dyDescent="0.2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</row>
    <row r="489" spans="1:27" x14ac:dyDescent="0.2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</row>
    <row r="490" spans="1:27" x14ac:dyDescent="0.2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</row>
    <row r="491" spans="1:27" x14ac:dyDescent="0.2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</row>
    <row r="492" spans="1:27" x14ac:dyDescent="0.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</row>
    <row r="493" spans="1:27" x14ac:dyDescent="0.2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</row>
    <row r="494" spans="1:27" x14ac:dyDescent="0.2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</row>
    <row r="495" spans="1:27" x14ac:dyDescent="0.2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</row>
    <row r="496" spans="1:27" x14ac:dyDescent="0.2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</row>
    <row r="497" spans="1:27" x14ac:dyDescent="0.2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</row>
    <row r="498" spans="1:27" x14ac:dyDescent="0.2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</row>
    <row r="499" spans="1:27" x14ac:dyDescent="0.2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</row>
    <row r="500" spans="1:27" x14ac:dyDescent="0.2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</row>
    <row r="501" spans="1:27" x14ac:dyDescent="0.2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</row>
    <row r="502" spans="1:27" x14ac:dyDescent="0.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</row>
    <row r="503" spans="1:27" x14ac:dyDescent="0.2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</row>
    <row r="504" spans="1:27" x14ac:dyDescent="0.2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</row>
    <row r="505" spans="1:27" x14ac:dyDescent="0.2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</row>
    <row r="506" spans="1:27" x14ac:dyDescent="0.2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</row>
    <row r="507" spans="1:27" x14ac:dyDescent="0.2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</row>
    <row r="508" spans="1:27" x14ac:dyDescent="0.2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</row>
    <row r="509" spans="1:27" x14ac:dyDescent="0.2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</row>
    <row r="510" spans="1:27" x14ac:dyDescent="0.2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</row>
    <row r="511" spans="1:27" x14ac:dyDescent="0.2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</row>
    <row r="512" spans="1:27" x14ac:dyDescent="0.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</row>
    <row r="513" spans="1:27" x14ac:dyDescent="0.2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</row>
    <row r="514" spans="1:27" x14ac:dyDescent="0.2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</row>
    <row r="515" spans="1:27" x14ac:dyDescent="0.2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</row>
    <row r="516" spans="1:27" x14ac:dyDescent="0.2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</row>
    <row r="517" spans="1:27" x14ac:dyDescent="0.2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</row>
    <row r="518" spans="1:27" x14ac:dyDescent="0.2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</row>
    <row r="519" spans="1:27" x14ac:dyDescent="0.2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</row>
    <row r="520" spans="1:27" x14ac:dyDescent="0.2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</row>
    <row r="521" spans="1:27" x14ac:dyDescent="0.2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</row>
    <row r="522" spans="1:27" x14ac:dyDescent="0.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</row>
    <row r="523" spans="1:27" x14ac:dyDescent="0.2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</row>
    <row r="524" spans="1:27" x14ac:dyDescent="0.2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</row>
    <row r="525" spans="1:27" x14ac:dyDescent="0.2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</row>
    <row r="526" spans="1:27" x14ac:dyDescent="0.2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</row>
    <row r="527" spans="1:27" x14ac:dyDescent="0.2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</row>
    <row r="528" spans="1:27" x14ac:dyDescent="0.2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</row>
    <row r="529" spans="1:27" x14ac:dyDescent="0.2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</row>
    <row r="530" spans="1:27" x14ac:dyDescent="0.2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</row>
    <row r="531" spans="1:27" x14ac:dyDescent="0.2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</row>
    <row r="532" spans="1:27" x14ac:dyDescent="0.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</row>
    <row r="533" spans="1:27" x14ac:dyDescent="0.2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</row>
    <row r="534" spans="1:27" x14ac:dyDescent="0.2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</row>
    <row r="535" spans="1:27" x14ac:dyDescent="0.2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</row>
    <row r="536" spans="1:27" x14ac:dyDescent="0.2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</row>
    <row r="537" spans="1:27" x14ac:dyDescent="0.2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</row>
    <row r="538" spans="1:27" x14ac:dyDescent="0.2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</row>
    <row r="539" spans="1:27" x14ac:dyDescent="0.2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</row>
    <row r="540" spans="1:27" x14ac:dyDescent="0.2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</row>
    <row r="541" spans="1:27" x14ac:dyDescent="0.2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</row>
    <row r="542" spans="1:27" x14ac:dyDescent="0.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</row>
    <row r="543" spans="1:27" x14ac:dyDescent="0.2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</row>
    <row r="544" spans="1:27" x14ac:dyDescent="0.2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</row>
    <row r="545" spans="1:27" x14ac:dyDescent="0.2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</row>
    <row r="546" spans="1:27" x14ac:dyDescent="0.2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</row>
    <row r="547" spans="1:27" x14ac:dyDescent="0.2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</row>
    <row r="548" spans="1:27" x14ac:dyDescent="0.2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</row>
    <row r="549" spans="1:27" x14ac:dyDescent="0.2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</row>
    <row r="550" spans="1:27" x14ac:dyDescent="0.2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</row>
    <row r="551" spans="1:27" x14ac:dyDescent="0.2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</row>
    <row r="552" spans="1:27" x14ac:dyDescent="0.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</row>
    <row r="553" spans="1:27" x14ac:dyDescent="0.2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</row>
    <row r="554" spans="1:27" x14ac:dyDescent="0.2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</row>
    <row r="555" spans="1:27" x14ac:dyDescent="0.2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</row>
    <row r="556" spans="1:27" x14ac:dyDescent="0.2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</row>
    <row r="557" spans="1:27" x14ac:dyDescent="0.2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</row>
    <row r="558" spans="1:27" x14ac:dyDescent="0.2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</row>
    <row r="559" spans="1:27" x14ac:dyDescent="0.2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</row>
    <row r="560" spans="1:27" x14ac:dyDescent="0.2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</row>
    <row r="561" spans="1:27" x14ac:dyDescent="0.2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</row>
    <row r="562" spans="1:27" x14ac:dyDescent="0.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</row>
    <row r="563" spans="1:27" x14ac:dyDescent="0.2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</row>
    <row r="564" spans="1:27" x14ac:dyDescent="0.2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</row>
    <row r="565" spans="1:27" x14ac:dyDescent="0.2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</row>
    <row r="566" spans="1:27" x14ac:dyDescent="0.2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</row>
    <row r="567" spans="1:27" x14ac:dyDescent="0.2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</row>
    <row r="568" spans="1:27" x14ac:dyDescent="0.2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</row>
    <row r="569" spans="1:27" x14ac:dyDescent="0.2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</row>
    <row r="570" spans="1:27" x14ac:dyDescent="0.2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</row>
    <row r="571" spans="1:27" x14ac:dyDescent="0.2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</row>
    <row r="572" spans="1:27" x14ac:dyDescent="0.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</row>
    <row r="573" spans="1:27" x14ac:dyDescent="0.2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</row>
    <row r="574" spans="1:27" x14ac:dyDescent="0.2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</row>
    <row r="575" spans="1:27" x14ac:dyDescent="0.2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</row>
    <row r="576" spans="1:27" x14ac:dyDescent="0.2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</row>
    <row r="577" spans="1:27" x14ac:dyDescent="0.2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</row>
    <row r="578" spans="1:27" x14ac:dyDescent="0.2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</row>
    <row r="579" spans="1:27" x14ac:dyDescent="0.2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</row>
    <row r="580" spans="1:27" x14ac:dyDescent="0.2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</row>
    <row r="581" spans="1:27" x14ac:dyDescent="0.2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</row>
    <row r="582" spans="1:27" x14ac:dyDescent="0.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</row>
    <row r="583" spans="1:27" x14ac:dyDescent="0.2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</row>
    <row r="584" spans="1:27" x14ac:dyDescent="0.2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</row>
    <row r="585" spans="1:27" x14ac:dyDescent="0.2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</row>
    <row r="586" spans="1:27" x14ac:dyDescent="0.2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</row>
    <row r="587" spans="1:27" x14ac:dyDescent="0.2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</row>
    <row r="588" spans="1:27" x14ac:dyDescent="0.2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</row>
    <row r="589" spans="1:27" x14ac:dyDescent="0.2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</row>
    <row r="590" spans="1:27" x14ac:dyDescent="0.2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</row>
    <row r="591" spans="1:27" x14ac:dyDescent="0.2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</row>
    <row r="592" spans="1:27" x14ac:dyDescent="0.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</row>
    <row r="593" spans="1:27" x14ac:dyDescent="0.2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</row>
    <row r="594" spans="1:27" x14ac:dyDescent="0.2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</row>
    <row r="595" spans="1:27" x14ac:dyDescent="0.2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</row>
    <row r="596" spans="1:27" x14ac:dyDescent="0.2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</row>
    <row r="597" spans="1:27" x14ac:dyDescent="0.2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</row>
    <row r="598" spans="1:27" x14ac:dyDescent="0.2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</row>
    <row r="599" spans="1:27" x14ac:dyDescent="0.2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</row>
    <row r="600" spans="1:27" x14ac:dyDescent="0.2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</row>
    <row r="601" spans="1:27" x14ac:dyDescent="0.2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</row>
    <row r="602" spans="1:27" x14ac:dyDescent="0.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</row>
    <row r="603" spans="1:27" x14ac:dyDescent="0.2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</row>
    <row r="604" spans="1:27" x14ac:dyDescent="0.2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</row>
    <row r="605" spans="1:27" x14ac:dyDescent="0.2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</row>
    <row r="606" spans="1:27" x14ac:dyDescent="0.2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</row>
    <row r="607" spans="1:27" x14ac:dyDescent="0.2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</row>
    <row r="608" spans="1:27" x14ac:dyDescent="0.2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</row>
    <row r="609" spans="1:27" x14ac:dyDescent="0.2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</row>
    <row r="610" spans="1:27" x14ac:dyDescent="0.2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</row>
    <row r="611" spans="1:27" x14ac:dyDescent="0.2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</row>
    <row r="612" spans="1:27" x14ac:dyDescent="0.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</row>
    <row r="613" spans="1:27" x14ac:dyDescent="0.2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</row>
    <row r="614" spans="1:27" x14ac:dyDescent="0.2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</row>
    <row r="615" spans="1:27" x14ac:dyDescent="0.2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</row>
    <row r="616" spans="1:27" x14ac:dyDescent="0.2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</row>
    <row r="617" spans="1:27" x14ac:dyDescent="0.2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</row>
    <row r="618" spans="1:27" x14ac:dyDescent="0.2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</row>
    <row r="619" spans="1:27" x14ac:dyDescent="0.2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</row>
    <row r="620" spans="1:27" x14ac:dyDescent="0.2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</row>
    <row r="621" spans="1:27" x14ac:dyDescent="0.2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</row>
    <row r="622" spans="1:27" x14ac:dyDescent="0.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</row>
    <row r="623" spans="1:27" x14ac:dyDescent="0.2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</row>
    <row r="624" spans="1:27" x14ac:dyDescent="0.2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</row>
    <row r="625" spans="1:27" x14ac:dyDescent="0.2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</row>
    <row r="626" spans="1:27" x14ac:dyDescent="0.2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</row>
    <row r="627" spans="1:27" x14ac:dyDescent="0.2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</row>
    <row r="628" spans="1:27" x14ac:dyDescent="0.2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</row>
    <row r="629" spans="1:27" x14ac:dyDescent="0.2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</row>
    <row r="630" spans="1:27" x14ac:dyDescent="0.2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</row>
    <row r="631" spans="1:27" x14ac:dyDescent="0.2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</row>
    <row r="632" spans="1:27" x14ac:dyDescent="0.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</row>
    <row r="633" spans="1:27" x14ac:dyDescent="0.2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</row>
    <row r="634" spans="1:27" x14ac:dyDescent="0.2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</row>
    <row r="635" spans="1:27" x14ac:dyDescent="0.2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</row>
    <row r="636" spans="1:27" x14ac:dyDescent="0.2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</row>
    <row r="637" spans="1:27" x14ac:dyDescent="0.2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</row>
    <row r="638" spans="1:27" x14ac:dyDescent="0.2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</row>
    <row r="639" spans="1:27" x14ac:dyDescent="0.2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</row>
    <row r="640" spans="1:27" x14ac:dyDescent="0.2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</row>
    <row r="641" spans="1:27" x14ac:dyDescent="0.2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</row>
    <row r="642" spans="1:27" x14ac:dyDescent="0.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</row>
    <row r="643" spans="1:27" x14ac:dyDescent="0.2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</row>
    <row r="644" spans="1:27" x14ac:dyDescent="0.2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</row>
    <row r="645" spans="1:27" x14ac:dyDescent="0.2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</row>
    <row r="646" spans="1:27" x14ac:dyDescent="0.2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</row>
    <row r="647" spans="1:27" x14ac:dyDescent="0.2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</row>
    <row r="648" spans="1:27" x14ac:dyDescent="0.2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</row>
    <row r="649" spans="1:27" x14ac:dyDescent="0.2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</row>
    <row r="650" spans="1:27" x14ac:dyDescent="0.2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</row>
    <row r="651" spans="1:27" x14ac:dyDescent="0.2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</row>
    <row r="652" spans="1:27" x14ac:dyDescent="0.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</row>
    <row r="653" spans="1:27" x14ac:dyDescent="0.2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</row>
    <row r="654" spans="1:27" x14ac:dyDescent="0.2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</row>
    <row r="655" spans="1:27" x14ac:dyDescent="0.2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</row>
    <row r="656" spans="1:27" x14ac:dyDescent="0.2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</row>
    <row r="657" spans="1:27" x14ac:dyDescent="0.2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</row>
    <row r="658" spans="1:27" x14ac:dyDescent="0.2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</row>
    <row r="659" spans="1:27" x14ac:dyDescent="0.2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</row>
    <row r="660" spans="1:27" x14ac:dyDescent="0.2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</row>
    <row r="661" spans="1:27" x14ac:dyDescent="0.2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</row>
    <row r="662" spans="1:27" x14ac:dyDescent="0.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</row>
    <row r="663" spans="1:27" x14ac:dyDescent="0.2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</row>
    <row r="664" spans="1:27" x14ac:dyDescent="0.2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</row>
    <row r="665" spans="1:27" x14ac:dyDescent="0.2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</row>
    <row r="666" spans="1:27" x14ac:dyDescent="0.2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</row>
    <row r="667" spans="1:27" x14ac:dyDescent="0.2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</row>
    <row r="668" spans="1:27" x14ac:dyDescent="0.2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</row>
    <row r="669" spans="1:27" x14ac:dyDescent="0.2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</row>
    <row r="670" spans="1:27" x14ac:dyDescent="0.2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</row>
    <row r="671" spans="1:27" x14ac:dyDescent="0.2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</row>
    <row r="672" spans="1:27" x14ac:dyDescent="0.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</row>
    <row r="673" spans="1:27" x14ac:dyDescent="0.2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</row>
    <row r="674" spans="1:27" x14ac:dyDescent="0.2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</row>
    <row r="675" spans="1:27" x14ac:dyDescent="0.2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</row>
    <row r="676" spans="1:27" x14ac:dyDescent="0.2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</row>
    <row r="677" spans="1:27" x14ac:dyDescent="0.2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</row>
    <row r="678" spans="1:27" x14ac:dyDescent="0.2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</row>
    <row r="679" spans="1:27" x14ac:dyDescent="0.2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</row>
    <row r="680" spans="1:27" x14ac:dyDescent="0.2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</row>
    <row r="681" spans="1:27" x14ac:dyDescent="0.2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</row>
    <row r="682" spans="1:27" x14ac:dyDescent="0.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</row>
    <row r="683" spans="1:27" x14ac:dyDescent="0.2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</row>
    <row r="684" spans="1:27" x14ac:dyDescent="0.2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</row>
    <row r="685" spans="1:27" x14ac:dyDescent="0.2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</row>
    <row r="686" spans="1:27" x14ac:dyDescent="0.2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</row>
    <row r="687" spans="1:27" x14ac:dyDescent="0.2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</row>
    <row r="688" spans="1:27" x14ac:dyDescent="0.2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</row>
    <row r="689" spans="1:27" x14ac:dyDescent="0.2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</row>
    <row r="690" spans="1:27" x14ac:dyDescent="0.2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</row>
    <row r="691" spans="1:27" x14ac:dyDescent="0.2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</row>
    <row r="692" spans="1:27" x14ac:dyDescent="0.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</row>
    <row r="693" spans="1:27" x14ac:dyDescent="0.2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</row>
    <row r="694" spans="1:27" x14ac:dyDescent="0.2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</row>
    <row r="695" spans="1:27" x14ac:dyDescent="0.2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</row>
    <row r="696" spans="1:27" x14ac:dyDescent="0.2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</row>
    <row r="697" spans="1:27" x14ac:dyDescent="0.2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</row>
    <row r="698" spans="1:27" x14ac:dyDescent="0.2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</row>
    <row r="699" spans="1:27" x14ac:dyDescent="0.2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</row>
    <row r="700" spans="1:27" x14ac:dyDescent="0.2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</row>
    <row r="701" spans="1:27" x14ac:dyDescent="0.2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</row>
    <row r="702" spans="1:27" x14ac:dyDescent="0.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</row>
    <row r="703" spans="1:27" x14ac:dyDescent="0.2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</row>
    <row r="704" spans="1:27" x14ac:dyDescent="0.2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</row>
    <row r="705" spans="1:27" x14ac:dyDescent="0.2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</row>
    <row r="706" spans="1:27" x14ac:dyDescent="0.2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</row>
    <row r="707" spans="1:27" x14ac:dyDescent="0.2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</row>
    <row r="708" spans="1:27" x14ac:dyDescent="0.2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</row>
    <row r="709" spans="1:27" x14ac:dyDescent="0.2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</row>
    <row r="710" spans="1:27" x14ac:dyDescent="0.2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</row>
    <row r="711" spans="1:27" x14ac:dyDescent="0.2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</row>
    <row r="712" spans="1:27" x14ac:dyDescent="0.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</row>
    <row r="713" spans="1:27" x14ac:dyDescent="0.2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</row>
    <row r="714" spans="1:27" x14ac:dyDescent="0.2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</row>
    <row r="715" spans="1:27" x14ac:dyDescent="0.2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</row>
    <row r="716" spans="1:27" x14ac:dyDescent="0.2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</row>
    <row r="717" spans="1:27" x14ac:dyDescent="0.2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</row>
    <row r="718" spans="1:27" x14ac:dyDescent="0.2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</row>
    <row r="719" spans="1:27" x14ac:dyDescent="0.2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</row>
    <row r="720" spans="1:27" x14ac:dyDescent="0.2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</row>
    <row r="721" spans="1:27" x14ac:dyDescent="0.2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</row>
    <row r="722" spans="1:27" x14ac:dyDescent="0.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</row>
    <row r="723" spans="1:27" x14ac:dyDescent="0.2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</row>
    <row r="724" spans="1:27" x14ac:dyDescent="0.2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</row>
    <row r="725" spans="1:27" x14ac:dyDescent="0.2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</row>
    <row r="726" spans="1:27" x14ac:dyDescent="0.2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</row>
    <row r="727" spans="1:27" x14ac:dyDescent="0.2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</row>
    <row r="728" spans="1:27" x14ac:dyDescent="0.2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</row>
    <row r="729" spans="1:27" x14ac:dyDescent="0.2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</row>
    <row r="730" spans="1:27" x14ac:dyDescent="0.2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</row>
    <row r="731" spans="1:27" x14ac:dyDescent="0.2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</row>
    <row r="732" spans="1:27" x14ac:dyDescent="0.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</row>
    <row r="733" spans="1:27" x14ac:dyDescent="0.2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</row>
    <row r="734" spans="1:27" x14ac:dyDescent="0.2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</row>
    <row r="735" spans="1:27" x14ac:dyDescent="0.2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</row>
    <row r="736" spans="1:27" x14ac:dyDescent="0.2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</row>
    <row r="737" spans="1:27" x14ac:dyDescent="0.2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</row>
    <row r="738" spans="1:27" x14ac:dyDescent="0.2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</row>
    <row r="739" spans="1:27" x14ac:dyDescent="0.2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</row>
    <row r="740" spans="1:27" x14ac:dyDescent="0.2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</row>
    <row r="741" spans="1:27" x14ac:dyDescent="0.2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</row>
    <row r="742" spans="1:27" x14ac:dyDescent="0.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</row>
    <row r="743" spans="1:27" x14ac:dyDescent="0.2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</row>
    <row r="744" spans="1:27" x14ac:dyDescent="0.2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</row>
    <row r="745" spans="1:27" x14ac:dyDescent="0.2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</row>
    <row r="746" spans="1:27" x14ac:dyDescent="0.2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</row>
    <row r="747" spans="1:27" x14ac:dyDescent="0.2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</row>
    <row r="748" spans="1:27" x14ac:dyDescent="0.2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</row>
    <row r="749" spans="1:27" x14ac:dyDescent="0.2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</row>
    <row r="750" spans="1:27" x14ac:dyDescent="0.2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</row>
    <row r="751" spans="1:27" x14ac:dyDescent="0.2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</row>
    <row r="752" spans="1:27" x14ac:dyDescent="0.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</row>
    <row r="753" spans="1:27" x14ac:dyDescent="0.2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</row>
    <row r="754" spans="1:27" x14ac:dyDescent="0.2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</row>
    <row r="755" spans="1:27" x14ac:dyDescent="0.2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</row>
    <row r="756" spans="1:27" x14ac:dyDescent="0.2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</row>
    <row r="757" spans="1:27" x14ac:dyDescent="0.2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</row>
    <row r="758" spans="1:27" x14ac:dyDescent="0.2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</row>
    <row r="759" spans="1:27" x14ac:dyDescent="0.2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</row>
    <row r="760" spans="1:27" x14ac:dyDescent="0.2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</row>
    <row r="761" spans="1:27" x14ac:dyDescent="0.2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</row>
    <row r="762" spans="1:27" x14ac:dyDescent="0.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</row>
    <row r="763" spans="1:27" x14ac:dyDescent="0.2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</row>
    <row r="764" spans="1:27" x14ac:dyDescent="0.2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</row>
    <row r="765" spans="1:27" x14ac:dyDescent="0.2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</row>
    <row r="766" spans="1:27" x14ac:dyDescent="0.2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</row>
    <row r="767" spans="1:27" x14ac:dyDescent="0.2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</row>
    <row r="768" spans="1:27" x14ac:dyDescent="0.2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</row>
    <row r="769" spans="1:27" x14ac:dyDescent="0.2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</row>
    <row r="770" spans="1:27" x14ac:dyDescent="0.2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</row>
    <row r="771" spans="1:27" x14ac:dyDescent="0.2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</row>
    <row r="772" spans="1:27" x14ac:dyDescent="0.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</row>
    <row r="773" spans="1:27" x14ac:dyDescent="0.2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</row>
    <row r="774" spans="1:27" x14ac:dyDescent="0.2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</row>
    <row r="775" spans="1:27" x14ac:dyDescent="0.2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</row>
    <row r="776" spans="1:27" x14ac:dyDescent="0.2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</row>
    <row r="777" spans="1:27" x14ac:dyDescent="0.2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</row>
    <row r="778" spans="1:27" x14ac:dyDescent="0.2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</row>
    <row r="779" spans="1:27" x14ac:dyDescent="0.2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</row>
    <row r="780" spans="1:27" x14ac:dyDescent="0.2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</row>
    <row r="781" spans="1:27" x14ac:dyDescent="0.2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</row>
    <row r="782" spans="1:27" x14ac:dyDescent="0.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</row>
    <row r="783" spans="1:27" x14ac:dyDescent="0.2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</row>
    <row r="784" spans="1:27" x14ac:dyDescent="0.2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</row>
    <row r="785" spans="1:27" x14ac:dyDescent="0.2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</row>
    <row r="786" spans="1:27" x14ac:dyDescent="0.2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</row>
    <row r="787" spans="1:27" x14ac:dyDescent="0.2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</row>
    <row r="788" spans="1:27" x14ac:dyDescent="0.2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</row>
    <row r="789" spans="1:27" x14ac:dyDescent="0.2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</row>
    <row r="790" spans="1:27" x14ac:dyDescent="0.2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</row>
    <row r="791" spans="1:27" x14ac:dyDescent="0.2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</row>
    <row r="792" spans="1:27" x14ac:dyDescent="0.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</row>
    <row r="793" spans="1:27" x14ac:dyDescent="0.2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</row>
    <row r="794" spans="1:27" x14ac:dyDescent="0.2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</row>
    <row r="795" spans="1:27" x14ac:dyDescent="0.2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</row>
    <row r="796" spans="1:27" x14ac:dyDescent="0.2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</row>
    <row r="797" spans="1:27" x14ac:dyDescent="0.2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</row>
    <row r="798" spans="1:27" x14ac:dyDescent="0.2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</row>
    <row r="799" spans="1:27" x14ac:dyDescent="0.2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</row>
    <row r="800" spans="1:27" x14ac:dyDescent="0.2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</row>
    <row r="801" spans="1:27" x14ac:dyDescent="0.2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</row>
    <row r="802" spans="1:27" x14ac:dyDescent="0.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</row>
    <row r="803" spans="1:27" x14ac:dyDescent="0.2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</row>
    <row r="804" spans="1:27" x14ac:dyDescent="0.2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</row>
    <row r="805" spans="1:27" x14ac:dyDescent="0.2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</row>
    <row r="806" spans="1:27" x14ac:dyDescent="0.2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</row>
    <row r="807" spans="1:27" x14ac:dyDescent="0.2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</row>
    <row r="808" spans="1:27" x14ac:dyDescent="0.2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</row>
    <row r="809" spans="1:27" x14ac:dyDescent="0.2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</row>
    <row r="810" spans="1:27" x14ac:dyDescent="0.2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</row>
    <row r="811" spans="1:27" x14ac:dyDescent="0.2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</row>
    <row r="812" spans="1:27" x14ac:dyDescent="0.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</row>
    <row r="813" spans="1:27" x14ac:dyDescent="0.2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</row>
    <row r="814" spans="1:27" x14ac:dyDescent="0.2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</row>
    <row r="815" spans="1:27" x14ac:dyDescent="0.2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</row>
    <row r="816" spans="1:27" x14ac:dyDescent="0.2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</row>
    <row r="817" spans="1:27" x14ac:dyDescent="0.2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</row>
    <row r="818" spans="1:27" x14ac:dyDescent="0.2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</row>
    <row r="819" spans="1:27" x14ac:dyDescent="0.2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</row>
    <row r="820" spans="1:27" x14ac:dyDescent="0.2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</row>
    <row r="821" spans="1:27" x14ac:dyDescent="0.2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</row>
    <row r="822" spans="1:27" x14ac:dyDescent="0.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</row>
    <row r="823" spans="1:27" x14ac:dyDescent="0.2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</row>
    <row r="824" spans="1:27" x14ac:dyDescent="0.2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</row>
    <row r="825" spans="1:27" x14ac:dyDescent="0.2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</row>
    <row r="826" spans="1:27" x14ac:dyDescent="0.2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</row>
    <row r="827" spans="1:27" x14ac:dyDescent="0.2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</row>
    <row r="828" spans="1:27" x14ac:dyDescent="0.2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</row>
    <row r="829" spans="1:27" x14ac:dyDescent="0.2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</row>
    <row r="830" spans="1:27" x14ac:dyDescent="0.2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</row>
    <row r="831" spans="1:27" x14ac:dyDescent="0.2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</row>
    <row r="832" spans="1:27" x14ac:dyDescent="0.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</row>
    <row r="833" spans="1:27" x14ac:dyDescent="0.2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</row>
    <row r="834" spans="1:27" x14ac:dyDescent="0.2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</row>
    <row r="835" spans="1:27" x14ac:dyDescent="0.2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</row>
    <row r="836" spans="1:27" x14ac:dyDescent="0.2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</row>
    <row r="837" spans="1:27" x14ac:dyDescent="0.2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</row>
    <row r="838" spans="1:27" x14ac:dyDescent="0.2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</row>
    <row r="839" spans="1:27" x14ac:dyDescent="0.2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</row>
    <row r="840" spans="1:27" x14ac:dyDescent="0.2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</row>
    <row r="841" spans="1:27" x14ac:dyDescent="0.2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</row>
    <row r="842" spans="1:27" x14ac:dyDescent="0.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</row>
    <row r="843" spans="1:27" x14ac:dyDescent="0.2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</row>
    <row r="844" spans="1:27" x14ac:dyDescent="0.2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</row>
    <row r="845" spans="1:27" x14ac:dyDescent="0.2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</row>
    <row r="846" spans="1:27" x14ac:dyDescent="0.2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</row>
    <row r="847" spans="1:27" x14ac:dyDescent="0.2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</row>
    <row r="848" spans="1:27" x14ac:dyDescent="0.2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</row>
    <row r="849" spans="1:27" x14ac:dyDescent="0.2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</row>
    <row r="850" spans="1:27" x14ac:dyDescent="0.2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</row>
    <row r="851" spans="1:27" x14ac:dyDescent="0.2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</row>
    <row r="852" spans="1:27" x14ac:dyDescent="0.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</row>
    <row r="853" spans="1:27" x14ac:dyDescent="0.2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</row>
    <row r="854" spans="1:27" x14ac:dyDescent="0.2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</row>
    <row r="855" spans="1:27" x14ac:dyDescent="0.2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</row>
    <row r="856" spans="1:27" x14ac:dyDescent="0.2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</row>
    <row r="857" spans="1:27" x14ac:dyDescent="0.2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</row>
    <row r="858" spans="1:27" x14ac:dyDescent="0.2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</row>
    <row r="859" spans="1:27" x14ac:dyDescent="0.2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</row>
    <row r="860" spans="1:27" x14ac:dyDescent="0.2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</row>
    <row r="861" spans="1:27" x14ac:dyDescent="0.2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</row>
    <row r="862" spans="1:27" x14ac:dyDescent="0.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</row>
    <row r="863" spans="1:27" x14ac:dyDescent="0.2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</row>
    <row r="864" spans="1:27" x14ac:dyDescent="0.2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</row>
    <row r="865" spans="1:27" x14ac:dyDescent="0.2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</row>
    <row r="866" spans="1:27" x14ac:dyDescent="0.2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</row>
    <row r="867" spans="1:27" x14ac:dyDescent="0.2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</row>
    <row r="868" spans="1:27" x14ac:dyDescent="0.2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</row>
    <row r="869" spans="1:27" x14ac:dyDescent="0.2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</row>
    <row r="870" spans="1:27" x14ac:dyDescent="0.2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</row>
    <row r="871" spans="1:27" x14ac:dyDescent="0.2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</row>
    <row r="872" spans="1:27" x14ac:dyDescent="0.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</row>
    <row r="873" spans="1:27" x14ac:dyDescent="0.2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</row>
    <row r="874" spans="1:27" x14ac:dyDescent="0.2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</row>
    <row r="875" spans="1:27" x14ac:dyDescent="0.2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</row>
    <row r="876" spans="1:27" x14ac:dyDescent="0.2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</row>
    <row r="877" spans="1:27" x14ac:dyDescent="0.2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</row>
    <row r="878" spans="1:27" x14ac:dyDescent="0.2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</row>
    <row r="879" spans="1:27" x14ac:dyDescent="0.2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</row>
    <row r="880" spans="1:27" x14ac:dyDescent="0.2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</row>
    <row r="881" spans="1:27" x14ac:dyDescent="0.2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</row>
    <row r="882" spans="1:27" x14ac:dyDescent="0.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</row>
    <row r="883" spans="1:27" x14ac:dyDescent="0.2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</row>
    <row r="884" spans="1:27" x14ac:dyDescent="0.2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</row>
    <row r="885" spans="1:27" x14ac:dyDescent="0.2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</row>
    <row r="886" spans="1:27" x14ac:dyDescent="0.2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</row>
    <row r="887" spans="1:27" x14ac:dyDescent="0.2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</row>
    <row r="888" spans="1:27" x14ac:dyDescent="0.2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</row>
    <row r="889" spans="1:27" x14ac:dyDescent="0.2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</row>
    <row r="890" spans="1:27" x14ac:dyDescent="0.2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</row>
    <row r="891" spans="1:27" x14ac:dyDescent="0.2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</row>
    <row r="892" spans="1:27" x14ac:dyDescent="0.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</row>
    <row r="893" spans="1:27" x14ac:dyDescent="0.2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</row>
    <row r="894" spans="1:27" x14ac:dyDescent="0.2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</row>
    <row r="895" spans="1:27" x14ac:dyDescent="0.2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</row>
    <row r="896" spans="1:27" x14ac:dyDescent="0.2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</row>
    <row r="897" spans="1:27" x14ac:dyDescent="0.2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</row>
    <row r="898" spans="1:27" x14ac:dyDescent="0.2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</row>
    <row r="899" spans="1:27" x14ac:dyDescent="0.2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</row>
    <row r="900" spans="1:27" x14ac:dyDescent="0.2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</row>
    <row r="901" spans="1:27" x14ac:dyDescent="0.2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</row>
    <row r="902" spans="1:27" x14ac:dyDescent="0.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</row>
    <row r="903" spans="1:27" x14ac:dyDescent="0.2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</row>
    <row r="904" spans="1:27" x14ac:dyDescent="0.2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</row>
    <row r="905" spans="1:27" x14ac:dyDescent="0.2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</row>
    <row r="906" spans="1:27" x14ac:dyDescent="0.2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</row>
    <row r="907" spans="1:27" x14ac:dyDescent="0.2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</row>
    <row r="908" spans="1:27" x14ac:dyDescent="0.2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</row>
    <row r="909" spans="1:27" x14ac:dyDescent="0.2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</row>
    <row r="910" spans="1:27" x14ac:dyDescent="0.2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</row>
    <row r="911" spans="1:27" x14ac:dyDescent="0.2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</row>
    <row r="912" spans="1:27" x14ac:dyDescent="0.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</row>
    <row r="913" spans="1:27" x14ac:dyDescent="0.2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</row>
    <row r="914" spans="1:27" x14ac:dyDescent="0.2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</row>
    <row r="915" spans="1:27" x14ac:dyDescent="0.2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</row>
    <row r="916" spans="1:27" x14ac:dyDescent="0.2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</row>
    <row r="917" spans="1:27" x14ac:dyDescent="0.2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</row>
    <row r="918" spans="1:27" x14ac:dyDescent="0.2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</row>
    <row r="919" spans="1:27" x14ac:dyDescent="0.2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</row>
    <row r="920" spans="1:27" x14ac:dyDescent="0.2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</row>
    <row r="921" spans="1:27" x14ac:dyDescent="0.2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</row>
    <row r="922" spans="1:27" x14ac:dyDescent="0.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</row>
    <row r="923" spans="1:27" x14ac:dyDescent="0.2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</row>
    <row r="924" spans="1:27" x14ac:dyDescent="0.2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</row>
    <row r="925" spans="1:27" x14ac:dyDescent="0.2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</row>
    <row r="926" spans="1:27" x14ac:dyDescent="0.2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</row>
    <row r="927" spans="1:27" x14ac:dyDescent="0.2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</row>
    <row r="928" spans="1:27" x14ac:dyDescent="0.2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</row>
    <row r="929" spans="1:27" x14ac:dyDescent="0.2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</row>
    <row r="930" spans="1:27" x14ac:dyDescent="0.2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</row>
    <row r="931" spans="1:27" x14ac:dyDescent="0.2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</row>
    <row r="932" spans="1:27" x14ac:dyDescent="0.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</row>
    <row r="933" spans="1:27" x14ac:dyDescent="0.2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</row>
    <row r="934" spans="1:27" x14ac:dyDescent="0.2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</row>
    <row r="935" spans="1:27" x14ac:dyDescent="0.2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</row>
    <row r="936" spans="1:27" x14ac:dyDescent="0.2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</row>
    <row r="937" spans="1:27" x14ac:dyDescent="0.2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</row>
    <row r="938" spans="1:27" x14ac:dyDescent="0.2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</row>
    <row r="939" spans="1:27" x14ac:dyDescent="0.2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</row>
    <row r="940" spans="1:27" x14ac:dyDescent="0.2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</row>
    <row r="941" spans="1:27" x14ac:dyDescent="0.2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</row>
    <row r="942" spans="1:27" x14ac:dyDescent="0.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</row>
    <row r="943" spans="1:27" x14ac:dyDescent="0.2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</row>
    <row r="944" spans="1:27" x14ac:dyDescent="0.2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</row>
    <row r="945" spans="1:27" x14ac:dyDescent="0.2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</row>
    <row r="946" spans="1:27" x14ac:dyDescent="0.2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</row>
    <row r="947" spans="1:27" x14ac:dyDescent="0.2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</row>
    <row r="948" spans="1:27" x14ac:dyDescent="0.2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</row>
    <row r="949" spans="1:27" x14ac:dyDescent="0.2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</row>
    <row r="950" spans="1:27" x14ac:dyDescent="0.2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</row>
    <row r="951" spans="1:27" x14ac:dyDescent="0.2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</row>
    <row r="952" spans="1:27" x14ac:dyDescent="0.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</row>
    <row r="953" spans="1:27" x14ac:dyDescent="0.2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</row>
    <row r="954" spans="1:27" x14ac:dyDescent="0.2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</row>
    <row r="955" spans="1:27" x14ac:dyDescent="0.2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</row>
    <row r="956" spans="1:27" x14ac:dyDescent="0.2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</row>
    <row r="957" spans="1:27" x14ac:dyDescent="0.2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</row>
    <row r="958" spans="1:27" x14ac:dyDescent="0.2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</row>
    <row r="959" spans="1:27" x14ac:dyDescent="0.2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</row>
    <row r="960" spans="1:27" x14ac:dyDescent="0.2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</row>
    <row r="961" spans="1:27" x14ac:dyDescent="0.2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</row>
    <row r="962" spans="1:27" x14ac:dyDescent="0.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</row>
    <row r="963" spans="1:27" x14ac:dyDescent="0.2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</row>
    <row r="964" spans="1:27" x14ac:dyDescent="0.2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</row>
    <row r="965" spans="1:27" x14ac:dyDescent="0.2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</row>
    <row r="966" spans="1:27" x14ac:dyDescent="0.2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</row>
    <row r="967" spans="1:27" x14ac:dyDescent="0.2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</row>
    <row r="968" spans="1:27" x14ac:dyDescent="0.2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</row>
    <row r="969" spans="1:27" x14ac:dyDescent="0.2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</row>
    <row r="970" spans="1:27" x14ac:dyDescent="0.2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</row>
    <row r="971" spans="1:27" x14ac:dyDescent="0.2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</row>
    <row r="972" spans="1:27" x14ac:dyDescent="0.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</row>
    <row r="973" spans="1:27" x14ac:dyDescent="0.2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</row>
    <row r="974" spans="1:27" x14ac:dyDescent="0.2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</row>
    <row r="975" spans="1:27" x14ac:dyDescent="0.2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</row>
    <row r="976" spans="1:27" x14ac:dyDescent="0.2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</row>
    <row r="977" spans="1:27" x14ac:dyDescent="0.2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</row>
    <row r="978" spans="1:27" x14ac:dyDescent="0.2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</row>
    <row r="979" spans="1:27" x14ac:dyDescent="0.2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</row>
    <row r="980" spans="1:27" x14ac:dyDescent="0.2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</row>
    <row r="981" spans="1:27" x14ac:dyDescent="0.2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</row>
    <row r="982" spans="1:27" x14ac:dyDescent="0.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</row>
    <row r="983" spans="1:27" x14ac:dyDescent="0.2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</row>
    <row r="984" spans="1:27" x14ac:dyDescent="0.2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</row>
    <row r="985" spans="1:27" x14ac:dyDescent="0.2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</row>
    <row r="986" spans="1:27" x14ac:dyDescent="0.2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</row>
    <row r="987" spans="1:27" x14ac:dyDescent="0.2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</row>
    <row r="988" spans="1:27" x14ac:dyDescent="0.2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</row>
    <row r="989" spans="1:27" x14ac:dyDescent="0.2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</row>
    <row r="990" spans="1:27" x14ac:dyDescent="0.2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</row>
    <row r="991" spans="1:27" x14ac:dyDescent="0.2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</row>
    <row r="992" spans="1:27" x14ac:dyDescent="0.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</row>
    <row r="993" spans="1:27" x14ac:dyDescent="0.2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</row>
    <row r="994" spans="1:27" x14ac:dyDescent="0.2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</row>
    <row r="995" spans="1:27" x14ac:dyDescent="0.2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</row>
    <row r="996" spans="1:27" x14ac:dyDescent="0.2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</row>
    <row r="997" spans="1:27" x14ac:dyDescent="0.2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</row>
    <row r="998" spans="1:27" x14ac:dyDescent="0.2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</row>
    <row r="999" spans="1:27" x14ac:dyDescent="0.2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</row>
    <row r="1000" spans="1:27" x14ac:dyDescent="0.2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</row>
    <row r="1001" spans="1:27" x14ac:dyDescent="0.2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  <c r="AA1001" s="18"/>
    </row>
  </sheetData>
  <sheetProtection sheet="1" objects="1" scenarios="1" selectLockedCells="1"/>
  <mergeCells count="4">
    <mergeCell ref="B2:D2"/>
    <mergeCell ref="E3:E6"/>
    <mergeCell ref="B8:C8"/>
    <mergeCell ref="G2:J2"/>
  </mergeCells>
  <pageMargins left="0" right="0" top="0" bottom="0" header="0" footer="0"/>
  <pageSetup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B1:D9"/>
  <sheetViews>
    <sheetView workbookViewId="0">
      <selection activeCell="C6" sqref="C6"/>
    </sheetView>
  </sheetViews>
  <sheetFormatPr defaultColWidth="14.390625" defaultRowHeight="15" x14ac:dyDescent="0.2"/>
  <cols>
    <col min="1" max="1" width="3.765625" style="9" customWidth="1"/>
    <col min="2" max="2" width="27.7109375" style="9" bestFit="1" customWidth="1"/>
    <col min="3" max="3" width="8.875" style="9" bestFit="1" customWidth="1"/>
    <col min="4" max="4" width="17.21875" style="9" bestFit="1" customWidth="1"/>
    <col min="5" max="26" width="9.14453125" style="9" customWidth="1"/>
    <col min="27" max="16384" width="14.390625" style="9"/>
  </cols>
  <sheetData>
    <row r="1" spans="2:4" ht="15.75" thickBot="1" x14ac:dyDescent="0.25"/>
    <row r="2" spans="2:4" ht="15.75" thickBot="1" x14ac:dyDescent="0.25">
      <c r="B2" s="336" t="s">
        <v>181</v>
      </c>
      <c r="C2" s="269"/>
      <c r="D2" s="270"/>
    </row>
    <row r="3" spans="2:4" ht="15.75" thickBot="1" x14ac:dyDescent="0.25">
      <c r="B3" s="36"/>
      <c r="C3" s="37" t="s">
        <v>92</v>
      </c>
      <c r="D3" s="105" t="s">
        <v>96</v>
      </c>
    </row>
    <row r="4" spans="2:4" ht="15.75" thickBot="1" x14ac:dyDescent="0.25">
      <c r="B4" s="35" t="s">
        <v>19</v>
      </c>
      <c r="C4" s="109">
        <v>0.98</v>
      </c>
      <c r="D4" s="109">
        <f>54*12/16*C4*1.25</f>
        <v>49.612499999999997</v>
      </c>
    </row>
    <row r="6" spans="2:4" x14ac:dyDescent="0.2">
      <c r="B6" s="9" t="s">
        <v>20</v>
      </c>
      <c r="C6" s="78">
        <v>54</v>
      </c>
    </row>
    <row r="8" spans="2:4" x14ac:dyDescent="0.2">
      <c r="B8" s="9" t="s">
        <v>11</v>
      </c>
    </row>
    <row r="9" spans="2:4" x14ac:dyDescent="0.2">
      <c r="B9" s="9" t="s">
        <v>19</v>
      </c>
      <c r="C9" s="94">
        <f>((C6*12*C4/16)*1.25)</f>
        <v>49.612499999999997</v>
      </c>
      <c r="D9" s="9" t="s">
        <v>12</v>
      </c>
    </row>
  </sheetData>
  <sheetProtection sheet="1" objects="1" scenarios="1" selectLockedCells="1"/>
  <mergeCells count="1">
    <mergeCell ref="B2:D2"/>
  </mergeCells>
  <pageMargins left="0" right="0" top="0" bottom="0" header="0" footer="0"/>
  <pageSetup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1:E18"/>
  <sheetViews>
    <sheetView workbookViewId="0">
      <selection activeCell="C13" sqref="C13"/>
    </sheetView>
  </sheetViews>
  <sheetFormatPr defaultColWidth="14.390625" defaultRowHeight="15" x14ac:dyDescent="0.2"/>
  <cols>
    <col min="1" max="1" width="9.14453125" style="18" customWidth="1"/>
    <col min="2" max="2" width="27.7109375" style="18" bestFit="1" customWidth="1"/>
    <col min="3" max="3" width="8.875" style="18" bestFit="1" customWidth="1"/>
    <col min="4" max="4" width="9.28125" style="18" bestFit="1" customWidth="1"/>
    <col min="5" max="5" width="10.76171875" style="18" bestFit="1" customWidth="1"/>
    <col min="6" max="27" width="9.14453125" style="18" customWidth="1"/>
    <col min="28" max="16384" width="14.390625" style="18"/>
  </cols>
  <sheetData>
    <row r="1" spans="2:5" ht="15.75" thickBot="1" x14ac:dyDescent="0.25"/>
    <row r="2" spans="2:5" ht="15.75" thickBot="1" x14ac:dyDescent="0.25">
      <c r="B2" s="299" t="s">
        <v>75</v>
      </c>
      <c r="C2" s="300"/>
      <c r="D2" s="301"/>
      <c r="E2" s="38" t="s">
        <v>0</v>
      </c>
    </row>
    <row r="3" spans="2:5" ht="15.75" thickBot="1" x14ac:dyDescent="0.25">
      <c r="B3" s="43"/>
      <c r="C3" s="57" t="s">
        <v>92</v>
      </c>
      <c r="D3" s="217" t="s">
        <v>132</v>
      </c>
      <c r="E3" s="274">
        <f>ROUNDUP(C12/D6,1)</f>
        <v>1</v>
      </c>
    </row>
    <row r="4" spans="2:5" x14ac:dyDescent="0.2">
      <c r="B4" s="245" t="s">
        <v>182</v>
      </c>
      <c r="C4" s="168">
        <v>1.25</v>
      </c>
      <c r="D4" s="168">
        <f>54*12*C4/16*1.15</f>
        <v>58.218749999999993</v>
      </c>
      <c r="E4" s="275"/>
    </row>
    <row r="5" spans="2:5" ht="42" thickBot="1" x14ac:dyDescent="0.25">
      <c r="B5" s="246" t="s">
        <v>178</v>
      </c>
      <c r="C5" s="170">
        <v>0.5</v>
      </c>
      <c r="D5" s="170">
        <f>54*12*C5/16*1.15</f>
        <v>23.287499999999998</v>
      </c>
      <c r="E5" s="275"/>
    </row>
    <row r="6" spans="2:5" ht="15.75" thickBot="1" x14ac:dyDescent="0.25">
      <c r="B6" s="19" t="s">
        <v>17</v>
      </c>
      <c r="C6" s="171">
        <f>SUM(C4:C5)</f>
        <v>1.75</v>
      </c>
      <c r="D6" s="171">
        <f>SUM(D4:D5)</f>
        <v>81.506249999999994</v>
      </c>
      <c r="E6" s="276"/>
    </row>
    <row r="8" spans="2:5" x14ac:dyDescent="0.2">
      <c r="B8" s="258" t="s">
        <v>133</v>
      </c>
      <c r="C8" s="258"/>
      <c r="D8" s="94">
        <f>ROUNDDOWN(250/D6,2)</f>
        <v>3.06</v>
      </c>
    </row>
    <row r="10" spans="2:5" x14ac:dyDescent="0.2">
      <c r="B10" s="18" t="s">
        <v>29</v>
      </c>
      <c r="C10" s="64">
        <v>54</v>
      </c>
    </row>
    <row r="12" spans="2:5" x14ac:dyDescent="0.2">
      <c r="B12" s="18" t="s">
        <v>8</v>
      </c>
      <c r="C12" s="99">
        <f>((C10*12*C6/16)*1.15)-C13</f>
        <v>81.506249999999994</v>
      </c>
    </row>
    <row r="13" spans="2:5" x14ac:dyDescent="0.2">
      <c r="B13" s="18" t="s">
        <v>9</v>
      </c>
      <c r="C13" s="64">
        <v>0</v>
      </c>
    </row>
    <row r="14" spans="2:5" x14ac:dyDescent="0.2">
      <c r="B14" s="18" t="s">
        <v>10</v>
      </c>
      <c r="C14" s="99">
        <f>E3*D6</f>
        <v>81.506249999999994</v>
      </c>
    </row>
    <row r="16" spans="2:5" x14ac:dyDescent="0.2">
      <c r="B16" s="18" t="s">
        <v>11</v>
      </c>
    </row>
    <row r="17" spans="2:4" x14ac:dyDescent="0.2">
      <c r="B17" s="216" t="s">
        <v>182</v>
      </c>
      <c r="C17" s="99">
        <f>D4*E3</f>
        <v>58.218749999999993</v>
      </c>
      <c r="D17" s="18" t="s">
        <v>12</v>
      </c>
    </row>
    <row r="18" spans="2:4" ht="41.25" x14ac:dyDescent="0.2">
      <c r="B18" s="239" t="s">
        <v>178</v>
      </c>
      <c r="C18" s="99">
        <f>D5*E3</f>
        <v>23.287499999999998</v>
      </c>
      <c r="D18" s="18" t="s">
        <v>12</v>
      </c>
    </row>
  </sheetData>
  <sheetProtection sheet="1" objects="1" scenarios="1" selectLockedCells="1"/>
  <mergeCells count="3">
    <mergeCell ref="B2:D2"/>
    <mergeCell ref="E3:E6"/>
    <mergeCell ref="B8:C8"/>
  </mergeCells>
  <pageMargins left="0" right="0" top="0" bottom="0" header="0" footer="0"/>
  <pageSetup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B1:J22"/>
  <sheetViews>
    <sheetView workbookViewId="0">
      <selection activeCell="C11" sqref="C11"/>
    </sheetView>
  </sheetViews>
  <sheetFormatPr defaultColWidth="14.390625" defaultRowHeight="15" x14ac:dyDescent="0.2"/>
  <cols>
    <col min="1" max="1" width="9.14453125" style="18" customWidth="1"/>
    <col min="2" max="2" width="27.7109375" style="18" bestFit="1" customWidth="1"/>
    <col min="3" max="3" width="8.875" style="18" bestFit="1" customWidth="1"/>
    <col min="4" max="4" width="9.28125" style="18" bestFit="1" customWidth="1"/>
    <col min="5" max="5" width="11.1640625" style="18" bestFit="1" customWidth="1"/>
    <col min="6" max="6" width="9.14453125" style="18" customWidth="1"/>
    <col min="7" max="7" width="13.046875" style="18" customWidth="1"/>
    <col min="8" max="8" width="8.875" style="18" bestFit="1" customWidth="1"/>
    <col min="9" max="9" width="9.28125" style="18" bestFit="1" customWidth="1"/>
    <col min="10" max="10" width="13.1796875" style="18" bestFit="1" customWidth="1"/>
    <col min="11" max="27" width="9.14453125" style="18" customWidth="1"/>
    <col min="28" max="16384" width="14.390625" style="18"/>
  </cols>
  <sheetData>
    <row r="1" spans="2:10" ht="15.75" thickBot="1" x14ac:dyDescent="0.25"/>
    <row r="2" spans="2:10" ht="15.75" thickBot="1" x14ac:dyDescent="0.25">
      <c r="B2" s="299" t="s">
        <v>76</v>
      </c>
      <c r="C2" s="300"/>
      <c r="D2" s="301"/>
      <c r="E2" s="47" t="s">
        <v>30</v>
      </c>
      <c r="G2" s="284" t="s">
        <v>184</v>
      </c>
      <c r="H2" s="320"/>
      <c r="I2" s="320"/>
      <c r="J2" s="321"/>
    </row>
    <row r="3" spans="2:10" ht="15.75" thickBot="1" x14ac:dyDescent="0.25">
      <c r="B3" s="21"/>
      <c r="C3" s="22" t="s">
        <v>92</v>
      </c>
      <c r="D3" s="234" t="s">
        <v>132</v>
      </c>
      <c r="E3" s="274">
        <f>ROUNDUP(C13/D7,1)</f>
        <v>1</v>
      </c>
      <c r="G3" s="21"/>
      <c r="H3" s="22" t="s">
        <v>92</v>
      </c>
      <c r="I3" s="234" t="s">
        <v>132</v>
      </c>
      <c r="J3" s="217" t="s">
        <v>171</v>
      </c>
    </row>
    <row r="4" spans="2:10" ht="28.5" thickBot="1" x14ac:dyDescent="0.25">
      <c r="B4" s="23" t="s">
        <v>120</v>
      </c>
      <c r="C4" s="145">
        <v>1.3</v>
      </c>
      <c r="D4" s="145">
        <f>54*12*C4/16*1.15</f>
        <v>60.547499999999992</v>
      </c>
      <c r="E4" s="297"/>
      <c r="G4" s="249" t="s">
        <v>185</v>
      </c>
      <c r="H4" s="149">
        <v>3</v>
      </c>
      <c r="I4" s="149">
        <f>54*12*H4/16*1.15</f>
        <v>139.72499999999999</v>
      </c>
      <c r="J4" s="57" t="str">
        <f>ROUNDUP(C11*12*H4/16*1.15,0)&amp; " Pounds"</f>
        <v>140 Pounds</v>
      </c>
    </row>
    <row r="5" spans="2:10" x14ac:dyDescent="0.2">
      <c r="B5" s="26" t="s">
        <v>78</v>
      </c>
      <c r="C5" s="247">
        <v>0.75</v>
      </c>
      <c r="D5" s="247">
        <f>54*12*C5/16*1.15</f>
        <v>34.931249999999999</v>
      </c>
      <c r="E5" s="297"/>
    </row>
    <row r="6" spans="2:10" ht="15.75" thickBot="1" x14ac:dyDescent="0.25">
      <c r="B6" s="26" t="s">
        <v>14</v>
      </c>
      <c r="C6" s="231"/>
      <c r="D6" s="231">
        <v>5</v>
      </c>
      <c r="E6" s="297"/>
    </row>
    <row r="7" spans="2:10" ht="15.75" thickBot="1" x14ac:dyDescent="0.25">
      <c r="B7" s="28" t="s">
        <v>17</v>
      </c>
      <c r="C7" s="248">
        <f>SUM(C4:C6)</f>
        <v>2.0499999999999998</v>
      </c>
      <c r="D7" s="232">
        <f>SUM(D4:D5)</f>
        <v>95.478749999999991</v>
      </c>
      <c r="E7" s="276"/>
    </row>
    <row r="9" spans="2:10" x14ac:dyDescent="0.2">
      <c r="B9" s="258" t="s">
        <v>133</v>
      </c>
      <c r="C9" s="258"/>
      <c r="D9" s="94">
        <f>ROUNDDOWN(250/D7,2)</f>
        <v>2.61</v>
      </c>
    </row>
    <row r="11" spans="2:10" x14ac:dyDescent="0.2">
      <c r="B11" s="18" t="s">
        <v>29</v>
      </c>
      <c r="C11" s="64">
        <v>54</v>
      </c>
    </row>
    <row r="13" spans="2:10" x14ac:dyDescent="0.2">
      <c r="B13" s="18" t="s">
        <v>79</v>
      </c>
      <c r="C13" s="99">
        <f>((C11*12*C7/16)*1.15)-C14</f>
        <v>95.478749999999977</v>
      </c>
    </row>
    <row r="14" spans="2:10" x14ac:dyDescent="0.2">
      <c r="B14" s="18" t="s">
        <v>9</v>
      </c>
      <c r="C14" s="64">
        <v>0</v>
      </c>
    </row>
    <row r="15" spans="2:10" x14ac:dyDescent="0.2">
      <c r="B15" s="18" t="s">
        <v>10</v>
      </c>
      <c r="C15" s="99">
        <f>E3*D7</f>
        <v>95.478749999999991</v>
      </c>
    </row>
    <row r="17" spans="2:4" x14ac:dyDescent="0.2">
      <c r="B17" s="18" t="s">
        <v>11</v>
      </c>
    </row>
    <row r="18" spans="2:4" x14ac:dyDescent="0.2">
      <c r="B18" s="18" t="s">
        <v>77</v>
      </c>
      <c r="C18" s="99">
        <f>E3*D4</f>
        <v>60.547499999999992</v>
      </c>
      <c r="D18" s="18" t="s">
        <v>102</v>
      </c>
    </row>
    <row r="19" spans="2:4" x14ac:dyDescent="0.2">
      <c r="B19" s="18" t="s">
        <v>78</v>
      </c>
      <c r="C19" s="99">
        <f>E3*D5</f>
        <v>34.931249999999999</v>
      </c>
      <c r="D19" s="18" t="s">
        <v>12</v>
      </c>
    </row>
    <row r="20" spans="2:4" x14ac:dyDescent="0.2">
      <c r="B20" s="18" t="s">
        <v>14</v>
      </c>
      <c r="C20" s="99">
        <f>E3*D6</f>
        <v>5</v>
      </c>
      <c r="D20" s="18" t="s">
        <v>12</v>
      </c>
    </row>
    <row r="22" spans="2:4" x14ac:dyDescent="0.2">
      <c r="B22" s="280" t="s">
        <v>80</v>
      </c>
      <c r="C22" s="280"/>
      <c r="D22" s="280"/>
    </row>
  </sheetData>
  <sheetProtection sheet="1" objects="1" scenarios="1" selectLockedCells="1"/>
  <mergeCells count="5">
    <mergeCell ref="B2:D2"/>
    <mergeCell ref="E3:E7"/>
    <mergeCell ref="G2:J2"/>
    <mergeCell ref="B22:D22"/>
    <mergeCell ref="B9:C9"/>
  </mergeCells>
  <pageMargins left="0" right="0" top="0" bottom="0" header="0" footer="0"/>
  <pageSetup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B1:J999"/>
  <sheetViews>
    <sheetView workbookViewId="0">
      <selection activeCell="C15" sqref="C15"/>
    </sheetView>
  </sheetViews>
  <sheetFormatPr defaultColWidth="9.14453125" defaultRowHeight="15" customHeight="1" x14ac:dyDescent="0.2"/>
  <cols>
    <col min="1" max="1" width="9.14453125" style="18"/>
    <col min="2" max="2" width="23.67578125" style="18" bestFit="1" customWidth="1"/>
    <col min="3" max="3" width="8.875" style="18" bestFit="1" customWidth="1"/>
    <col min="4" max="4" width="9.28125" style="18" bestFit="1" customWidth="1"/>
    <col min="5" max="5" width="10.76171875" style="18" bestFit="1" customWidth="1"/>
    <col min="6" max="6" width="9.14453125" style="18"/>
    <col min="7" max="7" width="17.484375" style="18" bestFit="1" customWidth="1"/>
    <col min="8" max="8" width="8.875" style="18" bestFit="1" customWidth="1"/>
    <col min="9" max="9" width="8.203125" style="18" bestFit="1" customWidth="1"/>
    <col min="10" max="10" width="13.1796875" style="18" bestFit="1" customWidth="1"/>
    <col min="11" max="16384" width="9.14453125" style="18"/>
  </cols>
  <sheetData>
    <row r="1" spans="2:10" ht="15.75" thickBot="1" x14ac:dyDescent="0.25"/>
    <row r="2" spans="2:10" ht="15.75" thickBot="1" x14ac:dyDescent="0.25">
      <c r="B2" s="337" t="s">
        <v>183</v>
      </c>
      <c r="C2" s="294"/>
      <c r="D2" s="295"/>
      <c r="E2" s="38" t="s">
        <v>0</v>
      </c>
      <c r="G2" s="284" t="s">
        <v>46</v>
      </c>
      <c r="H2" s="320"/>
      <c r="I2" s="320"/>
      <c r="J2" s="321"/>
    </row>
    <row r="3" spans="2:10" ht="15.75" thickBot="1" x14ac:dyDescent="0.25">
      <c r="B3" s="38"/>
      <c r="C3" s="38" t="s">
        <v>92</v>
      </c>
      <c r="D3" s="155" t="s">
        <v>132</v>
      </c>
      <c r="E3" s="296">
        <f>ROUNDUP(C14/D8,1)</f>
        <v>1</v>
      </c>
      <c r="G3" s="220"/>
      <c r="H3" s="221" t="s">
        <v>92</v>
      </c>
      <c r="I3" s="222" t="s">
        <v>96</v>
      </c>
      <c r="J3" s="217" t="s">
        <v>171</v>
      </c>
    </row>
    <row r="4" spans="2:10" ht="15.75" thickBot="1" x14ac:dyDescent="0.25">
      <c r="B4" s="49" t="s">
        <v>113</v>
      </c>
      <c r="C4" s="194">
        <v>0.7</v>
      </c>
      <c r="D4" s="120">
        <f>54*12*C4/16*1.15</f>
        <v>32.602499999999992</v>
      </c>
      <c r="E4" s="297"/>
      <c r="G4" s="35" t="s">
        <v>173</v>
      </c>
      <c r="H4" s="109">
        <v>0.75</v>
      </c>
      <c r="I4" s="218">
        <f>48*12/16*H4*1.15</f>
        <v>31.049999999999997</v>
      </c>
      <c r="J4" s="57">
        <f>(C12*12*H4/16*1.25)+5</f>
        <v>42.96875</v>
      </c>
    </row>
    <row r="5" spans="2:10" x14ac:dyDescent="0.2">
      <c r="B5" s="44" t="s">
        <v>114</v>
      </c>
      <c r="C5" s="146">
        <v>0.6</v>
      </c>
      <c r="D5" s="113">
        <f>54*12*C5/16*1.15</f>
        <v>27.945</v>
      </c>
      <c r="E5" s="297"/>
    </row>
    <row r="6" spans="2:10" x14ac:dyDescent="0.2">
      <c r="B6" s="44" t="s">
        <v>44</v>
      </c>
      <c r="C6" s="146"/>
      <c r="D6" s="113">
        <v>5</v>
      </c>
      <c r="E6" s="297"/>
    </row>
    <row r="7" spans="2:10" ht="15.75" thickBot="1" x14ac:dyDescent="0.25">
      <c r="B7" s="51" t="s">
        <v>36</v>
      </c>
      <c r="C7" s="195">
        <v>0.2</v>
      </c>
      <c r="D7" s="114">
        <f>54*12*C7/16*1.15</f>
        <v>9.3149999999999995</v>
      </c>
      <c r="E7" s="297"/>
    </row>
    <row r="8" spans="2:10" ht="15.75" thickBot="1" x14ac:dyDescent="0.25">
      <c r="B8" s="54" t="s">
        <v>17</v>
      </c>
      <c r="C8" s="165">
        <f>SUM(C4:C7)</f>
        <v>1.4999999999999998</v>
      </c>
      <c r="D8" s="165">
        <f>SUM(D4,D5,D7)</f>
        <v>69.862499999999997</v>
      </c>
      <c r="E8" s="298"/>
    </row>
    <row r="9" spans="2:10" x14ac:dyDescent="0.2"/>
    <row r="10" spans="2:10" x14ac:dyDescent="0.2">
      <c r="B10" s="258" t="s">
        <v>133</v>
      </c>
      <c r="C10" s="258"/>
      <c r="D10" s="94">
        <f>ROUNDDOWN(250/D8,2)</f>
        <v>3.57</v>
      </c>
    </row>
    <row r="11" spans="2:10" x14ac:dyDescent="0.2"/>
    <row r="12" spans="2:10" x14ac:dyDescent="0.2">
      <c r="B12" s="18" t="s">
        <v>29</v>
      </c>
      <c r="C12" s="64">
        <v>54</v>
      </c>
    </row>
    <row r="13" spans="2:10" x14ac:dyDescent="0.2"/>
    <row r="14" spans="2:10" x14ac:dyDescent="0.2">
      <c r="B14" s="18" t="s">
        <v>45</v>
      </c>
      <c r="C14" s="99">
        <f>((C12*12*C8/16)*1.15)-C15</f>
        <v>69.862499999999983</v>
      </c>
    </row>
    <row r="15" spans="2:10" x14ac:dyDescent="0.2">
      <c r="B15" s="18" t="s">
        <v>9</v>
      </c>
      <c r="C15" s="64">
        <v>0</v>
      </c>
    </row>
    <row r="16" spans="2:10" x14ac:dyDescent="0.2">
      <c r="B16" s="18" t="s">
        <v>41</v>
      </c>
      <c r="C16" s="99">
        <f>E3*D8</f>
        <v>69.862499999999997</v>
      </c>
    </row>
    <row r="17" spans="2:5" x14ac:dyDescent="0.2"/>
    <row r="18" spans="2:5" x14ac:dyDescent="0.2">
      <c r="B18" s="18" t="s">
        <v>11</v>
      </c>
    </row>
    <row r="19" spans="2:5" x14ac:dyDescent="0.2">
      <c r="B19" s="18" t="s">
        <v>115</v>
      </c>
      <c r="C19" s="99">
        <f>D4*E3</f>
        <v>32.602499999999992</v>
      </c>
      <c r="D19" s="18" t="s">
        <v>12</v>
      </c>
    </row>
    <row r="20" spans="2:5" x14ac:dyDescent="0.2">
      <c r="B20" s="18" t="s">
        <v>114</v>
      </c>
      <c r="C20" s="99">
        <f>D5*E3</f>
        <v>27.945</v>
      </c>
      <c r="D20" s="18" t="s">
        <v>12</v>
      </c>
    </row>
    <row r="21" spans="2:5" x14ac:dyDescent="0.2">
      <c r="B21" s="18" t="s">
        <v>36</v>
      </c>
      <c r="C21" s="99">
        <f>D7*E3</f>
        <v>9.3149999999999995</v>
      </c>
      <c r="D21" s="18" t="s">
        <v>12</v>
      </c>
    </row>
    <row r="22" spans="2:5" x14ac:dyDescent="0.2">
      <c r="B22" s="18" t="s">
        <v>44</v>
      </c>
      <c r="C22" s="99">
        <f>E3*D6</f>
        <v>5</v>
      </c>
      <c r="D22" s="18" t="s">
        <v>12</v>
      </c>
    </row>
    <row r="23" spans="2:5" x14ac:dyDescent="0.2"/>
    <row r="24" spans="2:5" x14ac:dyDescent="0.2">
      <c r="B24" s="216" t="s">
        <v>46</v>
      </c>
      <c r="D24" s="216" t="s">
        <v>174</v>
      </c>
    </row>
    <row r="25" spans="2:5" x14ac:dyDescent="0.2">
      <c r="B25" s="18" t="s">
        <v>117</v>
      </c>
      <c r="C25" s="99">
        <f>J4/3.5*6</f>
        <v>73.660714285714278</v>
      </c>
      <c r="D25" s="99">
        <f>C25/6</f>
        <v>12.276785714285714</v>
      </c>
      <c r="E25" s="18" t="s">
        <v>118</v>
      </c>
    </row>
    <row r="26" spans="2:5" x14ac:dyDescent="0.2"/>
    <row r="27" spans="2:5" x14ac:dyDescent="0.2">
      <c r="B27" s="319" t="s">
        <v>116</v>
      </c>
      <c r="C27" s="319"/>
      <c r="D27" s="319"/>
      <c r="E27" s="319"/>
    </row>
    <row r="28" spans="2:5" x14ac:dyDescent="0.2"/>
    <row r="29" spans="2:5" x14ac:dyDescent="0.2"/>
    <row r="30" spans="2:5" x14ac:dyDescent="0.2"/>
    <row r="31" spans="2:5" x14ac:dyDescent="0.2"/>
    <row r="32" spans="2:5" x14ac:dyDescent="0.2"/>
    <row r="33" x14ac:dyDescent="0.2"/>
    <row r="34" x14ac:dyDescent="0.2"/>
    <row r="35" x14ac:dyDescent="0.2"/>
    <row r="36" x14ac:dyDescent="0.2"/>
    <row r="37" x14ac:dyDescent="0.2"/>
    <row r="38" x14ac:dyDescent="0.2"/>
    <row r="39" x14ac:dyDescent="0.2"/>
    <row r="40" x14ac:dyDescent="0.2"/>
    <row r="41" x14ac:dyDescent="0.2"/>
    <row r="42" x14ac:dyDescent="0.2"/>
    <row r="43" x14ac:dyDescent="0.2"/>
    <row r="44" x14ac:dyDescent="0.2"/>
    <row r="45" x14ac:dyDescent="0.2"/>
    <row r="46" x14ac:dyDescent="0.2"/>
    <row r="47" x14ac:dyDescent="0.2"/>
    <row r="48" x14ac:dyDescent="0.2"/>
    <row r="49" x14ac:dyDescent="0.2"/>
    <row r="50" x14ac:dyDescent="0.2"/>
    <row r="51" x14ac:dyDescent="0.2"/>
    <row r="52" x14ac:dyDescent="0.2"/>
    <row r="53" x14ac:dyDescent="0.2"/>
    <row r="54" x14ac:dyDescent="0.2"/>
    <row r="55" x14ac:dyDescent="0.2"/>
    <row r="56" x14ac:dyDescent="0.2"/>
    <row r="57" x14ac:dyDescent="0.2"/>
    <row r="58" x14ac:dyDescent="0.2"/>
    <row r="59" x14ac:dyDescent="0.2"/>
    <row r="60" x14ac:dyDescent="0.2"/>
    <row r="61" x14ac:dyDescent="0.2"/>
    <row r="62" x14ac:dyDescent="0.2"/>
    <row r="63" x14ac:dyDescent="0.2"/>
    <row r="64" x14ac:dyDescent="0.2"/>
    <row r="65" x14ac:dyDescent="0.2"/>
    <row r="66" x14ac:dyDescent="0.2"/>
    <row r="67" x14ac:dyDescent="0.2"/>
    <row r="68" x14ac:dyDescent="0.2"/>
    <row r="69" x14ac:dyDescent="0.2"/>
    <row r="70" x14ac:dyDescent="0.2"/>
    <row r="71" x14ac:dyDescent="0.2"/>
    <row r="72" x14ac:dyDescent="0.2"/>
    <row r="73" x14ac:dyDescent="0.2"/>
    <row r="74" x14ac:dyDescent="0.2"/>
    <row r="75" x14ac:dyDescent="0.2"/>
    <row r="76" x14ac:dyDescent="0.2"/>
    <row r="77" x14ac:dyDescent="0.2"/>
    <row r="78" x14ac:dyDescent="0.2"/>
    <row r="79" x14ac:dyDescent="0.2"/>
    <row r="80" x14ac:dyDescent="0.2"/>
    <row r="81" x14ac:dyDescent="0.2"/>
    <row r="82" x14ac:dyDescent="0.2"/>
    <row r="83" x14ac:dyDescent="0.2"/>
    <row r="84" x14ac:dyDescent="0.2"/>
    <row r="85" x14ac:dyDescent="0.2"/>
    <row r="86" x14ac:dyDescent="0.2"/>
    <row r="87" x14ac:dyDescent="0.2"/>
    <row r="88" x14ac:dyDescent="0.2"/>
    <row r="89" x14ac:dyDescent="0.2"/>
    <row r="90" x14ac:dyDescent="0.2"/>
    <row r="91" x14ac:dyDescent="0.2"/>
    <row r="92" x14ac:dyDescent="0.2"/>
    <row r="93" x14ac:dyDescent="0.2"/>
    <row r="94" x14ac:dyDescent="0.2"/>
    <row r="95" x14ac:dyDescent="0.2"/>
    <row r="96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  <row r="109" x14ac:dyDescent="0.2"/>
    <row r="110" x14ac:dyDescent="0.2"/>
    <row r="111" x14ac:dyDescent="0.2"/>
    <row r="112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  <row r="143" x14ac:dyDescent="0.2"/>
    <row r="144" x14ac:dyDescent="0.2"/>
    <row r="145" x14ac:dyDescent="0.2"/>
    <row r="146" x14ac:dyDescent="0.2"/>
    <row r="147" x14ac:dyDescent="0.2"/>
    <row r="148" x14ac:dyDescent="0.2"/>
    <row r="149" x14ac:dyDescent="0.2"/>
    <row r="150" x14ac:dyDescent="0.2"/>
    <row r="151" x14ac:dyDescent="0.2"/>
    <row r="152" x14ac:dyDescent="0.2"/>
    <row r="153" x14ac:dyDescent="0.2"/>
    <row r="154" x14ac:dyDescent="0.2"/>
    <row r="155" x14ac:dyDescent="0.2"/>
    <row r="156" x14ac:dyDescent="0.2"/>
    <row r="157" x14ac:dyDescent="0.2"/>
    <row r="158" x14ac:dyDescent="0.2"/>
    <row r="159" x14ac:dyDescent="0.2"/>
    <row r="160" x14ac:dyDescent="0.2"/>
    <row r="161" x14ac:dyDescent="0.2"/>
    <row r="162" x14ac:dyDescent="0.2"/>
    <row r="163" x14ac:dyDescent="0.2"/>
    <row r="164" x14ac:dyDescent="0.2"/>
    <row r="165" x14ac:dyDescent="0.2"/>
    <row r="166" x14ac:dyDescent="0.2"/>
    <row r="167" x14ac:dyDescent="0.2"/>
    <row r="168" x14ac:dyDescent="0.2"/>
    <row r="169" x14ac:dyDescent="0.2"/>
    <row r="170" x14ac:dyDescent="0.2"/>
    <row r="171" x14ac:dyDescent="0.2"/>
    <row r="172" x14ac:dyDescent="0.2"/>
    <row r="173" x14ac:dyDescent="0.2"/>
    <row r="174" x14ac:dyDescent="0.2"/>
    <row r="175" x14ac:dyDescent="0.2"/>
    <row r="176" x14ac:dyDescent="0.2"/>
    <row r="177" x14ac:dyDescent="0.2"/>
    <row r="178" x14ac:dyDescent="0.2"/>
    <row r="179" x14ac:dyDescent="0.2"/>
    <row r="180" x14ac:dyDescent="0.2"/>
    <row r="181" x14ac:dyDescent="0.2"/>
    <row r="182" x14ac:dyDescent="0.2"/>
    <row r="183" x14ac:dyDescent="0.2"/>
    <row r="184" x14ac:dyDescent="0.2"/>
    <row r="185" x14ac:dyDescent="0.2"/>
    <row r="186" x14ac:dyDescent="0.2"/>
    <row r="187" x14ac:dyDescent="0.2"/>
    <row r="188" x14ac:dyDescent="0.2"/>
    <row r="189" x14ac:dyDescent="0.2"/>
    <row r="190" x14ac:dyDescent="0.2"/>
    <row r="191" x14ac:dyDescent="0.2"/>
    <row r="192" x14ac:dyDescent="0.2"/>
    <row r="193" x14ac:dyDescent="0.2"/>
    <row r="194" x14ac:dyDescent="0.2"/>
    <row r="195" x14ac:dyDescent="0.2"/>
    <row r="196" x14ac:dyDescent="0.2"/>
    <row r="197" x14ac:dyDescent="0.2"/>
    <row r="198" x14ac:dyDescent="0.2"/>
    <row r="199" x14ac:dyDescent="0.2"/>
    <row r="200" x14ac:dyDescent="0.2"/>
    <row r="201" x14ac:dyDescent="0.2"/>
    <row r="202" x14ac:dyDescent="0.2"/>
    <row r="203" x14ac:dyDescent="0.2"/>
    <row r="204" x14ac:dyDescent="0.2"/>
    <row r="205" x14ac:dyDescent="0.2"/>
    <row r="206" x14ac:dyDescent="0.2"/>
    <row r="207" x14ac:dyDescent="0.2"/>
    <row r="208" x14ac:dyDescent="0.2"/>
    <row r="209" x14ac:dyDescent="0.2"/>
    <row r="210" x14ac:dyDescent="0.2"/>
    <row r="211" x14ac:dyDescent="0.2"/>
    <row r="212" x14ac:dyDescent="0.2"/>
    <row r="213" x14ac:dyDescent="0.2"/>
    <row r="214" x14ac:dyDescent="0.2"/>
    <row r="215" x14ac:dyDescent="0.2"/>
    <row r="216" x14ac:dyDescent="0.2"/>
    <row r="217" x14ac:dyDescent="0.2"/>
    <row r="218" x14ac:dyDescent="0.2"/>
    <row r="219" x14ac:dyDescent="0.2"/>
    <row r="220" x14ac:dyDescent="0.2"/>
    <row r="221" x14ac:dyDescent="0.2"/>
    <row r="222" x14ac:dyDescent="0.2"/>
    <row r="223" x14ac:dyDescent="0.2"/>
    <row r="224" x14ac:dyDescent="0.2"/>
    <row r="225" x14ac:dyDescent="0.2"/>
    <row r="226" x14ac:dyDescent="0.2"/>
    <row r="227" x14ac:dyDescent="0.2"/>
    <row r="228" x14ac:dyDescent="0.2"/>
    <row r="229" x14ac:dyDescent="0.2"/>
    <row r="230" x14ac:dyDescent="0.2"/>
    <row r="231" x14ac:dyDescent="0.2"/>
    <row r="232" x14ac:dyDescent="0.2"/>
    <row r="233" x14ac:dyDescent="0.2"/>
    <row r="234" x14ac:dyDescent="0.2"/>
    <row r="235" x14ac:dyDescent="0.2"/>
    <row r="236" x14ac:dyDescent="0.2"/>
    <row r="237" x14ac:dyDescent="0.2"/>
    <row r="238" x14ac:dyDescent="0.2"/>
    <row r="239" x14ac:dyDescent="0.2"/>
    <row r="240" x14ac:dyDescent="0.2"/>
    <row r="241" x14ac:dyDescent="0.2"/>
    <row r="242" x14ac:dyDescent="0.2"/>
    <row r="243" x14ac:dyDescent="0.2"/>
    <row r="244" x14ac:dyDescent="0.2"/>
    <row r="245" x14ac:dyDescent="0.2"/>
    <row r="246" x14ac:dyDescent="0.2"/>
    <row r="247" x14ac:dyDescent="0.2"/>
    <row r="248" x14ac:dyDescent="0.2"/>
    <row r="249" x14ac:dyDescent="0.2"/>
    <row r="250" x14ac:dyDescent="0.2"/>
    <row r="251" x14ac:dyDescent="0.2"/>
    <row r="252" x14ac:dyDescent="0.2"/>
    <row r="253" x14ac:dyDescent="0.2"/>
    <row r="254" x14ac:dyDescent="0.2"/>
    <row r="255" x14ac:dyDescent="0.2"/>
    <row r="256" x14ac:dyDescent="0.2"/>
    <row r="257" x14ac:dyDescent="0.2"/>
    <row r="258" x14ac:dyDescent="0.2"/>
    <row r="259" x14ac:dyDescent="0.2"/>
    <row r="260" x14ac:dyDescent="0.2"/>
    <row r="261" x14ac:dyDescent="0.2"/>
    <row r="262" x14ac:dyDescent="0.2"/>
    <row r="263" x14ac:dyDescent="0.2"/>
    <row r="264" x14ac:dyDescent="0.2"/>
    <row r="265" x14ac:dyDescent="0.2"/>
    <row r="266" x14ac:dyDescent="0.2"/>
    <row r="267" x14ac:dyDescent="0.2"/>
    <row r="268" x14ac:dyDescent="0.2"/>
    <row r="269" x14ac:dyDescent="0.2"/>
    <row r="270" x14ac:dyDescent="0.2"/>
    <row r="271" x14ac:dyDescent="0.2"/>
    <row r="272" x14ac:dyDescent="0.2"/>
    <row r="273" x14ac:dyDescent="0.2"/>
    <row r="274" x14ac:dyDescent="0.2"/>
    <row r="275" x14ac:dyDescent="0.2"/>
    <row r="276" x14ac:dyDescent="0.2"/>
    <row r="277" x14ac:dyDescent="0.2"/>
    <row r="278" x14ac:dyDescent="0.2"/>
    <row r="279" x14ac:dyDescent="0.2"/>
    <row r="280" x14ac:dyDescent="0.2"/>
    <row r="281" x14ac:dyDescent="0.2"/>
    <row r="282" x14ac:dyDescent="0.2"/>
    <row r="283" x14ac:dyDescent="0.2"/>
    <row r="284" x14ac:dyDescent="0.2"/>
    <row r="285" x14ac:dyDescent="0.2"/>
    <row r="286" x14ac:dyDescent="0.2"/>
    <row r="287" x14ac:dyDescent="0.2"/>
    <row r="288" x14ac:dyDescent="0.2"/>
    <row r="289" x14ac:dyDescent="0.2"/>
    <row r="290" x14ac:dyDescent="0.2"/>
    <row r="291" x14ac:dyDescent="0.2"/>
    <row r="292" x14ac:dyDescent="0.2"/>
    <row r="293" x14ac:dyDescent="0.2"/>
    <row r="294" x14ac:dyDescent="0.2"/>
    <row r="295" x14ac:dyDescent="0.2"/>
    <row r="296" x14ac:dyDescent="0.2"/>
    <row r="297" x14ac:dyDescent="0.2"/>
    <row r="298" x14ac:dyDescent="0.2"/>
    <row r="299" x14ac:dyDescent="0.2"/>
    <row r="300" x14ac:dyDescent="0.2"/>
    <row r="301" x14ac:dyDescent="0.2"/>
    <row r="302" x14ac:dyDescent="0.2"/>
    <row r="303" x14ac:dyDescent="0.2"/>
    <row r="304" x14ac:dyDescent="0.2"/>
    <row r="305" x14ac:dyDescent="0.2"/>
    <row r="306" x14ac:dyDescent="0.2"/>
    <row r="307" x14ac:dyDescent="0.2"/>
    <row r="308" x14ac:dyDescent="0.2"/>
    <row r="309" x14ac:dyDescent="0.2"/>
    <row r="310" x14ac:dyDescent="0.2"/>
    <row r="311" x14ac:dyDescent="0.2"/>
    <row r="312" x14ac:dyDescent="0.2"/>
    <row r="313" x14ac:dyDescent="0.2"/>
    <row r="314" x14ac:dyDescent="0.2"/>
    <row r="315" x14ac:dyDescent="0.2"/>
    <row r="316" x14ac:dyDescent="0.2"/>
    <row r="317" x14ac:dyDescent="0.2"/>
    <row r="318" x14ac:dyDescent="0.2"/>
    <row r="319" x14ac:dyDescent="0.2"/>
    <row r="320" x14ac:dyDescent="0.2"/>
    <row r="321" x14ac:dyDescent="0.2"/>
    <row r="322" x14ac:dyDescent="0.2"/>
    <row r="323" x14ac:dyDescent="0.2"/>
    <row r="324" x14ac:dyDescent="0.2"/>
    <row r="325" x14ac:dyDescent="0.2"/>
    <row r="326" x14ac:dyDescent="0.2"/>
    <row r="327" x14ac:dyDescent="0.2"/>
    <row r="328" x14ac:dyDescent="0.2"/>
    <row r="329" x14ac:dyDescent="0.2"/>
    <row r="330" x14ac:dyDescent="0.2"/>
    <row r="331" x14ac:dyDescent="0.2"/>
    <row r="332" x14ac:dyDescent="0.2"/>
    <row r="333" x14ac:dyDescent="0.2"/>
    <row r="334" x14ac:dyDescent="0.2"/>
    <row r="335" x14ac:dyDescent="0.2"/>
    <row r="336" x14ac:dyDescent="0.2"/>
    <row r="337" x14ac:dyDescent="0.2"/>
    <row r="338" x14ac:dyDescent="0.2"/>
    <row r="339" x14ac:dyDescent="0.2"/>
    <row r="340" x14ac:dyDescent="0.2"/>
    <row r="341" x14ac:dyDescent="0.2"/>
    <row r="342" x14ac:dyDescent="0.2"/>
    <row r="343" x14ac:dyDescent="0.2"/>
    <row r="344" x14ac:dyDescent="0.2"/>
    <row r="345" x14ac:dyDescent="0.2"/>
    <row r="346" x14ac:dyDescent="0.2"/>
    <row r="347" x14ac:dyDescent="0.2"/>
    <row r="348" x14ac:dyDescent="0.2"/>
    <row r="349" x14ac:dyDescent="0.2"/>
    <row r="350" x14ac:dyDescent="0.2"/>
    <row r="351" x14ac:dyDescent="0.2"/>
    <row r="352" x14ac:dyDescent="0.2"/>
    <row r="353" x14ac:dyDescent="0.2"/>
    <row r="354" x14ac:dyDescent="0.2"/>
    <row r="355" x14ac:dyDescent="0.2"/>
    <row r="356" x14ac:dyDescent="0.2"/>
    <row r="357" x14ac:dyDescent="0.2"/>
    <row r="358" x14ac:dyDescent="0.2"/>
    <row r="359" x14ac:dyDescent="0.2"/>
    <row r="360" x14ac:dyDescent="0.2"/>
    <row r="361" x14ac:dyDescent="0.2"/>
    <row r="362" x14ac:dyDescent="0.2"/>
    <row r="363" x14ac:dyDescent="0.2"/>
    <row r="364" x14ac:dyDescent="0.2"/>
    <row r="365" x14ac:dyDescent="0.2"/>
    <row r="366" x14ac:dyDescent="0.2"/>
    <row r="367" x14ac:dyDescent="0.2"/>
    <row r="368" x14ac:dyDescent="0.2"/>
    <row r="369" x14ac:dyDescent="0.2"/>
    <row r="370" x14ac:dyDescent="0.2"/>
    <row r="371" x14ac:dyDescent="0.2"/>
    <row r="372" x14ac:dyDescent="0.2"/>
    <row r="373" x14ac:dyDescent="0.2"/>
    <row r="374" x14ac:dyDescent="0.2"/>
    <row r="375" x14ac:dyDescent="0.2"/>
    <row r="376" x14ac:dyDescent="0.2"/>
    <row r="377" x14ac:dyDescent="0.2"/>
    <row r="378" x14ac:dyDescent="0.2"/>
    <row r="379" x14ac:dyDescent="0.2"/>
    <row r="380" x14ac:dyDescent="0.2"/>
    <row r="381" x14ac:dyDescent="0.2"/>
    <row r="382" x14ac:dyDescent="0.2"/>
    <row r="383" x14ac:dyDescent="0.2"/>
    <row r="384" x14ac:dyDescent="0.2"/>
    <row r="385" x14ac:dyDescent="0.2"/>
    <row r="386" x14ac:dyDescent="0.2"/>
    <row r="387" x14ac:dyDescent="0.2"/>
    <row r="388" x14ac:dyDescent="0.2"/>
    <row r="389" x14ac:dyDescent="0.2"/>
    <row r="390" x14ac:dyDescent="0.2"/>
    <row r="391" x14ac:dyDescent="0.2"/>
    <row r="392" x14ac:dyDescent="0.2"/>
    <row r="393" x14ac:dyDescent="0.2"/>
    <row r="394" x14ac:dyDescent="0.2"/>
    <row r="395" x14ac:dyDescent="0.2"/>
    <row r="396" x14ac:dyDescent="0.2"/>
    <row r="397" x14ac:dyDescent="0.2"/>
    <row r="398" x14ac:dyDescent="0.2"/>
    <row r="399" x14ac:dyDescent="0.2"/>
    <row r="400" x14ac:dyDescent="0.2"/>
    <row r="401" x14ac:dyDescent="0.2"/>
    <row r="402" x14ac:dyDescent="0.2"/>
    <row r="403" x14ac:dyDescent="0.2"/>
    <row r="404" x14ac:dyDescent="0.2"/>
    <row r="405" x14ac:dyDescent="0.2"/>
    <row r="406" x14ac:dyDescent="0.2"/>
    <row r="407" x14ac:dyDescent="0.2"/>
    <row r="408" x14ac:dyDescent="0.2"/>
    <row r="409" x14ac:dyDescent="0.2"/>
    <row r="410" x14ac:dyDescent="0.2"/>
    <row r="411" x14ac:dyDescent="0.2"/>
    <row r="412" x14ac:dyDescent="0.2"/>
    <row r="413" x14ac:dyDescent="0.2"/>
    <row r="414" x14ac:dyDescent="0.2"/>
    <row r="415" x14ac:dyDescent="0.2"/>
    <row r="416" x14ac:dyDescent="0.2"/>
    <row r="417" x14ac:dyDescent="0.2"/>
    <row r="418" x14ac:dyDescent="0.2"/>
    <row r="419" x14ac:dyDescent="0.2"/>
    <row r="420" x14ac:dyDescent="0.2"/>
    <row r="421" x14ac:dyDescent="0.2"/>
    <row r="422" x14ac:dyDescent="0.2"/>
    <row r="423" x14ac:dyDescent="0.2"/>
    <row r="424" x14ac:dyDescent="0.2"/>
    <row r="425" x14ac:dyDescent="0.2"/>
    <row r="426" x14ac:dyDescent="0.2"/>
    <row r="427" x14ac:dyDescent="0.2"/>
    <row r="428" x14ac:dyDescent="0.2"/>
    <row r="429" x14ac:dyDescent="0.2"/>
    <row r="430" x14ac:dyDescent="0.2"/>
    <row r="431" x14ac:dyDescent="0.2"/>
    <row r="432" x14ac:dyDescent="0.2"/>
    <row r="433" x14ac:dyDescent="0.2"/>
    <row r="434" x14ac:dyDescent="0.2"/>
    <row r="435" x14ac:dyDescent="0.2"/>
    <row r="436" x14ac:dyDescent="0.2"/>
    <row r="437" x14ac:dyDescent="0.2"/>
    <row r="438" x14ac:dyDescent="0.2"/>
    <row r="439" x14ac:dyDescent="0.2"/>
    <row r="440" x14ac:dyDescent="0.2"/>
    <row r="441" x14ac:dyDescent="0.2"/>
    <row r="442" x14ac:dyDescent="0.2"/>
    <row r="443" x14ac:dyDescent="0.2"/>
    <row r="444" x14ac:dyDescent="0.2"/>
    <row r="445" x14ac:dyDescent="0.2"/>
    <row r="446" x14ac:dyDescent="0.2"/>
    <row r="447" x14ac:dyDescent="0.2"/>
    <row r="448" x14ac:dyDescent="0.2"/>
    <row r="449" x14ac:dyDescent="0.2"/>
    <row r="450" x14ac:dyDescent="0.2"/>
    <row r="451" x14ac:dyDescent="0.2"/>
    <row r="452" x14ac:dyDescent="0.2"/>
    <row r="453" x14ac:dyDescent="0.2"/>
    <row r="454" x14ac:dyDescent="0.2"/>
    <row r="455" x14ac:dyDescent="0.2"/>
    <row r="456" x14ac:dyDescent="0.2"/>
    <row r="457" x14ac:dyDescent="0.2"/>
    <row r="458" x14ac:dyDescent="0.2"/>
    <row r="459" x14ac:dyDescent="0.2"/>
    <row r="460" x14ac:dyDescent="0.2"/>
    <row r="461" x14ac:dyDescent="0.2"/>
    <row r="462" x14ac:dyDescent="0.2"/>
    <row r="463" x14ac:dyDescent="0.2"/>
    <row r="464" x14ac:dyDescent="0.2"/>
    <row r="465" x14ac:dyDescent="0.2"/>
    <row r="466" x14ac:dyDescent="0.2"/>
    <row r="467" x14ac:dyDescent="0.2"/>
    <row r="468" x14ac:dyDescent="0.2"/>
    <row r="469" x14ac:dyDescent="0.2"/>
    <row r="470" x14ac:dyDescent="0.2"/>
    <row r="471" x14ac:dyDescent="0.2"/>
    <row r="472" x14ac:dyDescent="0.2"/>
    <row r="473" x14ac:dyDescent="0.2"/>
    <row r="474" x14ac:dyDescent="0.2"/>
    <row r="475" x14ac:dyDescent="0.2"/>
    <row r="476" x14ac:dyDescent="0.2"/>
    <row r="477" x14ac:dyDescent="0.2"/>
    <row r="478" x14ac:dyDescent="0.2"/>
    <row r="479" x14ac:dyDescent="0.2"/>
    <row r="480" x14ac:dyDescent="0.2"/>
    <row r="481" x14ac:dyDescent="0.2"/>
    <row r="482" x14ac:dyDescent="0.2"/>
    <row r="483" x14ac:dyDescent="0.2"/>
    <row r="484" x14ac:dyDescent="0.2"/>
    <row r="485" x14ac:dyDescent="0.2"/>
    <row r="486" x14ac:dyDescent="0.2"/>
    <row r="487" x14ac:dyDescent="0.2"/>
    <row r="488" x14ac:dyDescent="0.2"/>
    <row r="489" x14ac:dyDescent="0.2"/>
    <row r="490" x14ac:dyDescent="0.2"/>
    <row r="491" x14ac:dyDescent="0.2"/>
    <row r="492" x14ac:dyDescent="0.2"/>
    <row r="493" x14ac:dyDescent="0.2"/>
    <row r="494" x14ac:dyDescent="0.2"/>
    <row r="495" x14ac:dyDescent="0.2"/>
    <row r="496" x14ac:dyDescent="0.2"/>
    <row r="497" x14ac:dyDescent="0.2"/>
    <row r="498" x14ac:dyDescent="0.2"/>
    <row r="499" x14ac:dyDescent="0.2"/>
    <row r="500" x14ac:dyDescent="0.2"/>
    <row r="501" x14ac:dyDescent="0.2"/>
    <row r="502" x14ac:dyDescent="0.2"/>
    <row r="503" x14ac:dyDescent="0.2"/>
    <row r="504" x14ac:dyDescent="0.2"/>
    <row r="505" x14ac:dyDescent="0.2"/>
    <row r="506" x14ac:dyDescent="0.2"/>
    <row r="507" x14ac:dyDescent="0.2"/>
    <row r="508" x14ac:dyDescent="0.2"/>
    <row r="509" x14ac:dyDescent="0.2"/>
    <row r="510" x14ac:dyDescent="0.2"/>
    <row r="511" x14ac:dyDescent="0.2"/>
    <row r="512" x14ac:dyDescent="0.2"/>
    <row r="513" x14ac:dyDescent="0.2"/>
    <row r="514" x14ac:dyDescent="0.2"/>
    <row r="515" x14ac:dyDescent="0.2"/>
    <row r="516" x14ac:dyDescent="0.2"/>
    <row r="517" x14ac:dyDescent="0.2"/>
    <row r="518" x14ac:dyDescent="0.2"/>
    <row r="519" x14ac:dyDescent="0.2"/>
    <row r="520" x14ac:dyDescent="0.2"/>
    <row r="521" x14ac:dyDescent="0.2"/>
    <row r="522" x14ac:dyDescent="0.2"/>
    <row r="523" x14ac:dyDescent="0.2"/>
    <row r="524" x14ac:dyDescent="0.2"/>
    <row r="525" x14ac:dyDescent="0.2"/>
    <row r="526" x14ac:dyDescent="0.2"/>
    <row r="527" x14ac:dyDescent="0.2"/>
    <row r="528" x14ac:dyDescent="0.2"/>
    <row r="529" x14ac:dyDescent="0.2"/>
    <row r="530" x14ac:dyDescent="0.2"/>
    <row r="531" x14ac:dyDescent="0.2"/>
    <row r="532" x14ac:dyDescent="0.2"/>
    <row r="533" x14ac:dyDescent="0.2"/>
    <row r="534" x14ac:dyDescent="0.2"/>
    <row r="535" x14ac:dyDescent="0.2"/>
    <row r="536" x14ac:dyDescent="0.2"/>
    <row r="537" x14ac:dyDescent="0.2"/>
    <row r="538" x14ac:dyDescent="0.2"/>
    <row r="539" x14ac:dyDescent="0.2"/>
    <row r="540" x14ac:dyDescent="0.2"/>
    <row r="541" x14ac:dyDescent="0.2"/>
    <row r="542" x14ac:dyDescent="0.2"/>
    <row r="543" x14ac:dyDescent="0.2"/>
    <row r="544" x14ac:dyDescent="0.2"/>
    <row r="545" x14ac:dyDescent="0.2"/>
    <row r="546" x14ac:dyDescent="0.2"/>
    <row r="547" x14ac:dyDescent="0.2"/>
    <row r="548" x14ac:dyDescent="0.2"/>
    <row r="549" x14ac:dyDescent="0.2"/>
    <row r="550" x14ac:dyDescent="0.2"/>
    <row r="551" x14ac:dyDescent="0.2"/>
    <row r="552" x14ac:dyDescent="0.2"/>
    <row r="553" x14ac:dyDescent="0.2"/>
    <row r="554" x14ac:dyDescent="0.2"/>
    <row r="555" x14ac:dyDescent="0.2"/>
    <row r="556" x14ac:dyDescent="0.2"/>
    <row r="557" x14ac:dyDescent="0.2"/>
    <row r="558" x14ac:dyDescent="0.2"/>
    <row r="559" x14ac:dyDescent="0.2"/>
    <row r="560" x14ac:dyDescent="0.2"/>
    <row r="561" x14ac:dyDescent="0.2"/>
    <row r="562" x14ac:dyDescent="0.2"/>
    <row r="563" x14ac:dyDescent="0.2"/>
    <row r="564" x14ac:dyDescent="0.2"/>
    <row r="565" x14ac:dyDescent="0.2"/>
    <row r="566" x14ac:dyDescent="0.2"/>
    <row r="567" x14ac:dyDescent="0.2"/>
    <row r="568" x14ac:dyDescent="0.2"/>
    <row r="569" x14ac:dyDescent="0.2"/>
    <row r="570" x14ac:dyDescent="0.2"/>
    <row r="571" x14ac:dyDescent="0.2"/>
    <row r="572" x14ac:dyDescent="0.2"/>
    <row r="573" x14ac:dyDescent="0.2"/>
    <row r="574" x14ac:dyDescent="0.2"/>
    <row r="575" x14ac:dyDescent="0.2"/>
    <row r="576" x14ac:dyDescent="0.2"/>
    <row r="577" x14ac:dyDescent="0.2"/>
    <row r="578" x14ac:dyDescent="0.2"/>
    <row r="579" x14ac:dyDescent="0.2"/>
    <row r="580" x14ac:dyDescent="0.2"/>
    <row r="581" x14ac:dyDescent="0.2"/>
    <row r="582" x14ac:dyDescent="0.2"/>
    <row r="583" x14ac:dyDescent="0.2"/>
    <row r="584" x14ac:dyDescent="0.2"/>
    <row r="585" x14ac:dyDescent="0.2"/>
    <row r="586" x14ac:dyDescent="0.2"/>
    <row r="587" x14ac:dyDescent="0.2"/>
    <row r="588" x14ac:dyDescent="0.2"/>
    <row r="589" x14ac:dyDescent="0.2"/>
    <row r="590" x14ac:dyDescent="0.2"/>
    <row r="591" x14ac:dyDescent="0.2"/>
    <row r="592" x14ac:dyDescent="0.2"/>
    <row r="593" x14ac:dyDescent="0.2"/>
    <row r="594" x14ac:dyDescent="0.2"/>
    <row r="595" x14ac:dyDescent="0.2"/>
    <row r="596" x14ac:dyDescent="0.2"/>
    <row r="597" x14ac:dyDescent="0.2"/>
    <row r="598" x14ac:dyDescent="0.2"/>
    <row r="599" x14ac:dyDescent="0.2"/>
    <row r="600" x14ac:dyDescent="0.2"/>
    <row r="601" x14ac:dyDescent="0.2"/>
    <row r="602" x14ac:dyDescent="0.2"/>
    <row r="603" x14ac:dyDescent="0.2"/>
    <row r="604" x14ac:dyDescent="0.2"/>
    <row r="605" x14ac:dyDescent="0.2"/>
    <row r="606" x14ac:dyDescent="0.2"/>
    <row r="607" x14ac:dyDescent="0.2"/>
    <row r="608" x14ac:dyDescent="0.2"/>
    <row r="609" x14ac:dyDescent="0.2"/>
    <row r="610" x14ac:dyDescent="0.2"/>
    <row r="611" x14ac:dyDescent="0.2"/>
    <row r="612" x14ac:dyDescent="0.2"/>
    <row r="613" x14ac:dyDescent="0.2"/>
    <row r="614" x14ac:dyDescent="0.2"/>
    <row r="615" x14ac:dyDescent="0.2"/>
    <row r="616" x14ac:dyDescent="0.2"/>
    <row r="617" x14ac:dyDescent="0.2"/>
    <row r="618" x14ac:dyDescent="0.2"/>
    <row r="619" x14ac:dyDescent="0.2"/>
    <row r="620" x14ac:dyDescent="0.2"/>
    <row r="621" x14ac:dyDescent="0.2"/>
    <row r="622" x14ac:dyDescent="0.2"/>
    <row r="623" x14ac:dyDescent="0.2"/>
    <row r="624" x14ac:dyDescent="0.2"/>
    <row r="625" x14ac:dyDescent="0.2"/>
    <row r="626" x14ac:dyDescent="0.2"/>
    <row r="627" x14ac:dyDescent="0.2"/>
    <row r="628" x14ac:dyDescent="0.2"/>
    <row r="629" x14ac:dyDescent="0.2"/>
    <row r="630" x14ac:dyDescent="0.2"/>
    <row r="631" x14ac:dyDescent="0.2"/>
    <row r="632" x14ac:dyDescent="0.2"/>
    <row r="633" x14ac:dyDescent="0.2"/>
    <row r="634" x14ac:dyDescent="0.2"/>
    <row r="635" x14ac:dyDescent="0.2"/>
    <row r="636" x14ac:dyDescent="0.2"/>
    <row r="637" x14ac:dyDescent="0.2"/>
    <row r="638" x14ac:dyDescent="0.2"/>
    <row r="639" x14ac:dyDescent="0.2"/>
    <row r="640" x14ac:dyDescent="0.2"/>
    <row r="641" x14ac:dyDescent="0.2"/>
    <row r="642" x14ac:dyDescent="0.2"/>
    <row r="643" x14ac:dyDescent="0.2"/>
    <row r="644" x14ac:dyDescent="0.2"/>
    <row r="645" x14ac:dyDescent="0.2"/>
    <row r="646" x14ac:dyDescent="0.2"/>
    <row r="647" x14ac:dyDescent="0.2"/>
    <row r="648" x14ac:dyDescent="0.2"/>
    <row r="649" x14ac:dyDescent="0.2"/>
    <row r="650" x14ac:dyDescent="0.2"/>
    <row r="651" x14ac:dyDescent="0.2"/>
    <row r="652" x14ac:dyDescent="0.2"/>
    <row r="653" x14ac:dyDescent="0.2"/>
    <row r="654" x14ac:dyDescent="0.2"/>
    <row r="655" x14ac:dyDescent="0.2"/>
    <row r="656" x14ac:dyDescent="0.2"/>
    <row r="657" x14ac:dyDescent="0.2"/>
    <row r="658" x14ac:dyDescent="0.2"/>
    <row r="659" x14ac:dyDescent="0.2"/>
    <row r="660" x14ac:dyDescent="0.2"/>
    <row r="661" x14ac:dyDescent="0.2"/>
    <row r="662" x14ac:dyDescent="0.2"/>
    <row r="663" x14ac:dyDescent="0.2"/>
    <row r="664" x14ac:dyDescent="0.2"/>
    <row r="665" x14ac:dyDescent="0.2"/>
    <row r="666" x14ac:dyDescent="0.2"/>
    <row r="667" x14ac:dyDescent="0.2"/>
    <row r="668" x14ac:dyDescent="0.2"/>
    <row r="669" x14ac:dyDescent="0.2"/>
    <row r="670" x14ac:dyDescent="0.2"/>
    <row r="671" x14ac:dyDescent="0.2"/>
    <row r="672" x14ac:dyDescent="0.2"/>
    <row r="673" x14ac:dyDescent="0.2"/>
    <row r="674" x14ac:dyDescent="0.2"/>
    <row r="675" x14ac:dyDescent="0.2"/>
    <row r="676" x14ac:dyDescent="0.2"/>
    <row r="677" x14ac:dyDescent="0.2"/>
    <row r="678" x14ac:dyDescent="0.2"/>
    <row r="679" x14ac:dyDescent="0.2"/>
    <row r="680" x14ac:dyDescent="0.2"/>
    <row r="681" x14ac:dyDescent="0.2"/>
    <row r="682" x14ac:dyDescent="0.2"/>
    <row r="683" x14ac:dyDescent="0.2"/>
    <row r="684" x14ac:dyDescent="0.2"/>
    <row r="685" x14ac:dyDescent="0.2"/>
    <row r="686" x14ac:dyDescent="0.2"/>
    <row r="687" x14ac:dyDescent="0.2"/>
    <row r="688" x14ac:dyDescent="0.2"/>
    <row r="689" x14ac:dyDescent="0.2"/>
    <row r="690" x14ac:dyDescent="0.2"/>
    <row r="691" x14ac:dyDescent="0.2"/>
    <row r="692" x14ac:dyDescent="0.2"/>
    <row r="693" x14ac:dyDescent="0.2"/>
    <row r="694" x14ac:dyDescent="0.2"/>
    <row r="695" x14ac:dyDescent="0.2"/>
    <row r="696" x14ac:dyDescent="0.2"/>
    <row r="697" x14ac:dyDescent="0.2"/>
    <row r="698" x14ac:dyDescent="0.2"/>
    <row r="699" x14ac:dyDescent="0.2"/>
    <row r="700" x14ac:dyDescent="0.2"/>
    <row r="701" x14ac:dyDescent="0.2"/>
    <row r="702" x14ac:dyDescent="0.2"/>
    <row r="703" x14ac:dyDescent="0.2"/>
    <row r="704" x14ac:dyDescent="0.2"/>
    <row r="705" x14ac:dyDescent="0.2"/>
    <row r="706" x14ac:dyDescent="0.2"/>
    <row r="707" x14ac:dyDescent="0.2"/>
    <row r="708" x14ac:dyDescent="0.2"/>
    <row r="709" x14ac:dyDescent="0.2"/>
    <row r="710" x14ac:dyDescent="0.2"/>
    <row r="711" x14ac:dyDescent="0.2"/>
    <row r="712" x14ac:dyDescent="0.2"/>
    <row r="713" x14ac:dyDescent="0.2"/>
    <row r="714" x14ac:dyDescent="0.2"/>
    <row r="715" x14ac:dyDescent="0.2"/>
    <row r="716" x14ac:dyDescent="0.2"/>
    <row r="717" x14ac:dyDescent="0.2"/>
    <row r="718" x14ac:dyDescent="0.2"/>
    <row r="719" x14ac:dyDescent="0.2"/>
    <row r="720" x14ac:dyDescent="0.2"/>
    <row r="721" x14ac:dyDescent="0.2"/>
    <row r="722" x14ac:dyDescent="0.2"/>
    <row r="723" x14ac:dyDescent="0.2"/>
    <row r="724" x14ac:dyDescent="0.2"/>
    <row r="725" x14ac:dyDescent="0.2"/>
    <row r="726" x14ac:dyDescent="0.2"/>
    <row r="727" x14ac:dyDescent="0.2"/>
    <row r="728" x14ac:dyDescent="0.2"/>
    <row r="729" x14ac:dyDescent="0.2"/>
    <row r="730" x14ac:dyDescent="0.2"/>
    <row r="731" x14ac:dyDescent="0.2"/>
    <row r="732" x14ac:dyDescent="0.2"/>
    <row r="733" x14ac:dyDescent="0.2"/>
    <row r="734" x14ac:dyDescent="0.2"/>
    <row r="735" x14ac:dyDescent="0.2"/>
    <row r="736" x14ac:dyDescent="0.2"/>
    <row r="737" x14ac:dyDescent="0.2"/>
    <row r="738" x14ac:dyDescent="0.2"/>
    <row r="739" x14ac:dyDescent="0.2"/>
    <row r="740" x14ac:dyDescent="0.2"/>
    <row r="741" x14ac:dyDescent="0.2"/>
    <row r="742" x14ac:dyDescent="0.2"/>
    <row r="743" x14ac:dyDescent="0.2"/>
    <row r="744" x14ac:dyDescent="0.2"/>
    <row r="745" x14ac:dyDescent="0.2"/>
    <row r="746" x14ac:dyDescent="0.2"/>
    <row r="747" x14ac:dyDescent="0.2"/>
    <row r="748" x14ac:dyDescent="0.2"/>
    <row r="749" x14ac:dyDescent="0.2"/>
    <row r="750" x14ac:dyDescent="0.2"/>
    <row r="751" x14ac:dyDescent="0.2"/>
    <row r="752" x14ac:dyDescent="0.2"/>
    <row r="753" x14ac:dyDescent="0.2"/>
    <row r="754" x14ac:dyDescent="0.2"/>
    <row r="755" x14ac:dyDescent="0.2"/>
    <row r="756" x14ac:dyDescent="0.2"/>
    <row r="757" x14ac:dyDescent="0.2"/>
    <row r="758" x14ac:dyDescent="0.2"/>
    <row r="759" x14ac:dyDescent="0.2"/>
    <row r="760" x14ac:dyDescent="0.2"/>
    <row r="761" x14ac:dyDescent="0.2"/>
    <row r="762" x14ac:dyDescent="0.2"/>
    <row r="763" x14ac:dyDescent="0.2"/>
    <row r="764" x14ac:dyDescent="0.2"/>
    <row r="765" x14ac:dyDescent="0.2"/>
    <row r="766" x14ac:dyDescent="0.2"/>
    <row r="767" x14ac:dyDescent="0.2"/>
    <row r="768" x14ac:dyDescent="0.2"/>
    <row r="769" x14ac:dyDescent="0.2"/>
    <row r="770" x14ac:dyDescent="0.2"/>
    <row r="771" x14ac:dyDescent="0.2"/>
    <row r="772" x14ac:dyDescent="0.2"/>
    <row r="773" x14ac:dyDescent="0.2"/>
    <row r="774" x14ac:dyDescent="0.2"/>
    <row r="775" x14ac:dyDescent="0.2"/>
    <row r="776" x14ac:dyDescent="0.2"/>
    <row r="777" x14ac:dyDescent="0.2"/>
    <row r="778" x14ac:dyDescent="0.2"/>
    <row r="779" x14ac:dyDescent="0.2"/>
    <row r="780" x14ac:dyDescent="0.2"/>
    <row r="781" x14ac:dyDescent="0.2"/>
    <row r="782" x14ac:dyDescent="0.2"/>
    <row r="783" x14ac:dyDescent="0.2"/>
    <row r="784" x14ac:dyDescent="0.2"/>
    <row r="785" x14ac:dyDescent="0.2"/>
    <row r="786" x14ac:dyDescent="0.2"/>
    <row r="787" x14ac:dyDescent="0.2"/>
    <row r="788" x14ac:dyDescent="0.2"/>
    <row r="789" x14ac:dyDescent="0.2"/>
    <row r="790" x14ac:dyDescent="0.2"/>
    <row r="791" x14ac:dyDescent="0.2"/>
    <row r="792" x14ac:dyDescent="0.2"/>
    <row r="793" x14ac:dyDescent="0.2"/>
    <row r="794" x14ac:dyDescent="0.2"/>
    <row r="795" x14ac:dyDescent="0.2"/>
    <row r="796" x14ac:dyDescent="0.2"/>
    <row r="797" x14ac:dyDescent="0.2"/>
    <row r="798" x14ac:dyDescent="0.2"/>
    <row r="799" x14ac:dyDescent="0.2"/>
    <row r="800" x14ac:dyDescent="0.2"/>
    <row r="801" x14ac:dyDescent="0.2"/>
    <row r="802" x14ac:dyDescent="0.2"/>
    <row r="803" x14ac:dyDescent="0.2"/>
    <row r="804" x14ac:dyDescent="0.2"/>
    <row r="805" x14ac:dyDescent="0.2"/>
    <row r="806" x14ac:dyDescent="0.2"/>
    <row r="807" x14ac:dyDescent="0.2"/>
    <row r="808" x14ac:dyDescent="0.2"/>
    <row r="809" x14ac:dyDescent="0.2"/>
    <row r="810" x14ac:dyDescent="0.2"/>
    <row r="811" x14ac:dyDescent="0.2"/>
    <row r="812" x14ac:dyDescent="0.2"/>
    <row r="813" x14ac:dyDescent="0.2"/>
    <row r="814" x14ac:dyDescent="0.2"/>
    <row r="815" x14ac:dyDescent="0.2"/>
    <row r="816" x14ac:dyDescent="0.2"/>
    <row r="817" x14ac:dyDescent="0.2"/>
    <row r="818" x14ac:dyDescent="0.2"/>
    <row r="819" x14ac:dyDescent="0.2"/>
    <row r="820" x14ac:dyDescent="0.2"/>
    <row r="821" x14ac:dyDescent="0.2"/>
    <row r="822" x14ac:dyDescent="0.2"/>
    <row r="823" x14ac:dyDescent="0.2"/>
    <row r="824" x14ac:dyDescent="0.2"/>
    <row r="825" x14ac:dyDescent="0.2"/>
    <row r="826" x14ac:dyDescent="0.2"/>
    <row r="827" x14ac:dyDescent="0.2"/>
    <row r="828" x14ac:dyDescent="0.2"/>
    <row r="829" x14ac:dyDescent="0.2"/>
    <row r="830" x14ac:dyDescent="0.2"/>
    <row r="831" x14ac:dyDescent="0.2"/>
    <row r="832" x14ac:dyDescent="0.2"/>
    <row r="833" x14ac:dyDescent="0.2"/>
    <row r="834" x14ac:dyDescent="0.2"/>
    <row r="835" x14ac:dyDescent="0.2"/>
    <row r="836" x14ac:dyDescent="0.2"/>
    <row r="837" x14ac:dyDescent="0.2"/>
    <row r="838" x14ac:dyDescent="0.2"/>
    <row r="839" x14ac:dyDescent="0.2"/>
    <row r="840" x14ac:dyDescent="0.2"/>
    <row r="841" x14ac:dyDescent="0.2"/>
    <row r="842" x14ac:dyDescent="0.2"/>
    <row r="843" x14ac:dyDescent="0.2"/>
    <row r="844" x14ac:dyDescent="0.2"/>
    <row r="845" x14ac:dyDescent="0.2"/>
    <row r="846" x14ac:dyDescent="0.2"/>
    <row r="847" x14ac:dyDescent="0.2"/>
    <row r="848" x14ac:dyDescent="0.2"/>
    <row r="849" x14ac:dyDescent="0.2"/>
    <row r="850" x14ac:dyDescent="0.2"/>
    <row r="851" x14ac:dyDescent="0.2"/>
    <row r="852" x14ac:dyDescent="0.2"/>
    <row r="853" x14ac:dyDescent="0.2"/>
    <row r="854" x14ac:dyDescent="0.2"/>
    <row r="855" x14ac:dyDescent="0.2"/>
    <row r="856" x14ac:dyDescent="0.2"/>
    <row r="857" x14ac:dyDescent="0.2"/>
    <row r="858" x14ac:dyDescent="0.2"/>
    <row r="859" x14ac:dyDescent="0.2"/>
    <row r="860" x14ac:dyDescent="0.2"/>
    <row r="861" x14ac:dyDescent="0.2"/>
    <row r="862" x14ac:dyDescent="0.2"/>
    <row r="863" x14ac:dyDescent="0.2"/>
    <row r="864" x14ac:dyDescent="0.2"/>
    <row r="865" x14ac:dyDescent="0.2"/>
    <row r="866" x14ac:dyDescent="0.2"/>
    <row r="867" x14ac:dyDescent="0.2"/>
    <row r="868" x14ac:dyDescent="0.2"/>
    <row r="869" x14ac:dyDescent="0.2"/>
    <row r="870" x14ac:dyDescent="0.2"/>
    <row r="871" x14ac:dyDescent="0.2"/>
    <row r="872" x14ac:dyDescent="0.2"/>
    <row r="873" x14ac:dyDescent="0.2"/>
    <row r="874" x14ac:dyDescent="0.2"/>
    <row r="875" x14ac:dyDescent="0.2"/>
    <row r="876" x14ac:dyDescent="0.2"/>
    <row r="877" x14ac:dyDescent="0.2"/>
    <row r="878" x14ac:dyDescent="0.2"/>
    <row r="879" x14ac:dyDescent="0.2"/>
    <row r="880" x14ac:dyDescent="0.2"/>
    <row r="881" x14ac:dyDescent="0.2"/>
    <row r="882" x14ac:dyDescent="0.2"/>
    <row r="883" x14ac:dyDescent="0.2"/>
    <row r="884" x14ac:dyDescent="0.2"/>
    <row r="885" x14ac:dyDescent="0.2"/>
    <row r="886" x14ac:dyDescent="0.2"/>
    <row r="887" x14ac:dyDescent="0.2"/>
    <row r="888" x14ac:dyDescent="0.2"/>
    <row r="889" x14ac:dyDescent="0.2"/>
    <row r="890" x14ac:dyDescent="0.2"/>
    <row r="891" x14ac:dyDescent="0.2"/>
    <row r="892" x14ac:dyDescent="0.2"/>
    <row r="893" x14ac:dyDescent="0.2"/>
    <row r="894" x14ac:dyDescent="0.2"/>
    <row r="895" x14ac:dyDescent="0.2"/>
    <row r="896" x14ac:dyDescent="0.2"/>
    <row r="897" x14ac:dyDescent="0.2"/>
    <row r="898" x14ac:dyDescent="0.2"/>
    <row r="899" x14ac:dyDescent="0.2"/>
    <row r="900" x14ac:dyDescent="0.2"/>
    <row r="901" x14ac:dyDescent="0.2"/>
    <row r="902" x14ac:dyDescent="0.2"/>
    <row r="903" x14ac:dyDescent="0.2"/>
    <row r="904" x14ac:dyDescent="0.2"/>
    <row r="905" x14ac:dyDescent="0.2"/>
    <row r="906" x14ac:dyDescent="0.2"/>
    <row r="907" x14ac:dyDescent="0.2"/>
    <row r="908" x14ac:dyDescent="0.2"/>
    <row r="909" x14ac:dyDescent="0.2"/>
    <row r="910" x14ac:dyDescent="0.2"/>
    <row r="911" x14ac:dyDescent="0.2"/>
    <row r="912" x14ac:dyDescent="0.2"/>
    <row r="913" x14ac:dyDescent="0.2"/>
    <row r="914" x14ac:dyDescent="0.2"/>
    <row r="915" x14ac:dyDescent="0.2"/>
    <row r="916" x14ac:dyDescent="0.2"/>
    <row r="917" x14ac:dyDescent="0.2"/>
    <row r="918" x14ac:dyDescent="0.2"/>
    <row r="919" x14ac:dyDescent="0.2"/>
    <row r="920" x14ac:dyDescent="0.2"/>
    <row r="921" x14ac:dyDescent="0.2"/>
    <row r="922" x14ac:dyDescent="0.2"/>
    <row r="923" x14ac:dyDescent="0.2"/>
    <row r="924" x14ac:dyDescent="0.2"/>
    <row r="925" x14ac:dyDescent="0.2"/>
    <row r="926" x14ac:dyDescent="0.2"/>
    <row r="927" x14ac:dyDescent="0.2"/>
    <row r="928" x14ac:dyDescent="0.2"/>
    <row r="929" x14ac:dyDescent="0.2"/>
    <row r="930" x14ac:dyDescent="0.2"/>
    <row r="931" x14ac:dyDescent="0.2"/>
    <row r="932" x14ac:dyDescent="0.2"/>
    <row r="933" x14ac:dyDescent="0.2"/>
    <row r="934" x14ac:dyDescent="0.2"/>
    <row r="935" x14ac:dyDescent="0.2"/>
    <row r="936" x14ac:dyDescent="0.2"/>
    <row r="937" x14ac:dyDescent="0.2"/>
    <row r="938" x14ac:dyDescent="0.2"/>
    <row r="939" x14ac:dyDescent="0.2"/>
    <row r="940" x14ac:dyDescent="0.2"/>
    <row r="941" x14ac:dyDescent="0.2"/>
    <row r="942" x14ac:dyDescent="0.2"/>
    <row r="943" x14ac:dyDescent="0.2"/>
    <row r="944" x14ac:dyDescent="0.2"/>
    <row r="945" x14ac:dyDescent="0.2"/>
    <row r="946" x14ac:dyDescent="0.2"/>
    <row r="947" x14ac:dyDescent="0.2"/>
    <row r="948" x14ac:dyDescent="0.2"/>
    <row r="949" x14ac:dyDescent="0.2"/>
    <row r="950" x14ac:dyDescent="0.2"/>
    <row r="951" x14ac:dyDescent="0.2"/>
    <row r="952" x14ac:dyDescent="0.2"/>
    <row r="953" x14ac:dyDescent="0.2"/>
    <row r="954" x14ac:dyDescent="0.2"/>
    <row r="955" x14ac:dyDescent="0.2"/>
    <row r="956" x14ac:dyDescent="0.2"/>
    <row r="957" x14ac:dyDescent="0.2"/>
    <row r="958" x14ac:dyDescent="0.2"/>
    <row r="959" x14ac:dyDescent="0.2"/>
    <row r="960" x14ac:dyDescent="0.2"/>
    <row r="961" x14ac:dyDescent="0.2"/>
    <row r="962" x14ac:dyDescent="0.2"/>
    <row r="963" x14ac:dyDescent="0.2"/>
    <row r="964" x14ac:dyDescent="0.2"/>
    <row r="965" x14ac:dyDescent="0.2"/>
    <row r="966" x14ac:dyDescent="0.2"/>
    <row r="967" x14ac:dyDescent="0.2"/>
    <row r="968" x14ac:dyDescent="0.2"/>
    <row r="969" x14ac:dyDescent="0.2"/>
    <row r="970" x14ac:dyDescent="0.2"/>
    <row r="971" x14ac:dyDescent="0.2"/>
    <row r="972" x14ac:dyDescent="0.2"/>
    <row r="973" x14ac:dyDescent="0.2"/>
    <row r="974" x14ac:dyDescent="0.2"/>
    <row r="975" x14ac:dyDescent="0.2"/>
    <row r="976" x14ac:dyDescent="0.2"/>
    <row r="977" x14ac:dyDescent="0.2"/>
    <row r="978" x14ac:dyDescent="0.2"/>
    <row r="979" x14ac:dyDescent="0.2"/>
    <row r="980" x14ac:dyDescent="0.2"/>
    <row r="981" x14ac:dyDescent="0.2"/>
    <row r="982" x14ac:dyDescent="0.2"/>
    <row r="983" x14ac:dyDescent="0.2"/>
    <row r="984" x14ac:dyDescent="0.2"/>
    <row r="985" x14ac:dyDescent="0.2"/>
    <row r="986" x14ac:dyDescent="0.2"/>
    <row r="987" x14ac:dyDescent="0.2"/>
    <row r="988" x14ac:dyDescent="0.2"/>
    <row r="989" x14ac:dyDescent="0.2"/>
    <row r="990" x14ac:dyDescent="0.2"/>
    <row r="991" x14ac:dyDescent="0.2"/>
    <row r="992" x14ac:dyDescent="0.2"/>
    <row r="993" x14ac:dyDescent="0.2"/>
    <row r="994" x14ac:dyDescent="0.2"/>
    <row r="995" x14ac:dyDescent="0.2"/>
    <row r="996" x14ac:dyDescent="0.2"/>
    <row r="997" x14ac:dyDescent="0.2"/>
    <row r="998" x14ac:dyDescent="0.2"/>
    <row r="999" x14ac:dyDescent="0.2"/>
  </sheetData>
  <sheetProtection sheet="1" objects="1" scenarios="1" selectLockedCells="1"/>
  <mergeCells count="5">
    <mergeCell ref="B2:D2"/>
    <mergeCell ref="E3:E8"/>
    <mergeCell ref="B27:E27"/>
    <mergeCell ref="G2:J2"/>
    <mergeCell ref="B10:C10"/>
  </mergeCells>
  <pageMargins left="0" right="0" top="0" bottom="0" header="0" footer="0"/>
  <pageSetup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2:E20"/>
  <sheetViews>
    <sheetView workbookViewId="0">
      <selection activeCell="C11" sqref="C11"/>
    </sheetView>
  </sheetViews>
  <sheetFormatPr defaultColWidth="14.390625" defaultRowHeight="15" x14ac:dyDescent="0.2"/>
  <cols>
    <col min="1" max="1" width="9.14453125" style="18" customWidth="1"/>
    <col min="2" max="2" width="27.7109375" style="18" bestFit="1" customWidth="1"/>
    <col min="3" max="3" width="8.203125" style="18" bestFit="1" customWidth="1"/>
    <col min="4" max="4" width="9.28125" style="18" bestFit="1" customWidth="1"/>
    <col min="5" max="5" width="10.76171875" style="18" bestFit="1" customWidth="1"/>
    <col min="6" max="27" width="9.14453125" style="18" customWidth="1"/>
    <col min="28" max="16384" width="14.390625" style="18"/>
  </cols>
  <sheetData>
    <row r="2" spans="2:5" x14ac:dyDescent="0.2">
      <c r="B2" s="305" t="s">
        <v>82</v>
      </c>
      <c r="C2" s="294"/>
      <c r="D2" s="295"/>
      <c r="E2" s="47" t="s">
        <v>0</v>
      </c>
    </row>
    <row r="3" spans="2:5" x14ac:dyDescent="0.2">
      <c r="B3" s="47"/>
      <c r="C3" s="47" t="s">
        <v>96</v>
      </c>
      <c r="D3" s="237" t="s">
        <v>132</v>
      </c>
      <c r="E3" s="296">
        <f>ROUNDUP(C13/D7,1)</f>
        <v>1</v>
      </c>
    </row>
    <row r="4" spans="2:5" x14ac:dyDescent="0.2">
      <c r="B4" s="50" t="s">
        <v>31</v>
      </c>
      <c r="C4" s="120">
        <v>1</v>
      </c>
      <c r="D4" s="120">
        <f>54*12*C4/16*1.15</f>
        <v>46.574999999999996</v>
      </c>
      <c r="E4" s="297"/>
    </row>
    <row r="5" spans="2:5" ht="41.25" x14ac:dyDescent="0.2">
      <c r="B5" s="238" t="s">
        <v>178</v>
      </c>
      <c r="C5" s="113">
        <v>0.7</v>
      </c>
      <c r="D5" s="113">
        <f>54*12*C5/16*1.15</f>
        <v>32.602499999999992</v>
      </c>
      <c r="E5" s="297"/>
    </row>
    <row r="6" spans="2:5" x14ac:dyDescent="0.2">
      <c r="B6" s="52" t="s">
        <v>32</v>
      </c>
      <c r="C6" s="114">
        <v>0.15</v>
      </c>
      <c r="D6" s="114">
        <f>54*12*C6/16*1.15</f>
        <v>6.9862500000000001</v>
      </c>
      <c r="E6" s="297"/>
    </row>
    <row r="7" spans="2:5" x14ac:dyDescent="0.2">
      <c r="B7" s="41" t="s">
        <v>17</v>
      </c>
      <c r="C7" s="121">
        <f>SUM(C4:C6)</f>
        <v>1.8499999999999999</v>
      </c>
      <c r="D7" s="121">
        <f>SUM(D4:D6)</f>
        <v>86.163749999999979</v>
      </c>
      <c r="E7" s="298"/>
    </row>
    <row r="9" spans="2:5" x14ac:dyDescent="0.2">
      <c r="B9" s="258" t="s">
        <v>133</v>
      </c>
      <c r="C9" s="258"/>
      <c r="D9" s="94">
        <f>ROUNDDOWN(250/D7,2)</f>
        <v>2.9</v>
      </c>
    </row>
    <row r="11" spans="2:5" x14ac:dyDescent="0.2">
      <c r="B11" s="18" t="s">
        <v>29</v>
      </c>
      <c r="C11" s="64">
        <v>54</v>
      </c>
    </row>
    <row r="13" spans="2:5" x14ac:dyDescent="0.2">
      <c r="B13" s="18" t="s">
        <v>8</v>
      </c>
      <c r="C13" s="99">
        <f>((C11*12*C7/16)*1.15)-C14</f>
        <v>86.163749999999993</v>
      </c>
    </row>
    <row r="14" spans="2:5" x14ac:dyDescent="0.2">
      <c r="B14" s="18" t="s">
        <v>9</v>
      </c>
      <c r="C14" s="64">
        <v>0</v>
      </c>
    </row>
    <row r="15" spans="2:5" x14ac:dyDescent="0.2">
      <c r="B15" s="18" t="s">
        <v>83</v>
      </c>
      <c r="C15" s="99">
        <f>E3*D7</f>
        <v>86.163749999999979</v>
      </c>
    </row>
    <row r="17" spans="2:4" x14ac:dyDescent="0.2">
      <c r="B17" s="18" t="s">
        <v>11</v>
      </c>
    </row>
    <row r="18" spans="2:4" x14ac:dyDescent="0.2">
      <c r="B18" s="18" t="s">
        <v>31</v>
      </c>
      <c r="C18" s="99">
        <f>D4*E3</f>
        <v>46.574999999999996</v>
      </c>
      <c r="D18" s="18" t="s">
        <v>12</v>
      </c>
    </row>
    <row r="19" spans="2:4" ht="41.25" x14ac:dyDescent="0.2">
      <c r="B19" s="239" t="s">
        <v>178</v>
      </c>
      <c r="C19" s="99">
        <f>D5*E3</f>
        <v>32.602499999999992</v>
      </c>
      <c r="D19" s="18" t="s">
        <v>12</v>
      </c>
    </row>
    <row r="20" spans="2:4" x14ac:dyDescent="0.2">
      <c r="B20" s="18" t="s">
        <v>32</v>
      </c>
      <c r="C20" s="99">
        <f>D6*E3</f>
        <v>6.9862500000000001</v>
      </c>
      <c r="D20" s="18" t="s">
        <v>12</v>
      </c>
    </row>
  </sheetData>
  <sheetProtection sheet="1" objects="1" scenarios="1" selectLockedCells="1"/>
  <mergeCells count="3">
    <mergeCell ref="B2:D2"/>
    <mergeCell ref="E3:E7"/>
    <mergeCell ref="B9:C9"/>
  </mergeCells>
  <pageMargins left="0" right="0" top="0" bottom="0" header="0" footer="0"/>
  <pageSetup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B1:J20"/>
  <sheetViews>
    <sheetView workbookViewId="0">
      <selection activeCell="C10" sqref="C10"/>
    </sheetView>
  </sheetViews>
  <sheetFormatPr defaultColWidth="14.390625" defaultRowHeight="15" x14ac:dyDescent="0.2"/>
  <cols>
    <col min="1" max="1" width="9.14453125" style="18" customWidth="1"/>
    <col min="2" max="2" width="27.7109375" style="18" bestFit="1" customWidth="1"/>
    <col min="3" max="3" width="9.01171875" style="18" bestFit="1" customWidth="1"/>
    <col min="4" max="4" width="9.953125" style="18" bestFit="1" customWidth="1"/>
    <col min="5" max="5" width="10.76171875" style="18" bestFit="1" customWidth="1"/>
    <col min="6" max="6" width="9.14453125" style="18" customWidth="1"/>
    <col min="7" max="7" width="21.5234375" style="18" bestFit="1" customWidth="1"/>
    <col min="8" max="8" width="8.875" style="18" bestFit="1" customWidth="1"/>
    <col min="9" max="9" width="9.28125" style="18" bestFit="1" customWidth="1"/>
    <col min="10" max="10" width="13.1796875" style="18" bestFit="1" customWidth="1"/>
    <col min="11" max="28" width="9.14453125" style="18" customWidth="1"/>
    <col min="29" max="16384" width="14.390625" style="18"/>
  </cols>
  <sheetData>
    <row r="1" spans="2:10" ht="15.75" thickBot="1" x14ac:dyDescent="0.25"/>
    <row r="2" spans="2:10" ht="15.75" thickBot="1" x14ac:dyDescent="0.25">
      <c r="B2" s="299" t="s">
        <v>37</v>
      </c>
      <c r="C2" s="300"/>
      <c r="D2" s="301"/>
      <c r="E2" s="47" t="s">
        <v>0</v>
      </c>
      <c r="G2" s="299" t="s">
        <v>38</v>
      </c>
      <c r="H2" s="300"/>
      <c r="I2" s="301"/>
      <c r="J2" s="47" t="s">
        <v>0</v>
      </c>
    </row>
    <row r="3" spans="2:10" ht="15.75" thickBot="1" x14ac:dyDescent="0.25">
      <c r="B3" s="43"/>
      <c r="C3" s="57" t="s">
        <v>92</v>
      </c>
      <c r="D3" s="240" t="s">
        <v>132</v>
      </c>
      <c r="E3" s="274">
        <f>ROUNDUP(C12/D6,1)</f>
        <v>1</v>
      </c>
      <c r="G3" s="181"/>
      <c r="H3" s="55" t="s">
        <v>92</v>
      </c>
      <c r="I3" s="242" t="s">
        <v>132</v>
      </c>
      <c r="J3" s="274">
        <f>ROUNDUP(H12/I6,1)</f>
        <v>1.5</v>
      </c>
    </row>
    <row r="4" spans="2:10" x14ac:dyDescent="0.2">
      <c r="B4" s="24" t="s">
        <v>39</v>
      </c>
      <c r="C4" s="168">
        <v>7.0000000000000007E-2</v>
      </c>
      <c r="D4" s="185">
        <f>54*12*C4/16*1.15</f>
        <v>3.2602500000000001</v>
      </c>
      <c r="E4" s="275"/>
      <c r="G4" s="25" t="s">
        <v>36</v>
      </c>
      <c r="H4" s="96">
        <v>0.25</v>
      </c>
      <c r="I4" s="96">
        <f>54*12*H4/16*1.15</f>
        <v>11.643749999999999</v>
      </c>
      <c r="J4" s="275"/>
    </row>
    <row r="5" spans="2:10" ht="42" thickBot="1" x14ac:dyDescent="0.25">
      <c r="B5" s="241" t="s">
        <v>179</v>
      </c>
      <c r="C5" s="183">
        <v>2.4300000000000002</v>
      </c>
      <c r="D5" s="186">
        <f>54*12*C5/16*1.15</f>
        <v>113.17725</v>
      </c>
      <c r="E5" s="275"/>
      <c r="G5" s="244" t="s">
        <v>180</v>
      </c>
      <c r="H5" s="97">
        <v>0.5</v>
      </c>
      <c r="I5" s="97">
        <f>54*12*H5/16*1.15</f>
        <v>23.287499999999998</v>
      </c>
      <c r="J5" s="275"/>
    </row>
    <row r="6" spans="2:10" ht="15.75" thickBot="1" x14ac:dyDescent="0.25">
      <c r="B6" s="46" t="s">
        <v>2</v>
      </c>
      <c r="C6" s="184">
        <f>SUM(C4:C5)</f>
        <v>2.5</v>
      </c>
      <c r="D6" s="187">
        <f>SUM(D4:D5)</f>
        <v>116.4375</v>
      </c>
      <c r="E6" s="276"/>
      <c r="G6" s="42" t="s">
        <v>17</v>
      </c>
      <c r="H6" s="188">
        <f>SUM(H4:H5)</f>
        <v>0.75</v>
      </c>
      <c r="I6" s="243">
        <f>SUM(I5:I5)</f>
        <v>23.287499999999998</v>
      </c>
      <c r="J6" s="276"/>
    </row>
    <row r="8" spans="2:10" x14ac:dyDescent="0.2">
      <c r="B8" s="258" t="s">
        <v>133</v>
      </c>
      <c r="C8" s="258"/>
      <c r="D8" s="94">
        <f>ROUNDDOWN(250/D6,2)</f>
        <v>2.14</v>
      </c>
      <c r="G8" s="258" t="s">
        <v>133</v>
      </c>
      <c r="H8" s="258"/>
      <c r="I8" s="94">
        <f>ROUNDDOWN(250/I6,2)</f>
        <v>10.73</v>
      </c>
    </row>
    <row r="10" spans="2:10" x14ac:dyDescent="0.2">
      <c r="B10" s="18" t="s">
        <v>29</v>
      </c>
      <c r="C10" s="64">
        <v>54</v>
      </c>
    </row>
    <row r="12" spans="2:10" x14ac:dyDescent="0.2">
      <c r="B12" s="18" t="s">
        <v>8</v>
      </c>
      <c r="C12" s="99">
        <f>((C10*12*C6/16)*1.15)-C13</f>
        <v>116.43749999999999</v>
      </c>
      <c r="G12" s="18" t="s">
        <v>40</v>
      </c>
      <c r="H12" s="99">
        <f>((C10*12*H6/16)*1.15)-H13</f>
        <v>34.931249999999999</v>
      </c>
    </row>
    <row r="13" spans="2:10" x14ac:dyDescent="0.2">
      <c r="B13" s="18" t="s">
        <v>9</v>
      </c>
      <c r="C13" s="64">
        <v>0</v>
      </c>
      <c r="G13" s="18" t="s">
        <v>9</v>
      </c>
      <c r="H13" s="64">
        <v>0</v>
      </c>
    </row>
    <row r="14" spans="2:10" x14ac:dyDescent="0.2">
      <c r="B14" s="18" t="s">
        <v>10</v>
      </c>
      <c r="C14" s="99">
        <f>E3*D6</f>
        <v>116.4375</v>
      </c>
      <c r="G14" s="18" t="s">
        <v>41</v>
      </c>
      <c r="H14" s="99">
        <f>J3*I6</f>
        <v>34.931249999999999</v>
      </c>
    </row>
    <row r="15" spans="2:10" ht="15.75" thickBot="1" x14ac:dyDescent="0.25"/>
    <row r="16" spans="2:10" ht="15.75" thickBot="1" x14ac:dyDescent="0.25">
      <c r="B16" s="18" t="s">
        <v>11</v>
      </c>
      <c r="G16" s="302" t="s">
        <v>142</v>
      </c>
      <c r="H16" s="303"/>
      <c r="I16" s="303"/>
      <c r="J16" s="304"/>
    </row>
    <row r="17" spans="2:10" ht="15.75" thickBot="1" x14ac:dyDescent="0.25">
      <c r="B17" s="18" t="s">
        <v>36</v>
      </c>
      <c r="C17" s="99">
        <f>J3*I4</f>
        <v>17.465624999999999</v>
      </c>
      <c r="D17" s="18" t="s">
        <v>12</v>
      </c>
      <c r="G17" s="220"/>
      <c r="H17" s="223" t="s">
        <v>92</v>
      </c>
      <c r="I17" s="222" t="s">
        <v>96</v>
      </c>
      <c r="J17" s="12" t="s">
        <v>171</v>
      </c>
    </row>
    <row r="18" spans="2:10" ht="15.75" thickBot="1" x14ac:dyDescent="0.25">
      <c r="B18" s="18" t="s">
        <v>39</v>
      </c>
      <c r="C18" s="99">
        <f>D4*E3</f>
        <v>3.2602500000000001</v>
      </c>
      <c r="D18" s="18" t="s">
        <v>12</v>
      </c>
      <c r="G18" s="35" t="s">
        <v>141</v>
      </c>
      <c r="H18" s="109">
        <v>3</v>
      </c>
      <c r="I18" s="218">
        <f>54*12/16*H18*1.25</f>
        <v>151.875</v>
      </c>
      <c r="J18" s="12" t="str">
        <f>ROUNDUP(((((C10*12*H18/16)*1.25))/82),0)&amp; " Buckets"</f>
        <v>2 Buckets</v>
      </c>
    </row>
    <row r="19" spans="2:10" ht="41.25" x14ac:dyDescent="0.2">
      <c r="B19" s="239" t="s">
        <v>180</v>
      </c>
      <c r="C19" s="99">
        <f>J3*I5</f>
        <v>34.931249999999999</v>
      </c>
      <c r="D19" s="18" t="s">
        <v>12</v>
      </c>
    </row>
    <row r="20" spans="2:10" ht="41.25" x14ac:dyDescent="0.2">
      <c r="B20" s="239" t="s">
        <v>179</v>
      </c>
      <c r="C20" s="99">
        <f>D5*E3</f>
        <v>113.17725</v>
      </c>
      <c r="D20" s="18" t="s">
        <v>12</v>
      </c>
    </row>
  </sheetData>
  <sheetProtection sheet="1" objects="1" scenarios="1" selectLockedCells="1"/>
  <mergeCells count="7">
    <mergeCell ref="G16:J16"/>
    <mergeCell ref="B2:D2"/>
    <mergeCell ref="G2:I2"/>
    <mergeCell ref="E3:E6"/>
    <mergeCell ref="J3:J6"/>
    <mergeCell ref="B8:C8"/>
    <mergeCell ref="G8:H8"/>
  </mergeCells>
  <pageMargins left="0" right="0" top="0" bottom="0" header="0" footer="0"/>
  <pageSetup fitToHeight="0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B1:E998"/>
  <sheetViews>
    <sheetView workbookViewId="0">
      <selection activeCell="C14" sqref="C14"/>
    </sheetView>
  </sheetViews>
  <sheetFormatPr defaultColWidth="14.390625" defaultRowHeight="15" customHeight="1" x14ac:dyDescent="0.2"/>
  <cols>
    <col min="1" max="1" width="9.14453125" style="18" customWidth="1"/>
    <col min="2" max="2" width="27.7109375" style="18" bestFit="1" customWidth="1"/>
    <col min="3" max="3" width="8.875" style="18" bestFit="1" customWidth="1"/>
    <col min="4" max="4" width="9.28125" style="18" bestFit="1" customWidth="1"/>
    <col min="5" max="5" width="10.76171875" style="18" bestFit="1" customWidth="1"/>
    <col min="6" max="27" width="9.14453125" style="18" customWidth="1"/>
    <col min="28" max="16384" width="14.390625" style="18"/>
  </cols>
  <sheetData>
    <row r="1" spans="2:5" x14ac:dyDescent="0.2"/>
    <row r="2" spans="2:5" x14ac:dyDescent="0.2">
      <c r="B2" s="305" t="s">
        <v>84</v>
      </c>
      <c r="C2" s="294"/>
      <c r="D2" s="294"/>
      <c r="E2" s="38" t="s">
        <v>0</v>
      </c>
    </row>
    <row r="3" spans="2:5" ht="15.75" customHeight="1" x14ac:dyDescent="0.2">
      <c r="B3" s="47"/>
      <c r="C3" s="47" t="s">
        <v>92</v>
      </c>
      <c r="D3" s="237" t="s">
        <v>132</v>
      </c>
      <c r="E3" s="296">
        <f>ROUNDUP(C16/D10,1)</f>
        <v>1</v>
      </c>
    </row>
    <row r="4" spans="2:5" ht="15" customHeight="1" x14ac:dyDescent="0.2">
      <c r="B4" s="23" t="s">
        <v>62</v>
      </c>
      <c r="C4" s="112">
        <v>0.74</v>
      </c>
      <c r="D4" s="112">
        <f t="shared" ref="D4:D9" si="0">54*12*C4/16*1.15</f>
        <v>34.465499999999999</v>
      </c>
      <c r="E4" s="297"/>
    </row>
    <row r="5" spans="2:5" ht="15" customHeight="1" x14ac:dyDescent="0.2">
      <c r="B5" s="251" t="s">
        <v>162</v>
      </c>
      <c r="C5" s="113">
        <v>0.71</v>
      </c>
      <c r="D5" s="112">
        <f t="shared" si="0"/>
        <v>33.068249999999999</v>
      </c>
      <c r="E5" s="297"/>
    </row>
    <row r="6" spans="2:5" ht="15" customHeight="1" x14ac:dyDescent="0.2">
      <c r="B6" s="45" t="s">
        <v>1</v>
      </c>
      <c r="C6" s="113">
        <v>0.71</v>
      </c>
      <c r="D6" s="112">
        <f t="shared" si="0"/>
        <v>33.068249999999999</v>
      </c>
      <c r="E6" s="297"/>
    </row>
    <row r="7" spans="2:5" ht="15" customHeight="1" x14ac:dyDescent="0.2">
      <c r="B7" s="45" t="s">
        <v>63</v>
      </c>
      <c r="C7" s="113">
        <v>0.63</v>
      </c>
      <c r="D7" s="112">
        <f t="shared" si="0"/>
        <v>29.34225</v>
      </c>
      <c r="E7" s="297"/>
    </row>
    <row r="8" spans="2:5" ht="15" customHeight="1" x14ac:dyDescent="0.2">
      <c r="B8" s="251" t="s">
        <v>129</v>
      </c>
      <c r="C8" s="113">
        <v>0.46</v>
      </c>
      <c r="D8" s="112">
        <f t="shared" si="0"/>
        <v>21.424500000000002</v>
      </c>
      <c r="E8" s="297"/>
    </row>
    <row r="9" spans="2:5" ht="15" customHeight="1" x14ac:dyDescent="0.2">
      <c r="B9" s="26" t="s">
        <v>64</v>
      </c>
      <c r="C9" s="250">
        <v>0.11</v>
      </c>
      <c r="D9" s="112">
        <f t="shared" si="0"/>
        <v>5.1232499999999996</v>
      </c>
      <c r="E9" s="297"/>
    </row>
    <row r="10" spans="2:5" ht="16.5" customHeight="1" x14ac:dyDescent="0.2">
      <c r="B10" s="41" t="s">
        <v>17</v>
      </c>
      <c r="C10" s="115">
        <f>SUM(C4:C9)</f>
        <v>3.36</v>
      </c>
      <c r="D10" s="115">
        <f>SUM(D4:D6,D7:D9)</f>
        <v>156.49200000000002</v>
      </c>
      <c r="E10" s="298"/>
    </row>
    <row r="11" spans="2:5" ht="15.75" customHeight="1" x14ac:dyDescent="0.2"/>
    <row r="12" spans="2:5" ht="15.75" customHeight="1" x14ac:dyDescent="0.2">
      <c r="B12" s="258" t="s">
        <v>133</v>
      </c>
      <c r="C12" s="258"/>
      <c r="D12" s="94">
        <f>ROUNDDOWN(250/D10,2)</f>
        <v>1.59</v>
      </c>
    </row>
    <row r="13" spans="2:5" ht="15.75" customHeight="1" x14ac:dyDescent="0.2"/>
    <row r="14" spans="2:5" x14ac:dyDescent="0.2">
      <c r="B14" s="18" t="s">
        <v>29</v>
      </c>
      <c r="C14" s="64">
        <v>54</v>
      </c>
    </row>
    <row r="15" spans="2:5" x14ac:dyDescent="0.2"/>
    <row r="16" spans="2:5" x14ac:dyDescent="0.2">
      <c r="B16" s="18" t="s">
        <v>8</v>
      </c>
      <c r="C16" s="99">
        <f>((C14*12*C10/16)*1.15)-C17</f>
        <v>156.49199999999996</v>
      </c>
    </row>
    <row r="17" spans="2:4" x14ac:dyDescent="0.2">
      <c r="B17" s="18" t="s">
        <v>9</v>
      </c>
      <c r="C17" s="64">
        <v>0</v>
      </c>
    </row>
    <row r="18" spans="2:4" x14ac:dyDescent="0.2">
      <c r="B18" s="18" t="s">
        <v>10</v>
      </c>
      <c r="C18" s="99">
        <f>E3*D10</f>
        <v>156.49200000000002</v>
      </c>
    </row>
    <row r="19" spans="2:4" x14ac:dyDescent="0.2"/>
    <row r="20" spans="2:4" ht="15.75" customHeight="1" x14ac:dyDescent="0.2">
      <c r="B20" s="18" t="s">
        <v>11</v>
      </c>
    </row>
    <row r="21" spans="2:4" ht="15.75" customHeight="1" x14ac:dyDescent="0.2">
      <c r="B21" s="18" t="s">
        <v>62</v>
      </c>
      <c r="C21" s="99">
        <f>D4*E3</f>
        <v>34.465499999999999</v>
      </c>
      <c r="D21" s="18" t="s">
        <v>12</v>
      </c>
    </row>
    <row r="22" spans="2:4" ht="15.75" customHeight="1" x14ac:dyDescent="0.2">
      <c r="B22" s="216" t="s">
        <v>162</v>
      </c>
      <c r="C22" s="99">
        <f>D5*E3</f>
        <v>33.068249999999999</v>
      </c>
      <c r="D22" s="18" t="s">
        <v>12</v>
      </c>
    </row>
    <row r="23" spans="2:4" ht="15.75" customHeight="1" x14ac:dyDescent="0.2">
      <c r="B23" s="18" t="s">
        <v>1</v>
      </c>
      <c r="C23" s="99">
        <f>D6*E3</f>
        <v>33.068249999999999</v>
      </c>
      <c r="D23" s="18" t="s">
        <v>12</v>
      </c>
    </row>
    <row r="24" spans="2:4" ht="15.75" customHeight="1" x14ac:dyDescent="0.2">
      <c r="B24" s="18" t="s">
        <v>63</v>
      </c>
      <c r="C24" s="99">
        <f>D7*E3</f>
        <v>29.34225</v>
      </c>
      <c r="D24" s="18" t="s">
        <v>12</v>
      </c>
    </row>
    <row r="25" spans="2:4" ht="15.75" customHeight="1" x14ac:dyDescent="0.2">
      <c r="B25" s="18" t="s">
        <v>129</v>
      </c>
      <c r="C25" s="99">
        <f>D8*E3</f>
        <v>21.424500000000002</v>
      </c>
      <c r="D25" s="18" t="s">
        <v>12</v>
      </c>
    </row>
    <row r="26" spans="2:4" ht="15.75" customHeight="1" x14ac:dyDescent="0.2">
      <c r="B26" s="18" t="s">
        <v>64</v>
      </c>
      <c r="C26" s="99">
        <f>D9*E3</f>
        <v>5.1232499999999996</v>
      </c>
      <c r="D26" s="18" t="s">
        <v>12</v>
      </c>
    </row>
    <row r="27" spans="2:4" ht="15.75" customHeight="1" x14ac:dyDescent="0.2"/>
    <row r="28" spans="2:4" ht="15.75" customHeight="1" x14ac:dyDescent="0.2"/>
    <row r="29" spans="2:4" ht="15.75" customHeight="1" x14ac:dyDescent="0.2"/>
    <row r="30" spans="2:4" ht="15.75" customHeight="1" x14ac:dyDescent="0.2"/>
    <row r="31" spans="2:4" ht="15.75" customHeight="1" x14ac:dyDescent="0.2"/>
    <row r="32" spans="2: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sheetProtection sheet="1" objects="1" scenarios="1" selectLockedCells="1"/>
  <mergeCells count="3">
    <mergeCell ref="B2:D2"/>
    <mergeCell ref="E3:E10"/>
    <mergeCell ref="B12:C12"/>
  </mergeCells>
  <pageMargins left="0" right="0" top="0" bottom="0" header="0" footer="0"/>
  <pageSetup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AB1001"/>
  <sheetViews>
    <sheetView workbookViewId="0">
      <selection activeCell="C14" sqref="C14"/>
    </sheetView>
  </sheetViews>
  <sheetFormatPr defaultColWidth="14.390625" defaultRowHeight="15" x14ac:dyDescent="0.2"/>
  <cols>
    <col min="1" max="1" width="6.58984375" customWidth="1"/>
    <col min="2" max="2" width="29.0546875" bestFit="1" customWidth="1"/>
    <col min="3" max="3" width="8.875" bestFit="1" customWidth="1"/>
    <col min="4" max="4" width="9.28125" bestFit="1" customWidth="1"/>
    <col min="5" max="5" width="10.76171875" bestFit="1" customWidth="1"/>
    <col min="6" max="6" width="4.3046875" customWidth="1"/>
    <col min="7" max="7" width="27.7109375" bestFit="1" customWidth="1"/>
    <col min="8" max="8" width="9.55078125" bestFit="1" customWidth="1"/>
    <col min="9" max="9" width="9.28125" bestFit="1" customWidth="1"/>
    <col min="10" max="10" width="10.76171875" bestFit="1" customWidth="1"/>
    <col min="11" max="28" width="9.14453125" customWidth="1"/>
  </cols>
  <sheetData>
    <row r="1" spans="1:28" ht="15.75" thickBot="1" x14ac:dyDescent="0.25">
      <c r="A1" s="122"/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</row>
    <row r="2" spans="1:28" ht="15.75" thickBot="1" x14ac:dyDescent="0.25">
      <c r="A2" s="122"/>
      <c r="B2" s="259" t="s">
        <v>187</v>
      </c>
      <c r="C2" s="260"/>
      <c r="D2" s="261"/>
      <c r="E2" s="38" t="s">
        <v>0</v>
      </c>
      <c r="F2" s="122"/>
      <c r="G2" s="259" t="s">
        <v>186</v>
      </c>
      <c r="H2" s="260"/>
      <c r="I2" s="262"/>
      <c r="J2" s="38" t="s">
        <v>0</v>
      </c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</row>
    <row r="3" spans="1:28" ht="15.75" customHeight="1" thickBot="1" x14ac:dyDescent="0.25">
      <c r="A3" s="122"/>
      <c r="B3" s="123"/>
      <c r="C3" s="124" t="s">
        <v>92</v>
      </c>
      <c r="D3" s="125" t="s">
        <v>132</v>
      </c>
      <c r="E3" s="263">
        <f>ROUNDUP(C16/D10,1)</f>
        <v>1</v>
      </c>
      <c r="F3" s="122"/>
      <c r="G3" s="123"/>
      <c r="H3" s="124" t="s">
        <v>107</v>
      </c>
      <c r="I3" s="125" t="s">
        <v>132</v>
      </c>
      <c r="J3" s="266">
        <f>ROUNDUP(H16/I6,1)</f>
        <v>1</v>
      </c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</row>
    <row r="4" spans="1:28" ht="41.25" x14ac:dyDescent="0.2">
      <c r="A4" s="122"/>
      <c r="B4" s="126" t="s">
        <v>21</v>
      </c>
      <c r="C4" s="157">
        <v>0.37</v>
      </c>
      <c r="D4" s="127">
        <f>54*12*C4/16*1.15</f>
        <v>17.232749999999999</v>
      </c>
      <c r="E4" s="264"/>
      <c r="F4" s="122"/>
      <c r="G4" s="144" t="s">
        <v>179</v>
      </c>
      <c r="H4" s="161">
        <v>2</v>
      </c>
      <c r="I4" s="128">
        <f>54*12*H4/16*1.15</f>
        <v>93.149999999999991</v>
      </c>
      <c r="J4" s="264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</row>
    <row r="5" spans="1:28" ht="15" customHeight="1" thickBot="1" x14ac:dyDescent="0.25">
      <c r="A5" s="122"/>
      <c r="B5" s="129" t="s">
        <v>14</v>
      </c>
      <c r="C5" s="130"/>
      <c r="D5" s="131">
        <v>5</v>
      </c>
      <c r="E5" s="264"/>
      <c r="F5" s="122"/>
      <c r="G5" s="132" t="s">
        <v>33</v>
      </c>
      <c r="H5" s="162">
        <v>7.0000000000000007E-2</v>
      </c>
      <c r="I5" s="133">
        <f>54*12*H5/16*1.15</f>
        <v>3.2602500000000001</v>
      </c>
      <c r="J5" s="264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</row>
    <row r="6" spans="1:28" ht="15" customHeight="1" thickBot="1" x14ac:dyDescent="0.25">
      <c r="A6" s="122"/>
      <c r="B6" s="134" t="s">
        <v>22</v>
      </c>
      <c r="C6" s="158">
        <v>0.37</v>
      </c>
      <c r="D6" s="131">
        <f>54*12*C6/16*1.15</f>
        <v>17.232749999999999</v>
      </c>
      <c r="E6" s="264"/>
      <c r="F6" s="122"/>
      <c r="G6" s="136" t="s">
        <v>17</v>
      </c>
      <c r="H6" s="163">
        <f>SUM(H4:H5)</f>
        <v>2.0699999999999998</v>
      </c>
      <c r="I6" s="137">
        <f>SUM(I4:I5)</f>
        <v>96.410249999999991</v>
      </c>
      <c r="J6" s="267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</row>
    <row r="7" spans="1:28" ht="15.75" customHeight="1" x14ac:dyDescent="0.2">
      <c r="A7" s="122"/>
      <c r="B7" s="134" t="s">
        <v>13</v>
      </c>
      <c r="C7" s="135"/>
      <c r="D7" s="131">
        <v>5</v>
      </c>
      <c r="E7" s="264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</row>
    <row r="8" spans="1:28" ht="15.75" customHeight="1" x14ac:dyDescent="0.2">
      <c r="A8" s="122"/>
      <c r="B8" s="134" t="s">
        <v>23</v>
      </c>
      <c r="C8" s="158">
        <v>0.39</v>
      </c>
      <c r="D8" s="131">
        <f>54*12*C8/16*1.15</f>
        <v>18.164249999999999</v>
      </c>
      <c r="E8" s="264"/>
      <c r="F8" s="122"/>
      <c r="G8" s="258" t="s">
        <v>133</v>
      </c>
      <c r="H8" s="258"/>
      <c r="I8" s="94">
        <f>ROUNDDOWN(250/I6,2)</f>
        <v>2.59</v>
      </c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</row>
    <row r="9" spans="1:28" ht="15.75" customHeight="1" thickBot="1" x14ac:dyDescent="0.25">
      <c r="A9" s="122"/>
      <c r="B9" s="138" t="s">
        <v>24</v>
      </c>
      <c r="C9" s="159">
        <v>0.37</v>
      </c>
      <c r="D9" s="139">
        <f>54*12*C9/16*1.15</f>
        <v>17.232749999999999</v>
      </c>
      <c r="E9" s="264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</row>
    <row r="10" spans="1:28" ht="16.5" customHeight="1" thickBot="1" x14ac:dyDescent="0.25">
      <c r="A10" s="122"/>
      <c r="B10" s="140" t="s">
        <v>17</v>
      </c>
      <c r="C10" s="160">
        <f>SUM(C4:C9)</f>
        <v>1.5</v>
      </c>
      <c r="D10" s="141">
        <f>SUM(D4,D6,D8,D9)</f>
        <v>69.862499999999997</v>
      </c>
      <c r="E10" s="265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</row>
    <row r="11" spans="1:28" ht="16.5" customHeight="1" x14ac:dyDescent="0.2">
      <c r="A11" s="122"/>
      <c r="B11" s="122"/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</row>
    <row r="12" spans="1:28" ht="16.5" customHeight="1" x14ac:dyDescent="0.2">
      <c r="A12" s="122"/>
      <c r="B12" s="258" t="s">
        <v>133</v>
      </c>
      <c r="C12" s="258"/>
      <c r="D12" s="94">
        <f>ROUNDDOWN(250/D10,2)</f>
        <v>3.57</v>
      </c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</row>
    <row r="13" spans="1:28" ht="16.5" customHeight="1" x14ac:dyDescent="0.2">
      <c r="A13" s="122"/>
      <c r="B13" s="122"/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</row>
    <row r="14" spans="1:28" ht="14.25" customHeight="1" x14ac:dyDescent="0.2">
      <c r="A14" s="122"/>
      <c r="B14" s="122" t="s">
        <v>29</v>
      </c>
      <c r="C14" s="142">
        <v>54</v>
      </c>
      <c r="D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</row>
    <row r="15" spans="1:28" ht="15.75" customHeight="1" x14ac:dyDescent="0.2">
      <c r="A15" s="122"/>
      <c r="B15" s="122"/>
      <c r="C15" s="122"/>
      <c r="D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</row>
    <row r="16" spans="1:28" ht="14.25" customHeight="1" x14ac:dyDescent="0.2">
      <c r="A16" s="122"/>
      <c r="B16" s="122" t="s">
        <v>8</v>
      </c>
      <c r="C16" s="143">
        <f>((C14*12*C10/16)*1.15)-C17</f>
        <v>69.862499999999997</v>
      </c>
      <c r="D16" s="122"/>
      <c r="F16" s="122"/>
      <c r="G16" s="122" t="s">
        <v>8</v>
      </c>
      <c r="H16" s="143">
        <f>((C14*12*H6/16)*1.15)-H17</f>
        <v>96.410249999999991</v>
      </c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</row>
    <row r="17" spans="1:28" ht="15" customHeight="1" x14ac:dyDescent="0.2">
      <c r="A17" s="122"/>
      <c r="B17" s="122" t="s">
        <v>9</v>
      </c>
      <c r="C17" s="142">
        <v>0</v>
      </c>
      <c r="D17" s="122"/>
      <c r="F17" s="122"/>
      <c r="G17" s="122" t="s">
        <v>9</v>
      </c>
      <c r="H17" s="142">
        <v>0</v>
      </c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</row>
    <row r="18" spans="1:28" x14ac:dyDescent="0.2">
      <c r="A18" s="122"/>
      <c r="B18" s="122" t="s">
        <v>10</v>
      </c>
      <c r="C18" s="143">
        <f>E3*D10</f>
        <v>69.862499999999997</v>
      </c>
      <c r="D18" s="122"/>
      <c r="F18" s="122"/>
      <c r="G18" s="122" t="s">
        <v>10</v>
      </c>
      <c r="H18" s="143">
        <f>J3*I6</f>
        <v>96.410249999999991</v>
      </c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</row>
    <row r="19" spans="1:28" x14ac:dyDescent="0.2">
      <c r="A19" s="122"/>
      <c r="B19" s="122"/>
      <c r="C19" s="122"/>
      <c r="D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</row>
    <row r="20" spans="1:28" x14ac:dyDescent="0.2">
      <c r="A20" s="122"/>
      <c r="B20" s="122" t="s">
        <v>11</v>
      </c>
      <c r="C20" s="122"/>
      <c r="D20" s="122"/>
      <c r="F20" s="122"/>
      <c r="G20" s="122" t="s">
        <v>11</v>
      </c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</row>
    <row r="21" spans="1:28" ht="41.25" x14ac:dyDescent="0.2">
      <c r="A21" s="122"/>
      <c r="B21" s="122" t="s">
        <v>21</v>
      </c>
      <c r="C21" s="143">
        <f>E3*D4</f>
        <v>17.232749999999999</v>
      </c>
      <c r="D21" s="122" t="s">
        <v>12</v>
      </c>
      <c r="F21" s="122"/>
      <c r="G21" s="198" t="s">
        <v>179</v>
      </c>
      <c r="H21" s="143">
        <f>J3*I4</f>
        <v>93.149999999999991</v>
      </c>
      <c r="I21" s="122" t="s">
        <v>12</v>
      </c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</row>
    <row r="22" spans="1:28" ht="15.75" customHeight="1" x14ac:dyDescent="0.2">
      <c r="A22" s="122"/>
      <c r="B22" s="122" t="s">
        <v>22</v>
      </c>
      <c r="C22" s="143">
        <f>E3*D6</f>
        <v>17.232749999999999</v>
      </c>
      <c r="D22" s="122" t="s">
        <v>12</v>
      </c>
      <c r="F22" s="122"/>
      <c r="G22" s="122" t="s">
        <v>33</v>
      </c>
      <c r="H22" s="143">
        <f>J3*I5</f>
        <v>3.2602500000000001</v>
      </c>
      <c r="I22" s="122" t="s">
        <v>12</v>
      </c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</row>
    <row r="23" spans="1:28" ht="15.75" customHeight="1" x14ac:dyDescent="0.2">
      <c r="A23" s="122"/>
      <c r="B23" s="122" t="s">
        <v>23</v>
      </c>
      <c r="C23" s="143">
        <f>E3*D8</f>
        <v>18.164249999999999</v>
      </c>
      <c r="D23" s="122" t="s">
        <v>12</v>
      </c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</row>
    <row r="24" spans="1:28" ht="15.75" customHeight="1" x14ac:dyDescent="0.2">
      <c r="A24" s="122"/>
      <c r="B24" s="122" t="s">
        <v>24</v>
      </c>
      <c r="C24" s="143">
        <f>E3*D9</f>
        <v>17.232749999999999</v>
      </c>
      <c r="D24" s="122" t="s">
        <v>12</v>
      </c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</row>
    <row r="25" spans="1:28" ht="15.75" customHeight="1" x14ac:dyDescent="0.2">
      <c r="A25" s="122"/>
      <c r="B25" s="122" t="s">
        <v>13</v>
      </c>
      <c r="C25" s="143">
        <f>D7*E3</f>
        <v>5</v>
      </c>
      <c r="D25" s="122" t="s">
        <v>12</v>
      </c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</row>
    <row r="26" spans="1:28" ht="15.75" customHeight="1" x14ac:dyDescent="0.2">
      <c r="A26" s="122"/>
      <c r="B26" s="122" t="s">
        <v>14</v>
      </c>
      <c r="C26" s="143">
        <f>D5*E3</f>
        <v>5</v>
      </c>
      <c r="D26" s="122" t="s">
        <v>12</v>
      </c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</row>
    <row r="27" spans="1:28" ht="15.75" customHeight="1" x14ac:dyDescent="0.2">
      <c r="A27" s="122"/>
      <c r="B27" s="122"/>
      <c r="C27" s="122"/>
      <c r="D27" s="122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</row>
    <row r="28" spans="1:28" ht="15.75" customHeight="1" x14ac:dyDescent="0.2">
      <c r="A28" s="122"/>
      <c r="B28" s="122"/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</row>
    <row r="29" spans="1:28" ht="15.75" customHeight="1" x14ac:dyDescent="0.2">
      <c r="A29" s="122"/>
      <c r="B29" s="122"/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</row>
    <row r="30" spans="1:28" ht="15.75" customHeight="1" x14ac:dyDescent="0.2">
      <c r="A30" s="122"/>
      <c r="B30" s="122"/>
      <c r="C30" s="122"/>
      <c r="D30" s="122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</row>
    <row r="31" spans="1:28" ht="15.75" customHeight="1" x14ac:dyDescent="0.2">
      <c r="A31" s="122"/>
      <c r="B31" s="122"/>
      <c r="C31" s="122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</row>
    <row r="32" spans="1:28" ht="15.75" customHeight="1" x14ac:dyDescent="0.2">
      <c r="A32" s="122"/>
      <c r="B32" s="122"/>
      <c r="C32" s="122"/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</row>
    <row r="33" spans="1:28" ht="15.75" customHeight="1" x14ac:dyDescent="0.2">
      <c r="A33" s="122"/>
      <c r="B33" s="122"/>
      <c r="C33" s="122"/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</row>
    <row r="34" spans="1:28" ht="15.75" customHeight="1" x14ac:dyDescent="0.2">
      <c r="A34" s="122"/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</row>
    <row r="35" spans="1:28" ht="15.75" customHeight="1" x14ac:dyDescent="0.2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</row>
    <row r="36" spans="1:28" ht="15.75" customHeight="1" x14ac:dyDescent="0.2">
      <c r="A36" s="122"/>
      <c r="B36" s="122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</row>
    <row r="37" spans="1:28" ht="15.75" customHeight="1" x14ac:dyDescent="0.2">
      <c r="A37" s="122"/>
      <c r="B37" s="122"/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</row>
    <row r="38" spans="1:28" ht="15.75" customHeight="1" x14ac:dyDescent="0.2">
      <c r="A38" s="122"/>
      <c r="B38" s="122"/>
      <c r="C38" s="122"/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</row>
    <row r="39" spans="1:28" ht="15.75" customHeight="1" x14ac:dyDescent="0.2">
      <c r="A39" s="122"/>
      <c r="B39" s="122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</row>
    <row r="40" spans="1:28" ht="15.75" customHeight="1" x14ac:dyDescent="0.2">
      <c r="A40" s="122"/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</row>
    <row r="41" spans="1:28" ht="15.75" customHeight="1" x14ac:dyDescent="0.2">
      <c r="A41" s="122"/>
      <c r="B41" s="122"/>
      <c r="C41" s="122"/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</row>
    <row r="42" spans="1:28" ht="15.75" customHeight="1" x14ac:dyDescent="0.2">
      <c r="A42" s="122"/>
      <c r="B42" s="122"/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</row>
    <row r="43" spans="1:28" ht="15.75" customHeight="1" x14ac:dyDescent="0.2">
      <c r="A43" s="122"/>
      <c r="B43" s="122"/>
      <c r="C43" s="122"/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</row>
    <row r="44" spans="1:28" ht="15.75" customHeight="1" x14ac:dyDescent="0.2">
      <c r="A44" s="122"/>
      <c r="B44" s="122"/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</row>
    <row r="45" spans="1:28" ht="15.75" customHeight="1" x14ac:dyDescent="0.2">
      <c r="A45" s="122"/>
      <c r="B45" s="122"/>
      <c r="C45" s="122"/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</row>
    <row r="46" spans="1:28" ht="15.75" customHeight="1" x14ac:dyDescent="0.2">
      <c r="A46" s="122"/>
      <c r="B46" s="122"/>
      <c r="C46" s="122"/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</row>
    <row r="47" spans="1:28" ht="15.75" customHeight="1" x14ac:dyDescent="0.2">
      <c r="A47" s="122"/>
      <c r="B47" s="122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</row>
    <row r="48" spans="1:28" ht="15.75" customHeight="1" x14ac:dyDescent="0.2">
      <c r="A48" s="122"/>
      <c r="B48" s="122"/>
      <c r="C48" s="122"/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</row>
    <row r="49" spans="1:28" ht="15.75" customHeight="1" x14ac:dyDescent="0.2">
      <c r="A49" s="122"/>
      <c r="B49" s="122"/>
      <c r="C49" s="122"/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</row>
    <row r="50" spans="1:28" ht="15.75" customHeight="1" x14ac:dyDescent="0.2">
      <c r="A50" s="122"/>
      <c r="B50" s="122"/>
      <c r="C50" s="122"/>
      <c r="D50" s="122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</row>
    <row r="51" spans="1:28" ht="15.75" customHeight="1" x14ac:dyDescent="0.2">
      <c r="A51" s="122"/>
      <c r="B51" s="122"/>
      <c r="C51" s="122"/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</row>
    <row r="52" spans="1:28" ht="15.75" customHeight="1" x14ac:dyDescent="0.2">
      <c r="A52" s="122"/>
      <c r="B52" s="122"/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</row>
    <row r="53" spans="1:28" ht="15.75" customHeight="1" x14ac:dyDescent="0.2">
      <c r="A53" s="122"/>
      <c r="B53" s="122"/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</row>
    <row r="54" spans="1:28" ht="15.75" customHeight="1" x14ac:dyDescent="0.2">
      <c r="A54" s="122"/>
      <c r="B54" s="122"/>
      <c r="C54" s="122"/>
      <c r="D54" s="122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</row>
    <row r="55" spans="1:28" ht="15.75" customHeight="1" x14ac:dyDescent="0.2">
      <c r="A55" s="122"/>
      <c r="B55" s="122"/>
      <c r="C55" s="122"/>
      <c r="D55" s="122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</row>
    <row r="56" spans="1:28" ht="15.75" customHeight="1" x14ac:dyDescent="0.2">
      <c r="A56" s="122"/>
      <c r="B56" s="122"/>
      <c r="C56" s="122"/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</row>
    <row r="57" spans="1:28" ht="15.75" customHeight="1" x14ac:dyDescent="0.2">
      <c r="A57" s="122"/>
      <c r="B57" s="122"/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</row>
    <row r="58" spans="1:28" ht="15.75" customHeight="1" x14ac:dyDescent="0.2">
      <c r="A58" s="122"/>
      <c r="B58" s="122"/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</row>
    <row r="59" spans="1:28" ht="15.75" customHeight="1" x14ac:dyDescent="0.2">
      <c r="A59" s="122"/>
      <c r="B59" s="122"/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</row>
    <row r="60" spans="1:28" ht="15.75" customHeight="1" x14ac:dyDescent="0.2">
      <c r="A60" s="122"/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</row>
    <row r="61" spans="1:28" ht="15.75" customHeight="1" x14ac:dyDescent="0.2">
      <c r="A61" s="122"/>
      <c r="B61" s="122"/>
      <c r="C61" s="122"/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</row>
    <row r="62" spans="1:28" ht="15.75" customHeight="1" x14ac:dyDescent="0.2">
      <c r="A62" s="122"/>
      <c r="B62" s="122"/>
      <c r="C62" s="122"/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</row>
    <row r="63" spans="1:28" ht="15.75" customHeight="1" x14ac:dyDescent="0.2">
      <c r="A63" s="122"/>
      <c r="B63" s="122"/>
      <c r="C63" s="122"/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  <c r="AA63" s="122"/>
      <c r="AB63" s="122"/>
    </row>
    <row r="64" spans="1:28" ht="15.75" customHeight="1" x14ac:dyDescent="0.2">
      <c r="A64" s="122"/>
      <c r="B64" s="122"/>
      <c r="C64" s="122"/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2"/>
      <c r="AB64" s="122"/>
    </row>
    <row r="65" spans="1:28" ht="15.75" customHeight="1" x14ac:dyDescent="0.2">
      <c r="A65" s="122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</row>
    <row r="66" spans="1:28" ht="15.75" customHeight="1" x14ac:dyDescent="0.2">
      <c r="A66" s="122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</row>
    <row r="67" spans="1:28" ht="15.75" customHeight="1" x14ac:dyDescent="0.2">
      <c r="A67" s="122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</row>
    <row r="68" spans="1:28" ht="15.75" customHeight="1" x14ac:dyDescent="0.2">
      <c r="A68" s="122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</row>
    <row r="69" spans="1:28" ht="15.75" customHeight="1" x14ac:dyDescent="0.2">
      <c r="A69" s="122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</row>
    <row r="70" spans="1:28" ht="15.75" customHeight="1" x14ac:dyDescent="0.2">
      <c r="A70" s="122"/>
      <c r="B70" s="122"/>
      <c r="C70" s="122"/>
      <c r="D70" s="122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</row>
    <row r="71" spans="1:28" ht="15.75" customHeight="1" x14ac:dyDescent="0.2">
      <c r="A71" s="122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</row>
    <row r="72" spans="1:28" ht="15.75" customHeight="1" x14ac:dyDescent="0.2">
      <c r="A72" s="122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</row>
    <row r="73" spans="1:28" ht="15.75" customHeight="1" x14ac:dyDescent="0.2">
      <c r="A73" s="122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</row>
    <row r="74" spans="1:28" ht="15.75" customHeight="1" x14ac:dyDescent="0.2">
      <c r="A74" s="122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</row>
    <row r="75" spans="1:28" ht="15.75" customHeight="1" x14ac:dyDescent="0.2">
      <c r="A75" s="122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</row>
    <row r="76" spans="1:28" ht="15.75" customHeight="1" x14ac:dyDescent="0.2">
      <c r="A76" s="122"/>
      <c r="B76" s="122"/>
      <c r="C76" s="122"/>
      <c r="D76" s="122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  <c r="AA76" s="122"/>
      <c r="AB76" s="122"/>
    </row>
    <row r="77" spans="1:28" ht="15.75" customHeight="1" x14ac:dyDescent="0.2">
      <c r="A77" s="122"/>
      <c r="B77" s="122"/>
      <c r="C77" s="122"/>
      <c r="D77" s="122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  <c r="AA77" s="122"/>
      <c r="AB77" s="122"/>
    </row>
    <row r="78" spans="1:28" ht="15.75" customHeight="1" x14ac:dyDescent="0.2">
      <c r="A78" s="122"/>
      <c r="B78" s="122"/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</row>
    <row r="79" spans="1:28" ht="15.75" customHeight="1" x14ac:dyDescent="0.2">
      <c r="A79" s="122"/>
      <c r="B79" s="122"/>
      <c r="C79" s="122"/>
      <c r="D79" s="122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  <c r="AA79" s="122"/>
      <c r="AB79" s="122"/>
    </row>
    <row r="80" spans="1:28" ht="15.75" customHeight="1" x14ac:dyDescent="0.2">
      <c r="A80" s="122"/>
      <c r="B80" s="122"/>
      <c r="C80" s="122"/>
      <c r="D80" s="122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  <c r="AA80" s="122"/>
      <c r="AB80" s="122"/>
    </row>
    <row r="81" spans="1:28" ht="15.75" customHeight="1" x14ac:dyDescent="0.2">
      <c r="A81" s="122"/>
      <c r="B81" s="122"/>
      <c r="C81" s="122"/>
      <c r="D81" s="122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  <c r="AA81" s="122"/>
      <c r="AB81" s="122"/>
    </row>
    <row r="82" spans="1:28" ht="15.75" customHeight="1" x14ac:dyDescent="0.2">
      <c r="A82" s="122"/>
      <c r="B82" s="122"/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</row>
    <row r="83" spans="1:28" ht="15.75" customHeight="1" x14ac:dyDescent="0.2">
      <c r="A83" s="122"/>
      <c r="B83" s="122"/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  <c r="AA83" s="122"/>
      <c r="AB83" s="122"/>
    </row>
    <row r="84" spans="1:28" ht="15.75" customHeight="1" x14ac:dyDescent="0.2">
      <c r="A84" s="122"/>
      <c r="B84" s="122"/>
      <c r="C84" s="122"/>
      <c r="D84" s="122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  <c r="AA84" s="122"/>
      <c r="AB84" s="122"/>
    </row>
    <row r="85" spans="1:28" ht="15.75" customHeight="1" x14ac:dyDescent="0.2">
      <c r="A85" s="122"/>
      <c r="B85" s="122"/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</row>
    <row r="86" spans="1:28" ht="15.75" customHeight="1" x14ac:dyDescent="0.2">
      <c r="A86" s="122"/>
      <c r="B86" s="122"/>
      <c r="C86" s="122"/>
      <c r="D86" s="122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  <c r="AA86" s="122"/>
      <c r="AB86" s="122"/>
    </row>
    <row r="87" spans="1:28" ht="15.75" customHeight="1" x14ac:dyDescent="0.2">
      <c r="A87" s="122"/>
      <c r="B87" s="122"/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  <c r="AA87" s="122"/>
      <c r="AB87" s="122"/>
    </row>
    <row r="88" spans="1:28" ht="15.75" customHeight="1" x14ac:dyDescent="0.2">
      <c r="A88" s="122"/>
      <c r="B88" s="122"/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</row>
    <row r="89" spans="1:28" ht="15.75" customHeight="1" x14ac:dyDescent="0.2">
      <c r="A89" s="122"/>
      <c r="B89" s="122"/>
      <c r="C89" s="122"/>
      <c r="D89" s="122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  <c r="AA89" s="122"/>
      <c r="AB89" s="122"/>
    </row>
    <row r="90" spans="1:28" ht="15.75" customHeight="1" x14ac:dyDescent="0.2">
      <c r="A90" s="122"/>
      <c r="B90" s="122"/>
      <c r="C90" s="122"/>
      <c r="D90" s="122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  <c r="AA90" s="122"/>
      <c r="AB90" s="122"/>
    </row>
    <row r="91" spans="1:28" ht="15.75" customHeight="1" x14ac:dyDescent="0.2">
      <c r="A91" s="122"/>
      <c r="B91" s="122"/>
      <c r="C91" s="122"/>
      <c r="D91" s="122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  <c r="AA91" s="122"/>
      <c r="AB91" s="122"/>
    </row>
    <row r="92" spans="1:28" ht="15.75" customHeight="1" x14ac:dyDescent="0.2">
      <c r="A92" s="122"/>
      <c r="B92" s="122"/>
      <c r="C92" s="122"/>
      <c r="D92" s="122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2"/>
      <c r="AB92" s="122"/>
    </row>
    <row r="93" spans="1:28" ht="15.75" customHeight="1" x14ac:dyDescent="0.2">
      <c r="A93" s="122"/>
      <c r="B93" s="122"/>
      <c r="C93" s="122"/>
      <c r="D93" s="122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</row>
    <row r="94" spans="1:28" ht="15.75" customHeight="1" x14ac:dyDescent="0.2">
      <c r="A94" s="122"/>
      <c r="B94" s="122"/>
      <c r="C94" s="122"/>
      <c r="D94" s="122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  <c r="AA94" s="122"/>
      <c r="AB94" s="122"/>
    </row>
    <row r="95" spans="1:28" ht="15.75" customHeight="1" x14ac:dyDescent="0.2">
      <c r="A95" s="122"/>
      <c r="B95" s="122"/>
      <c r="C95" s="122"/>
      <c r="D95" s="122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  <c r="AA95" s="122"/>
      <c r="AB95" s="122"/>
    </row>
    <row r="96" spans="1:28" ht="15.75" customHeight="1" x14ac:dyDescent="0.2">
      <c r="A96" s="122"/>
      <c r="B96" s="122"/>
      <c r="C96" s="122"/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  <c r="AA96" s="122"/>
      <c r="AB96" s="122"/>
    </row>
    <row r="97" spans="1:28" ht="15.75" customHeight="1" x14ac:dyDescent="0.2">
      <c r="A97" s="122"/>
      <c r="B97" s="122"/>
      <c r="C97" s="122"/>
      <c r="D97" s="122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  <c r="AA97" s="122"/>
      <c r="AB97" s="122"/>
    </row>
    <row r="98" spans="1:28" ht="15.75" customHeight="1" x14ac:dyDescent="0.2">
      <c r="A98" s="122"/>
      <c r="B98" s="122"/>
      <c r="C98" s="122"/>
      <c r="D98" s="122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  <c r="AA98" s="122"/>
      <c r="AB98" s="122"/>
    </row>
    <row r="99" spans="1:28" ht="15.75" customHeight="1" x14ac:dyDescent="0.2">
      <c r="A99" s="122"/>
      <c r="B99" s="122"/>
      <c r="C99" s="122"/>
      <c r="D99" s="122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  <c r="AA99" s="122"/>
      <c r="AB99" s="122"/>
    </row>
    <row r="100" spans="1:28" ht="15.75" customHeight="1" x14ac:dyDescent="0.2">
      <c r="A100" s="122"/>
      <c r="B100" s="122"/>
      <c r="C100" s="122"/>
      <c r="D100" s="122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  <c r="AA100" s="122"/>
      <c r="AB100" s="122"/>
    </row>
    <row r="101" spans="1:28" ht="15.75" customHeight="1" x14ac:dyDescent="0.2">
      <c r="A101" s="122"/>
      <c r="B101" s="122"/>
      <c r="C101" s="122"/>
      <c r="D101" s="122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  <c r="AA101" s="122"/>
      <c r="AB101" s="122"/>
    </row>
    <row r="102" spans="1:28" ht="15.75" customHeight="1" x14ac:dyDescent="0.2">
      <c r="A102" s="122"/>
      <c r="B102" s="122"/>
      <c r="C102" s="122"/>
      <c r="D102" s="122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  <c r="AA102" s="122"/>
      <c r="AB102" s="122"/>
    </row>
    <row r="103" spans="1:28" ht="15.75" customHeight="1" x14ac:dyDescent="0.2">
      <c r="A103" s="122"/>
      <c r="B103" s="122"/>
      <c r="C103" s="122"/>
      <c r="D103" s="122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  <c r="AA103" s="122"/>
      <c r="AB103" s="122"/>
    </row>
    <row r="104" spans="1:28" ht="15.75" customHeight="1" x14ac:dyDescent="0.2">
      <c r="A104" s="122"/>
      <c r="B104" s="122"/>
      <c r="C104" s="122"/>
      <c r="D104" s="122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  <c r="AA104" s="122"/>
      <c r="AB104" s="122"/>
    </row>
    <row r="105" spans="1:28" ht="15.75" customHeight="1" x14ac:dyDescent="0.2">
      <c r="A105" s="122"/>
      <c r="B105" s="122"/>
      <c r="C105" s="122"/>
      <c r="D105" s="122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</row>
    <row r="106" spans="1:28" ht="15.75" customHeight="1" x14ac:dyDescent="0.2">
      <c r="A106" s="122"/>
      <c r="B106" s="122"/>
      <c r="C106" s="122"/>
      <c r="D106" s="122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2"/>
      <c r="AB106" s="122"/>
    </row>
    <row r="107" spans="1:28" ht="15.75" customHeight="1" x14ac:dyDescent="0.2">
      <c r="A107" s="122"/>
      <c r="B107" s="122"/>
      <c r="C107" s="122"/>
      <c r="D107" s="122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  <c r="AA107" s="122"/>
      <c r="AB107" s="122"/>
    </row>
    <row r="108" spans="1:28" ht="15.75" customHeight="1" x14ac:dyDescent="0.2">
      <c r="A108" s="122"/>
      <c r="B108" s="122"/>
      <c r="C108" s="122"/>
      <c r="D108" s="122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</row>
    <row r="109" spans="1:28" ht="15.75" customHeight="1" x14ac:dyDescent="0.2">
      <c r="A109" s="122"/>
      <c r="B109" s="122"/>
      <c r="C109" s="122"/>
      <c r="D109" s="122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</row>
    <row r="110" spans="1:28" ht="15.75" customHeight="1" x14ac:dyDescent="0.2">
      <c r="A110" s="122"/>
      <c r="B110" s="122"/>
      <c r="C110" s="122"/>
      <c r="D110" s="122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</row>
    <row r="111" spans="1:28" ht="15.75" customHeight="1" x14ac:dyDescent="0.2">
      <c r="A111" s="122"/>
      <c r="B111" s="122"/>
      <c r="C111" s="122"/>
      <c r="D111" s="122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  <c r="AA111" s="122"/>
      <c r="AB111" s="122"/>
    </row>
    <row r="112" spans="1:28" ht="15.75" customHeight="1" x14ac:dyDescent="0.2">
      <c r="A112" s="122"/>
      <c r="B112" s="122"/>
      <c r="C112" s="122"/>
      <c r="D112" s="122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  <c r="AA112" s="122"/>
      <c r="AB112" s="122"/>
    </row>
    <row r="113" spans="1:28" ht="15.75" customHeight="1" x14ac:dyDescent="0.2">
      <c r="A113" s="122"/>
      <c r="B113" s="122"/>
      <c r="C113" s="122"/>
      <c r="D113" s="122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  <c r="AA113" s="122"/>
      <c r="AB113" s="122"/>
    </row>
    <row r="114" spans="1:28" ht="15.75" customHeight="1" x14ac:dyDescent="0.2">
      <c r="A114" s="122"/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</row>
    <row r="115" spans="1:28" ht="15.75" customHeight="1" x14ac:dyDescent="0.2">
      <c r="A115" s="122"/>
      <c r="B115" s="122"/>
      <c r="C115" s="122"/>
      <c r="D115" s="122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  <c r="AA115" s="122"/>
      <c r="AB115" s="122"/>
    </row>
    <row r="116" spans="1:28" ht="15.75" customHeight="1" x14ac:dyDescent="0.2">
      <c r="A116" s="122"/>
      <c r="B116" s="122"/>
      <c r="C116" s="122"/>
      <c r="D116" s="122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  <c r="AA116" s="122"/>
      <c r="AB116" s="122"/>
    </row>
    <row r="117" spans="1:28" ht="15.75" customHeight="1" x14ac:dyDescent="0.2">
      <c r="A117" s="122"/>
      <c r="B117" s="122"/>
      <c r="C117" s="122"/>
      <c r="D117" s="122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  <c r="AA117" s="122"/>
      <c r="AB117" s="122"/>
    </row>
    <row r="118" spans="1:28" ht="15.75" customHeight="1" x14ac:dyDescent="0.2">
      <c r="A118" s="122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</row>
    <row r="119" spans="1:28" ht="15.75" customHeight="1" x14ac:dyDescent="0.2">
      <c r="A119" s="122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</row>
    <row r="120" spans="1:28" ht="15.75" customHeight="1" x14ac:dyDescent="0.2">
      <c r="A120" s="122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</row>
    <row r="121" spans="1:28" ht="15.75" customHeight="1" x14ac:dyDescent="0.2">
      <c r="A121" s="122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</row>
    <row r="122" spans="1:28" ht="15.75" customHeight="1" x14ac:dyDescent="0.2">
      <c r="A122" s="122"/>
      <c r="B122" s="122"/>
      <c r="C122" s="122"/>
      <c r="D122" s="122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  <c r="AA122" s="122"/>
      <c r="AB122" s="122"/>
    </row>
    <row r="123" spans="1:28" ht="15.75" customHeight="1" x14ac:dyDescent="0.2">
      <c r="A123" s="122"/>
      <c r="B123" s="122"/>
      <c r="C123" s="122"/>
      <c r="D123" s="122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  <c r="AA123" s="122"/>
      <c r="AB123" s="122"/>
    </row>
    <row r="124" spans="1:28" ht="15.75" customHeight="1" x14ac:dyDescent="0.2">
      <c r="A124" s="122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  <c r="AA124" s="122"/>
      <c r="AB124" s="122"/>
    </row>
    <row r="125" spans="1:28" ht="15.75" customHeight="1" x14ac:dyDescent="0.2">
      <c r="A125" s="122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  <c r="AA125" s="122"/>
      <c r="AB125" s="122"/>
    </row>
    <row r="126" spans="1:28" ht="15.75" customHeight="1" x14ac:dyDescent="0.2">
      <c r="A126" s="122"/>
      <c r="B126" s="122"/>
      <c r="C126" s="122"/>
      <c r="D126" s="122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  <c r="AA126" s="122"/>
      <c r="AB126" s="122"/>
    </row>
    <row r="127" spans="1:28" ht="15.75" customHeight="1" x14ac:dyDescent="0.2">
      <c r="A127" s="122"/>
      <c r="B127" s="122"/>
      <c r="C127" s="122"/>
      <c r="D127" s="122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  <c r="AA127" s="122"/>
      <c r="AB127" s="122"/>
    </row>
    <row r="128" spans="1:28" ht="15.75" customHeight="1" x14ac:dyDescent="0.2">
      <c r="A128" s="122"/>
      <c r="B128" s="122"/>
      <c r="C128" s="122"/>
      <c r="D128" s="122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  <c r="AA128" s="122"/>
      <c r="AB128" s="122"/>
    </row>
    <row r="129" spans="1:28" ht="15.75" customHeight="1" x14ac:dyDescent="0.2">
      <c r="A129" s="122"/>
      <c r="B129" s="122"/>
      <c r="C129" s="122"/>
      <c r="D129" s="122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  <c r="AA129" s="122"/>
      <c r="AB129" s="122"/>
    </row>
    <row r="130" spans="1:28" ht="15.75" customHeight="1" x14ac:dyDescent="0.2">
      <c r="A130" s="122"/>
      <c r="B130" s="122"/>
      <c r="C130" s="122"/>
      <c r="D130" s="122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  <c r="AA130" s="122"/>
      <c r="AB130" s="122"/>
    </row>
    <row r="131" spans="1:28" ht="15.75" customHeight="1" x14ac:dyDescent="0.2">
      <c r="A131" s="122"/>
      <c r="B131" s="122"/>
      <c r="C131" s="122"/>
      <c r="D131" s="122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  <c r="AA131" s="122"/>
      <c r="AB131" s="122"/>
    </row>
    <row r="132" spans="1:28" ht="15.75" customHeight="1" x14ac:dyDescent="0.2">
      <c r="A132" s="122"/>
      <c r="B132" s="122"/>
      <c r="C132" s="122"/>
      <c r="D132" s="122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  <c r="AA132" s="122"/>
      <c r="AB132" s="122"/>
    </row>
    <row r="133" spans="1:28" ht="15.75" customHeight="1" x14ac:dyDescent="0.2">
      <c r="A133" s="122"/>
      <c r="B133" s="122"/>
      <c r="C133" s="122"/>
      <c r="D133" s="122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  <c r="AA133" s="122"/>
      <c r="AB133" s="122"/>
    </row>
    <row r="134" spans="1:28" ht="15.75" customHeight="1" x14ac:dyDescent="0.2">
      <c r="A134" s="122"/>
      <c r="B134" s="122"/>
      <c r="C134" s="122"/>
      <c r="D134" s="122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  <c r="AA134" s="122"/>
      <c r="AB134" s="122"/>
    </row>
    <row r="135" spans="1:28" ht="15.75" customHeight="1" x14ac:dyDescent="0.2">
      <c r="A135" s="122"/>
      <c r="B135" s="122"/>
      <c r="C135" s="122"/>
      <c r="D135" s="122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  <c r="AA135" s="122"/>
      <c r="AB135" s="122"/>
    </row>
    <row r="136" spans="1:28" ht="15.75" customHeight="1" x14ac:dyDescent="0.2">
      <c r="A136" s="122"/>
      <c r="B136" s="122"/>
      <c r="C136" s="122"/>
      <c r="D136" s="122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  <c r="AA136" s="122"/>
      <c r="AB136" s="122"/>
    </row>
    <row r="137" spans="1:28" ht="15.75" customHeight="1" x14ac:dyDescent="0.2">
      <c r="A137" s="122"/>
      <c r="B137" s="122"/>
      <c r="C137" s="122"/>
      <c r="D137" s="122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  <c r="AA137" s="122"/>
      <c r="AB137" s="122"/>
    </row>
    <row r="138" spans="1:28" ht="15.75" customHeight="1" x14ac:dyDescent="0.2">
      <c r="A138" s="122"/>
      <c r="B138" s="122"/>
      <c r="C138" s="122"/>
      <c r="D138" s="122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  <c r="AA138" s="122"/>
      <c r="AB138" s="122"/>
    </row>
    <row r="139" spans="1:28" ht="15.75" customHeight="1" x14ac:dyDescent="0.2">
      <c r="A139" s="122"/>
      <c r="B139" s="122"/>
      <c r="C139" s="122"/>
      <c r="D139" s="122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  <c r="AA139" s="122"/>
      <c r="AB139" s="122"/>
    </row>
    <row r="140" spans="1:28" ht="15.75" customHeight="1" x14ac:dyDescent="0.2">
      <c r="A140" s="122"/>
      <c r="B140" s="122"/>
      <c r="C140" s="122"/>
      <c r="D140" s="122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  <c r="AA140" s="122"/>
      <c r="AB140" s="122"/>
    </row>
    <row r="141" spans="1:28" ht="15.75" customHeight="1" x14ac:dyDescent="0.2">
      <c r="A141" s="122"/>
      <c r="B141" s="122"/>
      <c r="C141" s="122"/>
      <c r="D141" s="122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  <c r="AA141" s="122"/>
      <c r="AB141" s="122"/>
    </row>
    <row r="142" spans="1:28" ht="15.75" customHeight="1" x14ac:dyDescent="0.2">
      <c r="A142" s="122"/>
      <c r="B142" s="122"/>
      <c r="C142" s="122"/>
      <c r="D142" s="122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</row>
    <row r="143" spans="1:28" ht="15.75" customHeight="1" x14ac:dyDescent="0.2">
      <c r="A143" s="122"/>
      <c r="B143" s="122"/>
      <c r="C143" s="122"/>
      <c r="D143" s="122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</row>
    <row r="144" spans="1:28" ht="15.75" customHeight="1" x14ac:dyDescent="0.2">
      <c r="A144" s="122"/>
      <c r="B144" s="122"/>
      <c r="C144" s="122"/>
      <c r="D144" s="122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</row>
    <row r="145" spans="1:28" ht="15.75" customHeight="1" x14ac:dyDescent="0.2">
      <c r="A145" s="122"/>
      <c r="B145" s="122"/>
      <c r="C145" s="122"/>
      <c r="D145" s="122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</row>
    <row r="146" spans="1:28" ht="15.75" customHeight="1" x14ac:dyDescent="0.2">
      <c r="A146" s="122"/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</row>
    <row r="147" spans="1:28" ht="15.75" customHeight="1" x14ac:dyDescent="0.2">
      <c r="A147" s="122"/>
      <c r="B147" s="122"/>
      <c r="C147" s="122"/>
      <c r="D147" s="122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</row>
    <row r="148" spans="1:28" ht="15.75" customHeight="1" x14ac:dyDescent="0.2">
      <c r="A148" s="122"/>
      <c r="B148" s="122"/>
      <c r="C148" s="122"/>
      <c r="D148" s="122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</row>
    <row r="149" spans="1:28" ht="15.75" customHeight="1" x14ac:dyDescent="0.2">
      <c r="A149" s="122"/>
      <c r="B149" s="122"/>
      <c r="C149" s="122"/>
      <c r="D149" s="122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</row>
    <row r="150" spans="1:28" ht="15.75" customHeight="1" x14ac:dyDescent="0.2">
      <c r="A150" s="122"/>
      <c r="B150" s="122"/>
      <c r="C150" s="122"/>
      <c r="D150" s="122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</row>
    <row r="151" spans="1:28" ht="15.75" customHeight="1" x14ac:dyDescent="0.2">
      <c r="A151" s="122"/>
      <c r="B151" s="122"/>
      <c r="C151" s="122"/>
      <c r="D151" s="122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</row>
    <row r="152" spans="1:28" ht="15.75" customHeight="1" x14ac:dyDescent="0.2">
      <c r="A152" s="122"/>
      <c r="B152" s="122"/>
      <c r="C152" s="122"/>
      <c r="D152" s="122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2"/>
      <c r="AB152" s="122"/>
    </row>
    <row r="153" spans="1:28" ht="15.75" customHeight="1" x14ac:dyDescent="0.2">
      <c r="A153" s="122"/>
      <c r="B153" s="122"/>
      <c r="C153" s="122"/>
      <c r="D153" s="122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2"/>
      <c r="AB153" s="122"/>
    </row>
    <row r="154" spans="1:28" ht="15.75" customHeight="1" x14ac:dyDescent="0.2">
      <c r="A154" s="122"/>
      <c r="B154" s="122"/>
      <c r="C154" s="122"/>
      <c r="D154" s="122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  <c r="AA154" s="122"/>
      <c r="AB154" s="122"/>
    </row>
    <row r="155" spans="1:28" ht="15.75" customHeight="1" x14ac:dyDescent="0.2">
      <c r="A155" s="122"/>
      <c r="B155" s="122"/>
      <c r="C155" s="122"/>
      <c r="D155" s="122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  <c r="AA155" s="122"/>
      <c r="AB155" s="122"/>
    </row>
    <row r="156" spans="1:28" ht="15.75" customHeight="1" x14ac:dyDescent="0.2">
      <c r="A156" s="122"/>
      <c r="B156" s="122"/>
      <c r="C156" s="122"/>
      <c r="D156" s="122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  <c r="AA156" s="122"/>
      <c r="AB156" s="122"/>
    </row>
    <row r="157" spans="1:28" ht="15.75" customHeight="1" x14ac:dyDescent="0.2">
      <c r="A157" s="122"/>
      <c r="B157" s="122"/>
      <c r="C157" s="122"/>
      <c r="D157" s="122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  <c r="AA157" s="122"/>
      <c r="AB157" s="122"/>
    </row>
    <row r="158" spans="1:28" ht="15.75" customHeight="1" x14ac:dyDescent="0.2">
      <c r="A158" s="122"/>
      <c r="B158" s="122"/>
      <c r="C158" s="122"/>
      <c r="D158" s="122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  <c r="AA158" s="122"/>
      <c r="AB158" s="122"/>
    </row>
    <row r="159" spans="1:28" ht="15.75" customHeight="1" x14ac:dyDescent="0.2">
      <c r="A159" s="122"/>
      <c r="B159" s="122"/>
      <c r="C159" s="122"/>
      <c r="D159" s="122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  <c r="AA159" s="122"/>
      <c r="AB159" s="122"/>
    </row>
    <row r="160" spans="1:28" ht="15.75" customHeight="1" x14ac:dyDescent="0.2">
      <c r="A160" s="122"/>
      <c r="B160" s="122"/>
      <c r="C160" s="122"/>
      <c r="D160" s="122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  <c r="AA160" s="122"/>
      <c r="AB160" s="122"/>
    </row>
    <row r="161" spans="1:28" ht="15.75" customHeight="1" x14ac:dyDescent="0.2">
      <c r="A161" s="122"/>
      <c r="B161" s="122"/>
      <c r="C161" s="122"/>
      <c r="D161" s="122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  <c r="AA161" s="122"/>
      <c r="AB161" s="122"/>
    </row>
    <row r="162" spans="1:28" ht="15.75" customHeight="1" x14ac:dyDescent="0.2">
      <c r="A162" s="122"/>
      <c r="B162" s="122"/>
      <c r="C162" s="122"/>
      <c r="D162" s="122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  <c r="AA162" s="122"/>
      <c r="AB162" s="122"/>
    </row>
    <row r="163" spans="1:28" ht="15.75" customHeight="1" x14ac:dyDescent="0.2">
      <c r="A163" s="122"/>
      <c r="B163" s="122"/>
      <c r="C163" s="122"/>
      <c r="D163" s="122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  <c r="AA163" s="122"/>
      <c r="AB163" s="122"/>
    </row>
    <row r="164" spans="1:28" ht="15.75" customHeight="1" x14ac:dyDescent="0.2">
      <c r="A164" s="122"/>
      <c r="B164" s="122"/>
      <c r="C164" s="122"/>
      <c r="D164" s="122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  <c r="AA164" s="122"/>
      <c r="AB164" s="122"/>
    </row>
    <row r="165" spans="1:28" ht="15.75" customHeight="1" x14ac:dyDescent="0.2">
      <c r="A165" s="122"/>
      <c r="B165" s="122"/>
      <c r="C165" s="122"/>
      <c r="D165" s="122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  <c r="AA165" s="122"/>
      <c r="AB165" s="122"/>
    </row>
    <row r="166" spans="1:28" ht="15.75" customHeight="1" x14ac:dyDescent="0.2">
      <c r="A166" s="122"/>
      <c r="B166" s="122"/>
      <c r="C166" s="122"/>
      <c r="D166" s="122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  <c r="AA166" s="122"/>
      <c r="AB166" s="122"/>
    </row>
    <row r="167" spans="1:28" ht="15.75" customHeight="1" x14ac:dyDescent="0.2">
      <c r="A167" s="122"/>
      <c r="B167" s="122"/>
      <c r="C167" s="122"/>
      <c r="D167" s="122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  <c r="AA167" s="122"/>
      <c r="AB167" s="122"/>
    </row>
    <row r="168" spans="1:28" ht="15.75" customHeight="1" x14ac:dyDescent="0.2">
      <c r="A168" s="122"/>
      <c r="B168" s="122"/>
      <c r="C168" s="122"/>
      <c r="D168" s="122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  <c r="AA168" s="122"/>
      <c r="AB168" s="122"/>
    </row>
    <row r="169" spans="1:28" ht="15.75" customHeight="1" x14ac:dyDescent="0.2">
      <c r="A169" s="122"/>
      <c r="B169" s="122"/>
      <c r="C169" s="122"/>
      <c r="D169" s="122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  <c r="AA169" s="122"/>
      <c r="AB169" s="122"/>
    </row>
    <row r="170" spans="1:28" ht="15.75" customHeight="1" x14ac:dyDescent="0.2">
      <c r="A170" s="122"/>
      <c r="B170" s="122"/>
      <c r="C170" s="122"/>
      <c r="D170" s="122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  <c r="AA170" s="122"/>
      <c r="AB170" s="122"/>
    </row>
    <row r="171" spans="1:28" ht="15.75" customHeight="1" x14ac:dyDescent="0.2">
      <c r="A171" s="122"/>
      <c r="B171" s="122"/>
      <c r="C171" s="122"/>
      <c r="D171" s="122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  <c r="AA171" s="122"/>
      <c r="AB171" s="122"/>
    </row>
    <row r="172" spans="1:28" ht="15.75" customHeight="1" x14ac:dyDescent="0.2">
      <c r="A172" s="122"/>
      <c r="B172" s="122"/>
      <c r="C172" s="122"/>
      <c r="D172" s="122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  <c r="AA172" s="122"/>
      <c r="AB172" s="122"/>
    </row>
    <row r="173" spans="1:28" ht="15.75" customHeight="1" x14ac:dyDescent="0.2">
      <c r="A173" s="122"/>
      <c r="B173" s="122"/>
      <c r="C173" s="122"/>
      <c r="D173" s="122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  <c r="AA173" s="122"/>
      <c r="AB173" s="122"/>
    </row>
    <row r="174" spans="1:28" ht="15.75" customHeight="1" x14ac:dyDescent="0.2">
      <c r="A174" s="122"/>
      <c r="B174" s="122"/>
      <c r="C174" s="122"/>
      <c r="D174" s="122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  <c r="AA174" s="122"/>
      <c r="AB174" s="122"/>
    </row>
    <row r="175" spans="1:28" ht="15.75" customHeight="1" x14ac:dyDescent="0.2">
      <c r="A175" s="122"/>
      <c r="B175" s="122"/>
      <c r="C175" s="122"/>
      <c r="D175" s="122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  <c r="AA175" s="122"/>
      <c r="AB175" s="122"/>
    </row>
    <row r="176" spans="1:28" ht="15.75" customHeight="1" x14ac:dyDescent="0.2">
      <c r="A176" s="122"/>
      <c r="B176" s="122"/>
      <c r="C176" s="122"/>
      <c r="D176" s="122"/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  <c r="AA176" s="122"/>
      <c r="AB176" s="122"/>
    </row>
    <row r="177" spans="1:28" ht="15.75" customHeight="1" x14ac:dyDescent="0.2">
      <c r="A177" s="122"/>
      <c r="B177" s="122"/>
      <c r="C177" s="122"/>
      <c r="D177" s="122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  <c r="AA177" s="122"/>
      <c r="AB177" s="122"/>
    </row>
    <row r="178" spans="1:28" ht="15.75" customHeight="1" x14ac:dyDescent="0.2">
      <c r="A178" s="122"/>
      <c r="B178" s="122"/>
      <c r="C178" s="122"/>
      <c r="D178" s="122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  <c r="AA178" s="122"/>
      <c r="AB178" s="122"/>
    </row>
    <row r="179" spans="1:28" ht="15.75" customHeight="1" x14ac:dyDescent="0.2">
      <c r="A179" s="122"/>
      <c r="B179" s="122"/>
      <c r="C179" s="122"/>
      <c r="D179" s="122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  <c r="AA179" s="122"/>
      <c r="AB179" s="122"/>
    </row>
    <row r="180" spans="1:28" ht="15.75" customHeight="1" x14ac:dyDescent="0.2">
      <c r="A180" s="122"/>
      <c r="B180" s="122"/>
      <c r="C180" s="122"/>
      <c r="D180" s="122"/>
      <c r="E180" s="122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  <c r="AA180" s="122"/>
      <c r="AB180" s="122"/>
    </row>
    <row r="181" spans="1:28" ht="15.75" customHeight="1" x14ac:dyDescent="0.2">
      <c r="A181" s="122"/>
      <c r="B181" s="122"/>
      <c r="C181" s="122"/>
      <c r="D181" s="122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  <c r="AA181" s="122"/>
      <c r="AB181" s="122"/>
    </row>
    <row r="182" spans="1:28" ht="15.75" customHeight="1" x14ac:dyDescent="0.2">
      <c r="A182" s="122"/>
      <c r="B182" s="122"/>
      <c r="C182" s="122"/>
      <c r="D182" s="122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  <c r="AA182" s="122"/>
      <c r="AB182" s="122"/>
    </row>
    <row r="183" spans="1:28" ht="15.75" customHeight="1" x14ac:dyDescent="0.2">
      <c r="A183" s="122"/>
      <c r="B183" s="122"/>
      <c r="C183" s="122"/>
      <c r="D183" s="122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  <c r="AA183" s="122"/>
      <c r="AB183" s="122"/>
    </row>
    <row r="184" spans="1:28" ht="15.75" customHeight="1" x14ac:dyDescent="0.2">
      <c r="A184" s="122"/>
      <c r="B184" s="122"/>
      <c r="C184" s="122"/>
      <c r="D184" s="122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  <c r="AA184" s="122"/>
      <c r="AB184" s="122"/>
    </row>
    <row r="185" spans="1:28" ht="15.75" customHeight="1" x14ac:dyDescent="0.2">
      <c r="A185" s="122"/>
      <c r="B185" s="122"/>
      <c r="C185" s="122"/>
      <c r="D185" s="122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  <c r="AA185" s="122"/>
      <c r="AB185" s="122"/>
    </row>
    <row r="186" spans="1:28" ht="15.75" customHeight="1" x14ac:dyDescent="0.2">
      <c r="A186" s="122"/>
      <c r="B186" s="122"/>
      <c r="C186" s="122"/>
      <c r="D186" s="122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  <c r="AA186" s="122"/>
      <c r="AB186" s="122"/>
    </row>
    <row r="187" spans="1:28" ht="15.75" customHeight="1" x14ac:dyDescent="0.2">
      <c r="A187" s="122"/>
      <c r="B187" s="122"/>
      <c r="C187" s="122"/>
      <c r="D187" s="122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  <c r="AA187" s="122"/>
      <c r="AB187" s="122"/>
    </row>
    <row r="188" spans="1:28" ht="15.75" customHeight="1" x14ac:dyDescent="0.2">
      <c r="A188" s="122"/>
      <c r="B188" s="122"/>
      <c r="C188" s="122"/>
      <c r="D188" s="122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  <c r="AA188" s="122"/>
      <c r="AB188" s="122"/>
    </row>
    <row r="189" spans="1:28" ht="15.75" customHeight="1" x14ac:dyDescent="0.2">
      <c r="A189" s="122"/>
      <c r="B189" s="122"/>
      <c r="C189" s="122"/>
      <c r="D189" s="122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  <c r="AA189" s="122"/>
      <c r="AB189" s="122"/>
    </row>
    <row r="190" spans="1:28" ht="15.75" customHeight="1" x14ac:dyDescent="0.2">
      <c r="A190" s="122"/>
      <c r="B190" s="122"/>
      <c r="C190" s="122"/>
      <c r="D190" s="122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  <c r="AA190" s="122"/>
      <c r="AB190" s="122"/>
    </row>
    <row r="191" spans="1:28" ht="15.75" customHeight="1" x14ac:dyDescent="0.2">
      <c r="A191" s="122"/>
      <c r="B191" s="122"/>
      <c r="C191" s="122"/>
      <c r="D191" s="122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  <c r="AA191" s="122"/>
      <c r="AB191" s="122"/>
    </row>
    <row r="192" spans="1:28" ht="15.75" customHeight="1" x14ac:dyDescent="0.2">
      <c r="A192" s="122"/>
      <c r="B192" s="122"/>
      <c r="C192" s="122"/>
      <c r="D192" s="122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  <c r="AA192" s="122"/>
      <c r="AB192" s="122"/>
    </row>
    <row r="193" spans="1:28" ht="15.75" customHeight="1" x14ac:dyDescent="0.2">
      <c r="A193" s="122"/>
      <c r="B193" s="122"/>
      <c r="C193" s="122"/>
      <c r="D193" s="122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  <c r="AA193" s="122"/>
      <c r="AB193" s="122"/>
    </row>
    <row r="194" spans="1:28" ht="15.75" customHeight="1" x14ac:dyDescent="0.2">
      <c r="A194" s="122"/>
      <c r="B194" s="122"/>
      <c r="C194" s="122"/>
      <c r="D194" s="122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  <c r="AA194" s="122"/>
      <c r="AB194" s="122"/>
    </row>
    <row r="195" spans="1:28" ht="15.75" customHeight="1" x14ac:dyDescent="0.2">
      <c r="A195" s="122"/>
      <c r="B195" s="122"/>
      <c r="C195" s="122"/>
      <c r="D195" s="122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  <c r="AA195" s="122"/>
      <c r="AB195" s="122"/>
    </row>
    <row r="196" spans="1:28" ht="15.75" customHeight="1" x14ac:dyDescent="0.2">
      <c r="A196" s="122"/>
      <c r="B196" s="122"/>
      <c r="C196" s="122"/>
      <c r="D196" s="122"/>
      <c r="E196" s="122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  <c r="AA196" s="122"/>
      <c r="AB196" s="122"/>
    </row>
    <row r="197" spans="1:28" ht="15.75" customHeight="1" x14ac:dyDescent="0.2">
      <c r="A197" s="122"/>
      <c r="B197" s="122"/>
      <c r="C197" s="122"/>
      <c r="D197" s="122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  <c r="AA197" s="122"/>
      <c r="AB197" s="122"/>
    </row>
    <row r="198" spans="1:28" ht="15.75" customHeight="1" x14ac:dyDescent="0.2">
      <c r="A198" s="122"/>
      <c r="B198" s="122"/>
      <c r="C198" s="122"/>
      <c r="D198" s="122"/>
      <c r="E198" s="122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  <c r="AA198" s="122"/>
      <c r="AB198" s="122"/>
    </row>
    <row r="199" spans="1:28" ht="15.75" customHeight="1" x14ac:dyDescent="0.2">
      <c r="A199" s="122"/>
      <c r="B199" s="122"/>
      <c r="C199" s="122"/>
      <c r="D199" s="122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  <c r="AA199" s="122"/>
      <c r="AB199" s="122"/>
    </row>
    <row r="200" spans="1:28" ht="15.75" customHeight="1" x14ac:dyDescent="0.2">
      <c r="A200" s="122"/>
      <c r="B200" s="122"/>
      <c r="C200" s="122"/>
      <c r="D200" s="122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  <c r="AA200" s="122"/>
      <c r="AB200" s="122"/>
    </row>
    <row r="201" spans="1:28" ht="15.75" customHeight="1" x14ac:dyDescent="0.2">
      <c r="A201" s="122"/>
      <c r="B201" s="122"/>
      <c r="C201" s="122"/>
      <c r="D201" s="122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  <c r="AA201" s="122"/>
      <c r="AB201" s="122"/>
    </row>
    <row r="202" spans="1:28" ht="15.75" customHeight="1" x14ac:dyDescent="0.2">
      <c r="A202" s="122"/>
      <c r="B202" s="122"/>
      <c r="C202" s="122"/>
      <c r="D202" s="122"/>
      <c r="E202" s="122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  <c r="AA202" s="122"/>
      <c r="AB202" s="122"/>
    </row>
    <row r="203" spans="1:28" ht="15.75" customHeight="1" x14ac:dyDescent="0.2">
      <c r="A203" s="122"/>
      <c r="B203" s="122"/>
      <c r="C203" s="122"/>
      <c r="D203" s="122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  <c r="AA203" s="122"/>
      <c r="AB203" s="122"/>
    </row>
    <row r="204" spans="1:28" ht="15.75" customHeight="1" x14ac:dyDescent="0.2">
      <c r="A204" s="122"/>
      <c r="B204" s="122"/>
      <c r="C204" s="122"/>
      <c r="D204" s="122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  <c r="AA204" s="122"/>
      <c r="AB204" s="122"/>
    </row>
    <row r="205" spans="1:28" ht="15.75" customHeight="1" x14ac:dyDescent="0.2">
      <c r="A205" s="122"/>
      <c r="B205" s="122"/>
      <c r="C205" s="122"/>
      <c r="D205" s="122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  <c r="AA205" s="122"/>
      <c r="AB205" s="122"/>
    </row>
    <row r="206" spans="1:28" ht="15.75" customHeight="1" x14ac:dyDescent="0.2">
      <c r="A206" s="122"/>
      <c r="B206" s="122"/>
      <c r="C206" s="122"/>
      <c r="D206" s="122"/>
      <c r="E206" s="122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  <c r="AA206" s="122"/>
      <c r="AB206" s="122"/>
    </row>
    <row r="207" spans="1:28" ht="15.75" customHeight="1" x14ac:dyDescent="0.2">
      <c r="A207" s="122"/>
      <c r="B207" s="122"/>
      <c r="C207" s="122"/>
      <c r="D207" s="122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  <c r="AA207" s="122"/>
      <c r="AB207" s="122"/>
    </row>
    <row r="208" spans="1:28" ht="15.75" customHeight="1" x14ac:dyDescent="0.2">
      <c r="A208" s="122"/>
      <c r="B208" s="122"/>
      <c r="C208" s="122"/>
      <c r="D208" s="122"/>
      <c r="E208" s="122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  <c r="AA208" s="122"/>
      <c r="AB208" s="122"/>
    </row>
    <row r="209" spans="1:28" ht="15.75" customHeight="1" x14ac:dyDescent="0.2">
      <c r="A209" s="122"/>
      <c r="B209" s="122"/>
      <c r="C209" s="122"/>
      <c r="D209" s="122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  <c r="AA209" s="122"/>
      <c r="AB209" s="122"/>
    </row>
    <row r="210" spans="1:28" ht="15.75" customHeight="1" x14ac:dyDescent="0.2">
      <c r="A210" s="122"/>
      <c r="B210" s="122"/>
      <c r="C210" s="122"/>
      <c r="D210" s="122"/>
      <c r="E210" s="122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  <c r="AA210" s="122"/>
      <c r="AB210" s="122"/>
    </row>
    <row r="211" spans="1:28" ht="15.75" customHeight="1" x14ac:dyDescent="0.2">
      <c r="A211" s="122"/>
      <c r="B211" s="122"/>
      <c r="C211" s="122"/>
      <c r="D211" s="122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  <c r="AA211" s="122"/>
      <c r="AB211" s="122"/>
    </row>
    <row r="212" spans="1:28" ht="15.75" customHeight="1" x14ac:dyDescent="0.2">
      <c r="A212" s="122"/>
      <c r="B212" s="122"/>
      <c r="C212" s="122"/>
      <c r="D212" s="122"/>
      <c r="E212" s="122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  <c r="AA212" s="122"/>
      <c r="AB212" s="122"/>
    </row>
    <row r="213" spans="1:28" ht="15.75" customHeight="1" x14ac:dyDescent="0.2">
      <c r="A213" s="122"/>
      <c r="B213" s="122"/>
      <c r="C213" s="122"/>
      <c r="D213" s="122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  <c r="AA213" s="122"/>
      <c r="AB213" s="122"/>
    </row>
    <row r="214" spans="1:28" ht="15.75" customHeight="1" x14ac:dyDescent="0.2">
      <c r="A214" s="122"/>
      <c r="B214" s="122"/>
      <c r="C214" s="122"/>
      <c r="D214" s="122"/>
      <c r="E214" s="122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  <c r="AA214" s="122"/>
      <c r="AB214" s="122"/>
    </row>
    <row r="215" spans="1:28" ht="15.75" customHeight="1" x14ac:dyDescent="0.2">
      <c r="A215" s="122"/>
      <c r="B215" s="122"/>
      <c r="C215" s="122"/>
      <c r="D215" s="122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  <c r="AA215" s="122"/>
      <c r="AB215" s="122"/>
    </row>
    <row r="216" spans="1:28" ht="15.75" customHeight="1" x14ac:dyDescent="0.2">
      <c r="A216" s="122"/>
      <c r="B216" s="122"/>
      <c r="C216" s="122"/>
      <c r="D216" s="122"/>
      <c r="E216" s="122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  <c r="AA216" s="122"/>
      <c r="AB216" s="122"/>
    </row>
    <row r="217" spans="1:28" ht="15.75" customHeight="1" x14ac:dyDescent="0.2">
      <c r="A217" s="122"/>
      <c r="B217" s="122"/>
      <c r="C217" s="122"/>
      <c r="D217" s="122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  <c r="AA217" s="122"/>
      <c r="AB217" s="122"/>
    </row>
    <row r="218" spans="1:28" ht="15.75" customHeight="1" x14ac:dyDescent="0.2">
      <c r="A218" s="122"/>
      <c r="B218" s="122"/>
      <c r="C218" s="122"/>
      <c r="D218" s="122"/>
      <c r="E218" s="122"/>
      <c r="F218" s="12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  <c r="AA218" s="122"/>
      <c r="AB218" s="122"/>
    </row>
    <row r="219" spans="1:28" ht="15.75" customHeight="1" x14ac:dyDescent="0.2">
      <c r="A219" s="122"/>
      <c r="B219" s="122"/>
      <c r="C219" s="122"/>
      <c r="D219" s="122"/>
      <c r="E219" s="122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  <c r="AA219" s="122"/>
      <c r="AB219" s="122"/>
    </row>
    <row r="220" spans="1:28" ht="15.75" customHeight="1" x14ac:dyDescent="0.2">
      <c r="A220" s="122"/>
      <c r="B220" s="122"/>
      <c r="C220" s="122"/>
      <c r="D220" s="122"/>
      <c r="E220" s="122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  <c r="AA220" s="122"/>
      <c r="AB220" s="122"/>
    </row>
    <row r="221" spans="1:28" ht="15.75" customHeight="1" x14ac:dyDescent="0.2">
      <c r="A221" s="122"/>
      <c r="B221" s="122"/>
      <c r="C221" s="122"/>
      <c r="D221" s="122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  <c r="AA221" s="122"/>
      <c r="AB221" s="122"/>
    </row>
    <row r="222" spans="1:28" ht="15.75" customHeight="1" x14ac:dyDescent="0.2">
      <c r="A222" s="122"/>
      <c r="B222" s="122"/>
      <c r="C222" s="122"/>
      <c r="D222" s="122"/>
      <c r="E222" s="122"/>
      <c r="F222" s="122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  <c r="AA222" s="122"/>
      <c r="AB222" s="122"/>
    </row>
    <row r="223" spans="1:28" ht="15.75" customHeight="1" x14ac:dyDescent="0.2">
      <c r="A223" s="122"/>
      <c r="B223" s="122"/>
      <c r="C223" s="122"/>
      <c r="D223" s="122"/>
      <c r="E223" s="122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  <c r="AA223" s="122"/>
      <c r="AB223" s="122"/>
    </row>
    <row r="224" spans="1:28" ht="15.75" customHeight="1" x14ac:dyDescent="0.2">
      <c r="A224" s="122"/>
      <c r="B224" s="122"/>
      <c r="C224" s="122"/>
      <c r="D224" s="122"/>
      <c r="E224" s="122"/>
      <c r="F224" s="122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  <c r="AA224" s="122"/>
      <c r="AB224" s="122"/>
    </row>
    <row r="225" spans="1:28" ht="15.75" customHeight="1" x14ac:dyDescent="0.2">
      <c r="A225" s="122"/>
      <c r="B225" s="122"/>
      <c r="C225" s="122"/>
      <c r="D225" s="122"/>
      <c r="E225" s="122"/>
      <c r="F225" s="12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  <c r="AA225" s="122"/>
      <c r="AB225" s="122"/>
    </row>
    <row r="226" spans="1:28" ht="15.75" customHeight="1" x14ac:dyDescent="0.2">
      <c r="A226" s="122"/>
      <c r="B226" s="122"/>
      <c r="C226" s="122"/>
      <c r="D226" s="122"/>
      <c r="E226" s="122"/>
      <c r="F226" s="12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  <c r="AA226" s="122"/>
      <c r="AB226" s="122"/>
    </row>
    <row r="227" spans="1:28" ht="15.75" customHeight="1" x14ac:dyDescent="0.2">
      <c r="A227" s="122"/>
      <c r="B227" s="122"/>
      <c r="C227" s="122"/>
      <c r="D227" s="122"/>
      <c r="E227" s="122"/>
      <c r="F227" s="12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  <c r="AA227" s="122"/>
      <c r="AB227" s="122"/>
    </row>
    <row r="228" spans="1:28" ht="15.75" customHeight="1" x14ac:dyDescent="0.2">
      <c r="A228" s="122"/>
      <c r="B228" s="122"/>
      <c r="C228" s="122"/>
      <c r="D228" s="122"/>
      <c r="E228" s="122"/>
      <c r="F228" s="122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  <c r="AA228" s="122"/>
      <c r="AB228" s="122"/>
    </row>
    <row r="229" spans="1:28" ht="15.75" customHeight="1" x14ac:dyDescent="0.2">
      <c r="A229" s="122"/>
      <c r="B229" s="122"/>
      <c r="C229" s="122"/>
      <c r="D229" s="122"/>
      <c r="E229" s="122"/>
      <c r="F229" s="12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  <c r="AA229" s="122"/>
      <c r="AB229" s="122"/>
    </row>
    <row r="230" spans="1:28" ht="15.75" customHeight="1" x14ac:dyDescent="0.2">
      <c r="A230" s="122"/>
      <c r="B230" s="122"/>
      <c r="C230" s="122"/>
      <c r="D230" s="122"/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  <c r="AA230" s="122"/>
      <c r="AB230" s="122"/>
    </row>
    <row r="231" spans="1:28" ht="15.75" customHeight="1" x14ac:dyDescent="0.2">
      <c r="A231" s="122"/>
      <c r="B231" s="122"/>
      <c r="C231" s="122"/>
      <c r="D231" s="122"/>
      <c r="E231" s="122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  <c r="AA231" s="122"/>
      <c r="AB231" s="122"/>
    </row>
    <row r="232" spans="1:28" ht="15.75" customHeight="1" x14ac:dyDescent="0.2">
      <c r="A232" s="122"/>
      <c r="B232" s="122"/>
      <c r="C232" s="122"/>
      <c r="D232" s="122"/>
      <c r="E232" s="122"/>
      <c r="F232" s="122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  <c r="AA232" s="122"/>
      <c r="AB232" s="122"/>
    </row>
    <row r="233" spans="1:28" ht="15.75" customHeight="1" x14ac:dyDescent="0.2">
      <c r="A233" s="122"/>
      <c r="B233" s="122"/>
      <c r="C233" s="122"/>
      <c r="D233" s="122"/>
      <c r="E233" s="122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  <c r="AA233" s="122"/>
      <c r="AB233" s="122"/>
    </row>
    <row r="234" spans="1:28" ht="15.75" customHeight="1" x14ac:dyDescent="0.2">
      <c r="A234" s="122"/>
      <c r="B234" s="122"/>
      <c r="C234" s="122"/>
      <c r="D234" s="122"/>
      <c r="E234" s="122"/>
      <c r="F234" s="122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  <c r="AA234" s="122"/>
      <c r="AB234" s="122"/>
    </row>
    <row r="235" spans="1:28" ht="15.75" customHeight="1" x14ac:dyDescent="0.2">
      <c r="A235" s="122"/>
      <c r="B235" s="122"/>
      <c r="C235" s="122"/>
      <c r="D235" s="122"/>
      <c r="E235" s="122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  <c r="AA235" s="122"/>
      <c r="AB235" s="122"/>
    </row>
    <row r="236" spans="1:28" ht="15.75" customHeight="1" x14ac:dyDescent="0.2">
      <c r="A236" s="122"/>
      <c r="B236" s="122"/>
      <c r="C236" s="122"/>
      <c r="D236" s="122"/>
      <c r="E236" s="122"/>
      <c r="F236" s="122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  <c r="AA236" s="122"/>
      <c r="AB236" s="122"/>
    </row>
    <row r="237" spans="1:28" ht="15.75" customHeight="1" x14ac:dyDescent="0.2">
      <c r="A237" s="122"/>
      <c r="B237" s="122"/>
      <c r="C237" s="122"/>
      <c r="D237" s="122"/>
      <c r="E237" s="122"/>
      <c r="F237" s="122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  <c r="AA237" s="122"/>
      <c r="AB237" s="122"/>
    </row>
    <row r="238" spans="1:28" ht="15.75" customHeight="1" x14ac:dyDescent="0.2">
      <c r="A238" s="122"/>
      <c r="B238" s="122"/>
      <c r="C238" s="122"/>
      <c r="D238" s="122"/>
      <c r="E238" s="122"/>
      <c r="F238" s="122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  <c r="AA238" s="122"/>
      <c r="AB238" s="122"/>
    </row>
    <row r="239" spans="1:28" ht="15.75" customHeight="1" x14ac:dyDescent="0.2">
      <c r="A239" s="122"/>
      <c r="B239" s="122"/>
      <c r="C239" s="122"/>
      <c r="D239" s="122"/>
      <c r="E239" s="122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  <c r="AA239" s="122"/>
      <c r="AB239" s="122"/>
    </row>
    <row r="240" spans="1:28" ht="15.75" customHeight="1" x14ac:dyDescent="0.2">
      <c r="A240" s="122"/>
      <c r="B240" s="122"/>
      <c r="C240" s="122"/>
      <c r="D240" s="122"/>
      <c r="E240" s="122"/>
      <c r="F240" s="122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  <c r="AA240" s="122"/>
      <c r="AB240" s="122"/>
    </row>
    <row r="241" spans="1:28" ht="15.75" customHeight="1" x14ac:dyDescent="0.2">
      <c r="A241" s="122"/>
      <c r="B241" s="122"/>
      <c r="C241" s="122"/>
      <c r="D241" s="122"/>
      <c r="E241" s="122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  <c r="AA241" s="122"/>
      <c r="AB241" s="122"/>
    </row>
    <row r="242" spans="1:28" ht="15.75" customHeight="1" x14ac:dyDescent="0.2">
      <c r="A242" s="122"/>
      <c r="B242" s="122"/>
      <c r="C242" s="122"/>
      <c r="D242" s="122"/>
      <c r="E242" s="122"/>
      <c r="F242" s="122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  <c r="AA242" s="122"/>
      <c r="AB242" s="122"/>
    </row>
    <row r="243" spans="1:28" ht="15.75" customHeight="1" x14ac:dyDescent="0.2">
      <c r="A243" s="122"/>
      <c r="B243" s="122"/>
      <c r="C243" s="122"/>
      <c r="D243" s="122"/>
      <c r="E243" s="122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  <c r="AA243" s="122"/>
      <c r="AB243" s="122"/>
    </row>
    <row r="244" spans="1:28" ht="15.75" customHeight="1" x14ac:dyDescent="0.2">
      <c r="A244" s="122"/>
      <c r="B244" s="122"/>
      <c r="C244" s="122"/>
      <c r="D244" s="122"/>
      <c r="E244" s="122"/>
      <c r="F244" s="122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  <c r="AA244" s="122"/>
      <c r="AB244" s="122"/>
    </row>
    <row r="245" spans="1:28" ht="15.75" customHeight="1" x14ac:dyDescent="0.2">
      <c r="A245" s="122"/>
      <c r="B245" s="122"/>
      <c r="C245" s="122"/>
      <c r="D245" s="122"/>
      <c r="E245" s="122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  <c r="AA245" s="122"/>
      <c r="AB245" s="122"/>
    </row>
    <row r="246" spans="1:28" ht="15.75" customHeight="1" x14ac:dyDescent="0.2">
      <c r="A246" s="122"/>
      <c r="B246" s="122"/>
      <c r="C246" s="122"/>
      <c r="D246" s="122"/>
      <c r="E246" s="122"/>
      <c r="F246" s="122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  <c r="AA246" s="122"/>
      <c r="AB246" s="122"/>
    </row>
    <row r="247" spans="1:28" ht="15.75" customHeight="1" x14ac:dyDescent="0.2">
      <c r="A247" s="122"/>
      <c r="B247" s="122"/>
      <c r="C247" s="122"/>
      <c r="D247" s="122"/>
      <c r="E247" s="122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  <c r="AA247" s="122"/>
      <c r="AB247" s="122"/>
    </row>
    <row r="248" spans="1:28" ht="15.75" customHeight="1" x14ac:dyDescent="0.2">
      <c r="A248" s="122"/>
      <c r="B248" s="122"/>
      <c r="C248" s="122"/>
      <c r="D248" s="122"/>
      <c r="E248" s="122"/>
      <c r="F248" s="122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  <c r="AA248" s="122"/>
      <c r="AB248" s="122"/>
    </row>
    <row r="249" spans="1:28" ht="15.75" customHeight="1" x14ac:dyDescent="0.2">
      <c r="A249" s="122"/>
      <c r="B249" s="122"/>
      <c r="C249" s="122"/>
      <c r="D249" s="122"/>
      <c r="E249" s="122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  <c r="AA249" s="122"/>
      <c r="AB249" s="122"/>
    </row>
    <row r="250" spans="1:28" ht="15.75" customHeight="1" x14ac:dyDescent="0.2">
      <c r="A250" s="122"/>
      <c r="B250" s="122"/>
      <c r="C250" s="122"/>
      <c r="D250" s="122"/>
      <c r="E250" s="122"/>
      <c r="F250" s="122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  <c r="AA250" s="122"/>
      <c r="AB250" s="122"/>
    </row>
    <row r="251" spans="1:28" ht="15.75" customHeight="1" x14ac:dyDescent="0.2">
      <c r="A251" s="122"/>
      <c r="B251" s="122"/>
      <c r="C251" s="122"/>
      <c r="D251" s="122"/>
      <c r="E251" s="122"/>
      <c r="F251" s="122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  <c r="AA251" s="122"/>
      <c r="AB251" s="122"/>
    </row>
    <row r="252" spans="1:28" ht="15.75" customHeight="1" x14ac:dyDescent="0.2">
      <c r="A252" s="122"/>
      <c r="B252" s="122"/>
      <c r="C252" s="122"/>
      <c r="D252" s="122"/>
      <c r="E252" s="122"/>
      <c r="F252" s="122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  <c r="AA252" s="122"/>
      <c r="AB252" s="122"/>
    </row>
    <row r="253" spans="1:28" ht="15.75" customHeight="1" x14ac:dyDescent="0.2">
      <c r="A253" s="122"/>
      <c r="B253" s="122"/>
      <c r="C253" s="122"/>
      <c r="D253" s="122"/>
      <c r="E253" s="122"/>
      <c r="F253" s="122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  <c r="AA253" s="122"/>
      <c r="AB253" s="122"/>
    </row>
    <row r="254" spans="1:28" ht="15.75" customHeight="1" x14ac:dyDescent="0.2">
      <c r="A254" s="122"/>
      <c r="B254" s="122"/>
      <c r="C254" s="122"/>
      <c r="D254" s="122"/>
      <c r="E254" s="122"/>
      <c r="F254" s="122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  <c r="AA254" s="122"/>
      <c r="AB254" s="122"/>
    </row>
    <row r="255" spans="1:28" ht="15.75" customHeight="1" x14ac:dyDescent="0.2">
      <c r="A255" s="122"/>
      <c r="B255" s="122"/>
      <c r="C255" s="122"/>
      <c r="D255" s="122"/>
      <c r="E255" s="122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  <c r="AA255" s="122"/>
      <c r="AB255" s="122"/>
    </row>
    <row r="256" spans="1:28" ht="15.75" customHeight="1" x14ac:dyDescent="0.2">
      <c r="A256" s="122"/>
      <c r="B256" s="122"/>
      <c r="C256" s="122"/>
      <c r="D256" s="122"/>
      <c r="E256" s="122"/>
      <c r="F256" s="122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  <c r="AA256" s="122"/>
      <c r="AB256" s="122"/>
    </row>
    <row r="257" spans="1:28" ht="15.75" customHeight="1" x14ac:dyDescent="0.2">
      <c r="A257" s="122"/>
      <c r="B257" s="122"/>
      <c r="C257" s="122"/>
      <c r="D257" s="122"/>
      <c r="E257" s="122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  <c r="AA257" s="122"/>
      <c r="AB257" s="122"/>
    </row>
    <row r="258" spans="1:28" ht="15.75" customHeight="1" x14ac:dyDescent="0.2">
      <c r="A258" s="122"/>
      <c r="B258" s="122"/>
      <c r="C258" s="122"/>
      <c r="D258" s="122"/>
      <c r="E258" s="122"/>
      <c r="F258" s="122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  <c r="AA258" s="122"/>
      <c r="AB258" s="122"/>
    </row>
    <row r="259" spans="1:28" ht="15.75" customHeight="1" x14ac:dyDescent="0.2">
      <c r="A259" s="122"/>
      <c r="B259" s="122"/>
      <c r="C259" s="122"/>
      <c r="D259" s="122"/>
      <c r="E259" s="122"/>
      <c r="F259" s="122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  <c r="AA259" s="122"/>
      <c r="AB259" s="122"/>
    </row>
    <row r="260" spans="1:28" ht="15.75" customHeight="1" x14ac:dyDescent="0.2">
      <c r="A260" s="122"/>
      <c r="B260" s="122"/>
      <c r="C260" s="122"/>
      <c r="D260" s="122"/>
      <c r="E260" s="122"/>
      <c r="F260" s="122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  <c r="AA260" s="122"/>
      <c r="AB260" s="122"/>
    </row>
    <row r="261" spans="1:28" ht="15.75" customHeight="1" x14ac:dyDescent="0.2">
      <c r="A261" s="122"/>
      <c r="B261" s="122"/>
      <c r="C261" s="122"/>
      <c r="D261" s="122"/>
      <c r="E261" s="122"/>
      <c r="F261" s="122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  <c r="AA261" s="122"/>
      <c r="AB261" s="122"/>
    </row>
    <row r="262" spans="1:28" ht="15.75" customHeight="1" x14ac:dyDescent="0.2">
      <c r="A262" s="122"/>
      <c r="B262" s="122"/>
      <c r="C262" s="122"/>
      <c r="D262" s="122"/>
      <c r="E262" s="122"/>
      <c r="F262" s="122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  <c r="AA262" s="122"/>
      <c r="AB262" s="122"/>
    </row>
    <row r="263" spans="1:28" ht="15.75" customHeight="1" x14ac:dyDescent="0.2">
      <c r="A263" s="122"/>
      <c r="B263" s="122"/>
      <c r="C263" s="122"/>
      <c r="D263" s="122"/>
      <c r="E263" s="122"/>
      <c r="F263" s="122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  <c r="AA263" s="122"/>
      <c r="AB263" s="122"/>
    </row>
    <row r="264" spans="1:28" ht="15.75" customHeight="1" x14ac:dyDescent="0.2">
      <c r="A264" s="122"/>
      <c r="B264" s="122"/>
      <c r="C264" s="122"/>
      <c r="D264" s="122"/>
      <c r="E264" s="122"/>
      <c r="F264" s="122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  <c r="AA264" s="122"/>
      <c r="AB264" s="122"/>
    </row>
    <row r="265" spans="1:28" ht="15.75" customHeight="1" x14ac:dyDescent="0.2">
      <c r="A265" s="122"/>
      <c r="B265" s="122"/>
      <c r="C265" s="122"/>
      <c r="D265" s="122"/>
      <c r="E265" s="122"/>
      <c r="F265" s="122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  <c r="AA265" s="122"/>
      <c r="AB265" s="122"/>
    </row>
    <row r="266" spans="1:28" ht="15.75" customHeight="1" x14ac:dyDescent="0.2">
      <c r="A266" s="122"/>
      <c r="B266" s="122"/>
      <c r="C266" s="122"/>
      <c r="D266" s="122"/>
      <c r="E266" s="122"/>
      <c r="F266" s="122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  <c r="AA266" s="122"/>
      <c r="AB266" s="122"/>
    </row>
    <row r="267" spans="1:28" ht="15.75" customHeight="1" x14ac:dyDescent="0.2">
      <c r="A267" s="122"/>
      <c r="B267" s="122"/>
      <c r="C267" s="122"/>
      <c r="D267" s="122"/>
      <c r="E267" s="122"/>
      <c r="F267" s="122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  <c r="AA267" s="122"/>
      <c r="AB267" s="122"/>
    </row>
    <row r="268" spans="1:28" ht="15.75" customHeight="1" x14ac:dyDescent="0.2">
      <c r="A268" s="122"/>
      <c r="B268" s="122"/>
      <c r="C268" s="122"/>
      <c r="D268" s="122"/>
      <c r="E268" s="122"/>
      <c r="F268" s="122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  <c r="AA268" s="122"/>
      <c r="AB268" s="122"/>
    </row>
    <row r="269" spans="1:28" ht="15.75" customHeight="1" x14ac:dyDescent="0.2">
      <c r="A269" s="122"/>
      <c r="B269" s="122"/>
      <c r="C269" s="122"/>
      <c r="D269" s="122"/>
      <c r="E269" s="122"/>
      <c r="F269" s="122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  <c r="AA269" s="122"/>
      <c r="AB269" s="122"/>
    </row>
    <row r="270" spans="1:28" ht="15.75" customHeight="1" x14ac:dyDescent="0.2">
      <c r="A270" s="122"/>
      <c r="B270" s="122"/>
      <c r="C270" s="122"/>
      <c r="D270" s="122"/>
      <c r="E270" s="122"/>
      <c r="F270" s="122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  <c r="AA270" s="122"/>
      <c r="AB270" s="122"/>
    </row>
    <row r="271" spans="1:28" ht="15.75" customHeight="1" x14ac:dyDescent="0.2">
      <c r="A271" s="122"/>
      <c r="B271" s="122"/>
      <c r="C271" s="122"/>
      <c r="D271" s="122"/>
      <c r="E271" s="122"/>
      <c r="F271" s="122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  <c r="AA271" s="122"/>
      <c r="AB271" s="122"/>
    </row>
    <row r="272" spans="1:28" ht="15.75" customHeight="1" x14ac:dyDescent="0.2">
      <c r="A272" s="122"/>
      <c r="B272" s="122"/>
      <c r="C272" s="122"/>
      <c r="D272" s="122"/>
      <c r="E272" s="122"/>
      <c r="F272" s="122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  <c r="AA272" s="122"/>
      <c r="AB272" s="122"/>
    </row>
    <row r="273" spans="1:28" ht="15.75" customHeight="1" x14ac:dyDescent="0.2">
      <c r="A273" s="122"/>
      <c r="B273" s="122"/>
      <c r="C273" s="122"/>
      <c r="D273" s="122"/>
      <c r="E273" s="122"/>
      <c r="F273" s="122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  <c r="AA273" s="122"/>
      <c r="AB273" s="122"/>
    </row>
    <row r="274" spans="1:28" ht="15.75" customHeight="1" x14ac:dyDescent="0.2">
      <c r="A274" s="122"/>
      <c r="B274" s="122"/>
      <c r="C274" s="122"/>
      <c r="D274" s="122"/>
      <c r="E274" s="122"/>
      <c r="F274" s="122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  <c r="AA274" s="122"/>
      <c r="AB274" s="122"/>
    </row>
    <row r="275" spans="1:28" ht="15.75" customHeight="1" x14ac:dyDescent="0.2">
      <c r="A275" s="122"/>
      <c r="B275" s="122"/>
      <c r="C275" s="122"/>
      <c r="D275" s="122"/>
      <c r="E275" s="122"/>
      <c r="F275" s="122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  <c r="AA275" s="122"/>
      <c r="AB275" s="122"/>
    </row>
    <row r="276" spans="1:28" ht="15.75" customHeight="1" x14ac:dyDescent="0.2">
      <c r="A276" s="122"/>
      <c r="B276" s="122"/>
      <c r="C276" s="122"/>
      <c r="D276" s="122"/>
      <c r="E276" s="122"/>
      <c r="F276" s="122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  <c r="AA276" s="122"/>
      <c r="AB276" s="122"/>
    </row>
    <row r="277" spans="1:28" ht="15.75" customHeight="1" x14ac:dyDescent="0.2">
      <c r="A277" s="122"/>
      <c r="B277" s="122"/>
      <c r="C277" s="122"/>
      <c r="D277" s="122"/>
      <c r="E277" s="122"/>
      <c r="F277" s="122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  <c r="AA277" s="122"/>
      <c r="AB277" s="122"/>
    </row>
    <row r="278" spans="1:28" ht="15.75" customHeight="1" x14ac:dyDescent="0.2">
      <c r="A278" s="122"/>
      <c r="B278" s="122"/>
      <c r="C278" s="122"/>
      <c r="D278" s="122"/>
      <c r="E278" s="122"/>
      <c r="F278" s="122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  <c r="AA278" s="122"/>
      <c r="AB278" s="122"/>
    </row>
    <row r="279" spans="1:28" ht="15.75" customHeight="1" x14ac:dyDescent="0.2">
      <c r="A279" s="122"/>
      <c r="B279" s="122"/>
      <c r="C279" s="122"/>
      <c r="D279" s="122"/>
      <c r="E279" s="122"/>
      <c r="F279" s="122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  <c r="AA279" s="122"/>
      <c r="AB279" s="122"/>
    </row>
    <row r="280" spans="1:28" ht="15.75" customHeight="1" x14ac:dyDescent="0.2">
      <c r="A280" s="122"/>
      <c r="B280" s="122"/>
      <c r="C280" s="122"/>
      <c r="D280" s="122"/>
      <c r="E280" s="122"/>
      <c r="F280" s="122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  <c r="AA280" s="122"/>
      <c r="AB280" s="122"/>
    </row>
    <row r="281" spans="1:28" ht="15.75" customHeight="1" x14ac:dyDescent="0.2">
      <c r="A281" s="122"/>
      <c r="B281" s="122"/>
      <c r="C281" s="122"/>
      <c r="D281" s="122"/>
      <c r="E281" s="122"/>
      <c r="F281" s="122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  <c r="AA281" s="122"/>
      <c r="AB281" s="122"/>
    </row>
    <row r="282" spans="1:28" ht="15.75" customHeight="1" x14ac:dyDescent="0.2">
      <c r="A282" s="122"/>
      <c r="B282" s="122"/>
      <c r="C282" s="122"/>
      <c r="D282" s="122"/>
      <c r="E282" s="122"/>
      <c r="F282" s="122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  <c r="AA282" s="122"/>
      <c r="AB282" s="122"/>
    </row>
    <row r="283" spans="1:28" ht="15.75" customHeight="1" x14ac:dyDescent="0.2">
      <c r="A283" s="122"/>
      <c r="B283" s="122"/>
      <c r="C283" s="122"/>
      <c r="D283" s="122"/>
      <c r="E283" s="122"/>
      <c r="F283" s="122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  <c r="AA283" s="122"/>
      <c r="AB283" s="122"/>
    </row>
    <row r="284" spans="1:28" ht="15.75" customHeight="1" x14ac:dyDescent="0.2">
      <c r="A284" s="122"/>
      <c r="B284" s="122"/>
      <c r="C284" s="122"/>
      <c r="D284" s="122"/>
      <c r="E284" s="122"/>
      <c r="F284" s="122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  <c r="AA284" s="122"/>
      <c r="AB284" s="122"/>
    </row>
    <row r="285" spans="1:28" ht="15.75" customHeight="1" x14ac:dyDescent="0.2">
      <c r="A285" s="122"/>
      <c r="B285" s="122"/>
      <c r="C285" s="122"/>
      <c r="D285" s="122"/>
      <c r="E285" s="122"/>
      <c r="F285" s="122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  <c r="AA285" s="122"/>
      <c r="AB285" s="122"/>
    </row>
    <row r="286" spans="1:28" ht="15.75" customHeight="1" x14ac:dyDescent="0.2">
      <c r="A286" s="122"/>
      <c r="B286" s="122"/>
      <c r="C286" s="122"/>
      <c r="D286" s="122"/>
      <c r="E286" s="122"/>
      <c r="F286" s="122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  <c r="AA286" s="122"/>
      <c r="AB286" s="122"/>
    </row>
    <row r="287" spans="1:28" ht="15.75" customHeight="1" x14ac:dyDescent="0.2">
      <c r="A287" s="122"/>
      <c r="B287" s="122"/>
      <c r="C287" s="122"/>
      <c r="D287" s="122"/>
      <c r="E287" s="122"/>
      <c r="F287" s="122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  <c r="AA287" s="122"/>
      <c r="AB287" s="122"/>
    </row>
    <row r="288" spans="1:28" ht="15.75" customHeight="1" x14ac:dyDescent="0.2">
      <c r="A288" s="122"/>
      <c r="B288" s="122"/>
      <c r="C288" s="122"/>
      <c r="D288" s="122"/>
      <c r="E288" s="122"/>
      <c r="F288" s="122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  <c r="AA288" s="122"/>
      <c r="AB288" s="122"/>
    </row>
    <row r="289" spans="1:28" ht="15.75" customHeight="1" x14ac:dyDescent="0.2">
      <c r="A289" s="122"/>
      <c r="B289" s="122"/>
      <c r="C289" s="122"/>
      <c r="D289" s="122"/>
      <c r="E289" s="122"/>
      <c r="F289" s="122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  <c r="AA289" s="122"/>
      <c r="AB289" s="122"/>
    </row>
    <row r="290" spans="1:28" ht="15.75" customHeight="1" x14ac:dyDescent="0.2">
      <c r="A290" s="122"/>
      <c r="B290" s="122"/>
      <c r="C290" s="122"/>
      <c r="D290" s="122"/>
      <c r="E290" s="122"/>
      <c r="F290" s="122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  <c r="AA290" s="122"/>
      <c r="AB290" s="122"/>
    </row>
    <row r="291" spans="1:28" ht="15.75" customHeight="1" x14ac:dyDescent="0.2">
      <c r="A291" s="122"/>
      <c r="B291" s="122"/>
      <c r="C291" s="122"/>
      <c r="D291" s="122"/>
      <c r="E291" s="122"/>
      <c r="F291" s="122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  <c r="AA291" s="122"/>
      <c r="AB291" s="122"/>
    </row>
    <row r="292" spans="1:28" ht="15.75" customHeight="1" x14ac:dyDescent="0.2">
      <c r="A292" s="122"/>
      <c r="B292" s="122"/>
      <c r="C292" s="122"/>
      <c r="D292" s="122"/>
      <c r="E292" s="122"/>
      <c r="F292" s="122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  <c r="AA292" s="122"/>
      <c r="AB292" s="122"/>
    </row>
    <row r="293" spans="1:28" ht="15.75" customHeight="1" x14ac:dyDescent="0.2">
      <c r="A293" s="122"/>
      <c r="B293" s="122"/>
      <c r="C293" s="122"/>
      <c r="D293" s="122"/>
      <c r="E293" s="122"/>
      <c r="F293" s="122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  <c r="AA293" s="122"/>
      <c r="AB293" s="122"/>
    </row>
    <row r="294" spans="1:28" ht="15.75" customHeight="1" x14ac:dyDescent="0.2">
      <c r="A294" s="122"/>
      <c r="B294" s="122"/>
      <c r="C294" s="122"/>
      <c r="D294" s="122"/>
      <c r="E294" s="122"/>
      <c r="F294" s="122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  <c r="AA294" s="122"/>
      <c r="AB294" s="122"/>
    </row>
    <row r="295" spans="1:28" ht="15.75" customHeight="1" x14ac:dyDescent="0.2">
      <c r="A295" s="122"/>
      <c r="B295" s="122"/>
      <c r="C295" s="122"/>
      <c r="D295" s="122"/>
      <c r="E295" s="122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  <c r="AA295" s="122"/>
      <c r="AB295" s="122"/>
    </row>
    <row r="296" spans="1:28" ht="15.75" customHeight="1" x14ac:dyDescent="0.2">
      <c r="A296" s="122"/>
      <c r="B296" s="122"/>
      <c r="C296" s="122"/>
      <c r="D296" s="122"/>
      <c r="E296" s="122"/>
      <c r="F296" s="122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  <c r="AA296" s="122"/>
      <c r="AB296" s="122"/>
    </row>
    <row r="297" spans="1:28" ht="15.75" customHeight="1" x14ac:dyDescent="0.2">
      <c r="A297" s="122"/>
      <c r="B297" s="122"/>
      <c r="C297" s="122"/>
      <c r="D297" s="122"/>
      <c r="E297" s="122"/>
      <c r="F297" s="122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  <c r="AA297" s="122"/>
      <c r="AB297" s="122"/>
    </row>
    <row r="298" spans="1:28" ht="15.75" customHeight="1" x14ac:dyDescent="0.2">
      <c r="A298" s="122"/>
      <c r="B298" s="122"/>
      <c r="C298" s="122"/>
      <c r="D298" s="122"/>
      <c r="E298" s="122"/>
      <c r="F298" s="122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  <c r="AA298" s="122"/>
      <c r="AB298" s="122"/>
    </row>
    <row r="299" spans="1:28" ht="15.75" customHeight="1" x14ac:dyDescent="0.2">
      <c r="A299" s="122"/>
      <c r="B299" s="122"/>
      <c r="C299" s="122"/>
      <c r="D299" s="122"/>
      <c r="E299" s="122"/>
      <c r="F299" s="122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  <c r="AA299" s="122"/>
      <c r="AB299" s="122"/>
    </row>
    <row r="300" spans="1:28" ht="15.75" customHeight="1" x14ac:dyDescent="0.2">
      <c r="A300" s="122"/>
      <c r="B300" s="122"/>
      <c r="C300" s="122"/>
      <c r="D300" s="122"/>
      <c r="E300" s="122"/>
      <c r="F300" s="122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  <c r="AA300" s="122"/>
      <c r="AB300" s="122"/>
    </row>
    <row r="301" spans="1:28" ht="15.75" customHeight="1" x14ac:dyDescent="0.2">
      <c r="A301" s="122"/>
      <c r="B301" s="122"/>
      <c r="C301" s="122"/>
      <c r="D301" s="122"/>
      <c r="E301" s="122"/>
      <c r="F301" s="122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  <c r="AA301" s="122"/>
      <c r="AB301" s="122"/>
    </row>
    <row r="302" spans="1:28" ht="15.75" customHeight="1" x14ac:dyDescent="0.2">
      <c r="A302" s="122"/>
      <c r="B302" s="122"/>
      <c r="C302" s="122"/>
      <c r="D302" s="122"/>
      <c r="E302" s="122"/>
      <c r="F302" s="122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  <c r="AA302" s="122"/>
      <c r="AB302" s="122"/>
    </row>
    <row r="303" spans="1:28" ht="15.75" customHeight="1" x14ac:dyDescent="0.2">
      <c r="A303" s="122"/>
      <c r="B303" s="122"/>
      <c r="C303" s="122"/>
      <c r="D303" s="122"/>
      <c r="E303" s="122"/>
      <c r="F303" s="122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  <c r="AA303" s="122"/>
      <c r="AB303" s="122"/>
    </row>
    <row r="304" spans="1:28" ht="15.75" customHeight="1" x14ac:dyDescent="0.2">
      <c r="A304" s="122"/>
      <c r="B304" s="122"/>
      <c r="C304" s="122"/>
      <c r="D304" s="122"/>
      <c r="E304" s="122"/>
      <c r="F304" s="122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  <c r="AA304" s="122"/>
      <c r="AB304" s="122"/>
    </row>
    <row r="305" spans="1:28" ht="15.75" customHeight="1" x14ac:dyDescent="0.2">
      <c r="A305" s="122"/>
      <c r="B305" s="122"/>
      <c r="C305" s="122"/>
      <c r="D305" s="122"/>
      <c r="E305" s="122"/>
      <c r="F305" s="122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  <c r="AA305" s="122"/>
      <c r="AB305" s="122"/>
    </row>
    <row r="306" spans="1:28" ht="15.75" customHeight="1" x14ac:dyDescent="0.2">
      <c r="A306" s="122"/>
      <c r="B306" s="122"/>
      <c r="C306" s="122"/>
      <c r="D306" s="122"/>
      <c r="E306" s="122"/>
      <c r="F306" s="122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  <c r="AA306" s="122"/>
      <c r="AB306" s="122"/>
    </row>
    <row r="307" spans="1:28" ht="15.75" customHeight="1" x14ac:dyDescent="0.2">
      <c r="A307" s="122"/>
      <c r="B307" s="122"/>
      <c r="C307" s="122"/>
      <c r="D307" s="122"/>
      <c r="E307" s="122"/>
      <c r="F307" s="122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  <c r="AA307" s="122"/>
      <c r="AB307" s="122"/>
    </row>
    <row r="308" spans="1:28" ht="15.75" customHeight="1" x14ac:dyDescent="0.2">
      <c r="A308" s="122"/>
      <c r="B308" s="122"/>
      <c r="C308" s="122"/>
      <c r="D308" s="122"/>
      <c r="E308" s="122"/>
      <c r="F308" s="122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  <c r="AA308" s="122"/>
      <c r="AB308" s="122"/>
    </row>
    <row r="309" spans="1:28" ht="15.75" customHeight="1" x14ac:dyDescent="0.2">
      <c r="A309" s="122"/>
      <c r="B309" s="122"/>
      <c r="C309" s="122"/>
      <c r="D309" s="122"/>
      <c r="E309" s="122"/>
      <c r="F309" s="122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  <c r="AA309" s="122"/>
      <c r="AB309" s="122"/>
    </row>
    <row r="310" spans="1:28" ht="15.75" customHeight="1" x14ac:dyDescent="0.2">
      <c r="A310" s="122"/>
      <c r="B310" s="122"/>
      <c r="C310" s="122"/>
      <c r="D310" s="122"/>
      <c r="E310" s="122"/>
      <c r="F310" s="122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  <c r="AA310" s="122"/>
      <c r="AB310" s="122"/>
    </row>
    <row r="311" spans="1:28" ht="15.75" customHeight="1" x14ac:dyDescent="0.2">
      <c r="A311" s="122"/>
      <c r="B311" s="122"/>
      <c r="C311" s="122"/>
      <c r="D311" s="122"/>
      <c r="E311" s="122"/>
      <c r="F311" s="122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  <c r="AA311" s="122"/>
      <c r="AB311" s="122"/>
    </row>
    <row r="312" spans="1:28" ht="15.75" customHeight="1" x14ac:dyDescent="0.2">
      <c r="A312" s="122"/>
      <c r="B312" s="122"/>
      <c r="C312" s="122"/>
      <c r="D312" s="122"/>
      <c r="E312" s="122"/>
      <c r="F312" s="122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  <c r="AA312" s="122"/>
      <c r="AB312" s="122"/>
    </row>
    <row r="313" spans="1:28" ht="15.75" customHeight="1" x14ac:dyDescent="0.2">
      <c r="A313" s="122"/>
      <c r="B313" s="122"/>
      <c r="C313" s="122"/>
      <c r="D313" s="122"/>
      <c r="E313" s="122"/>
      <c r="F313" s="122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  <c r="AA313" s="122"/>
      <c r="AB313" s="122"/>
    </row>
    <row r="314" spans="1:28" ht="15.75" customHeight="1" x14ac:dyDescent="0.2">
      <c r="A314" s="122"/>
      <c r="B314" s="122"/>
      <c r="C314" s="122"/>
      <c r="D314" s="122"/>
      <c r="E314" s="122"/>
      <c r="F314" s="122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  <c r="AA314" s="122"/>
      <c r="AB314" s="122"/>
    </row>
    <row r="315" spans="1:28" ht="15.75" customHeight="1" x14ac:dyDescent="0.2">
      <c r="A315" s="122"/>
      <c r="B315" s="122"/>
      <c r="C315" s="122"/>
      <c r="D315" s="122"/>
      <c r="E315" s="122"/>
      <c r="F315" s="122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  <c r="AA315" s="122"/>
      <c r="AB315" s="122"/>
    </row>
    <row r="316" spans="1:28" ht="15.75" customHeight="1" x14ac:dyDescent="0.2">
      <c r="A316" s="122"/>
      <c r="B316" s="122"/>
      <c r="C316" s="122"/>
      <c r="D316" s="122"/>
      <c r="E316" s="122"/>
      <c r="F316" s="122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  <c r="AA316" s="122"/>
      <c r="AB316" s="122"/>
    </row>
    <row r="317" spans="1:28" ht="15.75" customHeight="1" x14ac:dyDescent="0.2">
      <c r="A317" s="122"/>
      <c r="B317" s="122"/>
      <c r="C317" s="122"/>
      <c r="D317" s="122"/>
      <c r="E317" s="122"/>
      <c r="F317" s="122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  <c r="AA317" s="122"/>
      <c r="AB317" s="122"/>
    </row>
    <row r="318" spans="1:28" ht="15.75" customHeight="1" x14ac:dyDescent="0.2">
      <c r="A318" s="122"/>
      <c r="B318" s="122"/>
      <c r="C318" s="122"/>
      <c r="D318" s="122"/>
      <c r="E318" s="122"/>
      <c r="F318" s="122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  <c r="AA318" s="122"/>
      <c r="AB318" s="122"/>
    </row>
    <row r="319" spans="1:28" ht="15.75" customHeight="1" x14ac:dyDescent="0.2">
      <c r="A319" s="122"/>
      <c r="B319" s="122"/>
      <c r="C319" s="122"/>
      <c r="D319" s="122"/>
      <c r="E319" s="122"/>
      <c r="F319" s="122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  <c r="AA319" s="122"/>
      <c r="AB319" s="122"/>
    </row>
    <row r="320" spans="1:28" ht="15.75" customHeight="1" x14ac:dyDescent="0.2">
      <c r="A320" s="122"/>
      <c r="B320" s="122"/>
      <c r="C320" s="122"/>
      <c r="D320" s="122"/>
      <c r="E320" s="122"/>
      <c r="F320" s="122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  <c r="AA320" s="122"/>
      <c r="AB320" s="122"/>
    </row>
    <row r="321" spans="1:28" ht="15.75" customHeight="1" x14ac:dyDescent="0.2">
      <c r="A321" s="122"/>
      <c r="B321" s="122"/>
      <c r="C321" s="122"/>
      <c r="D321" s="122"/>
      <c r="E321" s="122"/>
      <c r="F321" s="122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  <c r="AA321" s="122"/>
      <c r="AB321" s="122"/>
    </row>
    <row r="322" spans="1:28" ht="15.75" customHeight="1" x14ac:dyDescent="0.2">
      <c r="A322" s="122"/>
      <c r="B322" s="122"/>
      <c r="C322" s="122"/>
      <c r="D322" s="122"/>
      <c r="E322" s="122"/>
      <c r="F322" s="122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  <c r="AA322" s="122"/>
      <c r="AB322" s="122"/>
    </row>
    <row r="323" spans="1:28" ht="15.75" customHeight="1" x14ac:dyDescent="0.2">
      <c r="A323" s="122"/>
      <c r="B323" s="122"/>
      <c r="C323" s="122"/>
      <c r="D323" s="122"/>
      <c r="E323" s="122"/>
      <c r="F323" s="122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  <c r="AA323" s="122"/>
      <c r="AB323" s="122"/>
    </row>
    <row r="324" spans="1:28" ht="15.75" customHeight="1" x14ac:dyDescent="0.2">
      <c r="A324" s="122"/>
      <c r="B324" s="122"/>
      <c r="C324" s="122"/>
      <c r="D324" s="122"/>
      <c r="E324" s="122"/>
      <c r="F324" s="122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  <c r="AA324" s="122"/>
      <c r="AB324" s="122"/>
    </row>
    <row r="325" spans="1:28" ht="15.75" customHeight="1" x14ac:dyDescent="0.2">
      <c r="A325" s="122"/>
      <c r="B325" s="122"/>
      <c r="C325" s="122"/>
      <c r="D325" s="122"/>
      <c r="E325" s="122"/>
      <c r="F325" s="122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  <c r="AA325" s="122"/>
      <c r="AB325" s="122"/>
    </row>
    <row r="326" spans="1:28" ht="15.75" customHeight="1" x14ac:dyDescent="0.2">
      <c r="A326" s="122"/>
      <c r="B326" s="122"/>
      <c r="C326" s="122"/>
      <c r="D326" s="122"/>
      <c r="E326" s="122"/>
      <c r="F326" s="122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  <c r="AA326" s="122"/>
      <c r="AB326" s="122"/>
    </row>
    <row r="327" spans="1:28" ht="15.75" customHeight="1" x14ac:dyDescent="0.2">
      <c r="A327" s="122"/>
      <c r="B327" s="122"/>
      <c r="C327" s="122"/>
      <c r="D327" s="122"/>
      <c r="E327" s="122"/>
      <c r="F327" s="122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  <c r="AA327" s="122"/>
      <c r="AB327" s="122"/>
    </row>
    <row r="328" spans="1:28" ht="15.75" customHeight="1" x14ac:dyDescent="0.2">
      <c r="A328" s="122"/>
      <c r="B328" s="122"/>
      <c r="C328" s="122"/>
      <c r="D328" s="122"/>
      <c r="E328" s="122"/>
      <c r="F328" s="122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  <c r="AA328" s="122"/>
      <c r="AB328" s="122"/>
    </row>
    <row r="329" spans="1:28" ht="15.75" customHeight="1" x14ac:dyDescent="0.2">
      <c r="A329" s="122"/>
      <c r="B329" s="122"/>
      <c r="C329" s="122"/>
      <c r="D329" s="122"/>
      <c r="E329" s="122"/>
      <c r="F329" s="122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  <c r="AA329" s="122"/>
      <c r="AB329" s="122"/>
    </row>
    <row r="330" spans="1:28" ht="15.75" customHeight="1" x14ac:dyDescent="0.2">
      <c r="A330" s="122"/>
      <c r="B330" s="122"/>
      <c r="C330" s="122"/>
      <c r="D330" s="122"/>
      <c r="E330" s="122"/>
      <c r="F330" s="122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  <c r="AA330" s="122"/>
      <c r="AB330" s="122"/>
    </row>
    <row r="331" spans="1:28" ht="15.75" customHeight="1" x14ac:dyDescent="0.2">
      <c r="A331" s="122"/>
      <c r="B331" s="122"/>
      <c r="C331" s="122"/>
      <c r="D331" s="122"/>
      <c r="E331" s="122"/>
      <c r="F331" s="122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  <c r="AA331" s="122"/>
      <c r="AB331" s="122"/>
    </row>
    <row r="332" spans="1:28" ht="15.75" customHeight="1" x14ac:dyDescent="0.2">
      <c r="A332" s="122"/>
      <c r="B332" s="122"/>
      <c r="C332" s="122"/>
      <c r="D332" s="122"/>
      <c r="E332" s="122"/>
      <c r="F332" s="122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  <c r="AA332" s="122"/>
      <c r="AB332" s="122"/>
    </row>
    <row r="333" spans="1:28" ht="15.75" customHeight="1" x14ac:dyDescent="0.2">
      <c r="A333" s="122"/>
      <c r="B333" s="122"/>
      <c r="C333" s="122"/>
      <c r="D333" s="122"/>
      <c r="E333" s="122"/>
      <c r="F333" s="122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  <c r="AA333" s="122"/>
      <c r="AB333" s="122"/>
    </row>
    <row r="334" spans="1:28" ht="15.75" customHeight="1" x14ac:dyDescent="0.2">
      <c r="A334" s="122"/>
      <c r="B334" s="122"/>
      <c r="C334" s="122"/>
      <c r="D334" s="122"/>
      <c r="E334" s="122"/>
      <c r="F334" s="122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  <c r="AA334" s="122"/>
      <c r="AB334" s="122"/>
    </row>
    <row r="335" spans="1:28" ht="15.75" customHeight="1" x14ac:dyDescent="0.2">
      <c r="A335" s="122"/>
      <c r="B335" s="122"/>
      <c r="C335" s="122"/>
      <c r="D335" s="122"/>
      <c r="E335" s="122"/>
      <c r="F335" s="122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  <c r="AA335" s="122"/>
      <c r="AB335" s="122"/>
    </row>
    <row r="336" spans="1:28" ht="15.75" customHeight="1" x14ac:dyDescent="0.2">
      <c r="A336" s="122"/>
      <c r="B336" s="122"/>
      <c r="C336" s="122"/>
      <c r="D336" s="122"/>
      <c r="E336" s="122"/>
      <c r="F336" s="122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  <c r="AA336" s="122"/>
      <c r="AB336" s="122"/>
    </row>
    <row r="337" spans="1:28" ht="15.75" customHeight="1" x14ac:dyDescent="0.2">
      <c r="A337" s="122"/>
      <c r="B337" s="122"/>
      <c r="C337" s="122"/>
      <c r="D337" s="122"/>
      <c r="E337" s="122"/>
      <c r="F337" s="122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  <c r="AA337" s="122"/>
      <c r="AB337" s="122"/>
    </row>
    <row r="338" spans="1:28" ht="15.75" customHeight="1" x14ac:dyDescent="0.2">
      <c r="A338" s="122"/>
      <c r="B338" s="122"/>
      <c r="C338" s="122"/>
      <c r="D338" s="122"/>
      <c r="E338" s="122"/>
      <c r="F338" s="122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  <c r="AA338" s="122"/>
      <c r="AB338" s="122"/>
    </row>
    <row r="339" spans="1:28" ht="15.75" customHeight="1" x14ac:dyDescent="0.2">
      <c r="A339" s="122"/>
      <c r="B339" s="122"/>
      <c r="C339" s="122"/>
      <c r="D339" s="122"/>
      <c r="E339" s="122"/>
      <c r="F339" s="122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  <c r="AA339" s="122"/>
      <c r="AB339" s="122"/>
    </row>
    <row r="340" spans="1:28" ht="15.75" customHeight="1" x14ac:dyDescent="0.2">
      <c r="A340" s="122"/>
      <c r="B340" s="122"/>
      <c r="C340" s="122"/>
      <c r="D340" s="122"/>
      <c r="E340" s="122"/>
      <c r="F340" s="122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  <c r="AA340" s="122"/>
      <c r="AB340" s="122"/>
    </row>
    <row r="341" spans="1:28" ht="15.75" customHeight="1" x14ac:dyDescent="0.2">
      <c r="A341" s="122"/>
      <c r="B341" s="122"/>
      <c r="C341" s="122"/>
      <c r="D341" s="122"/>
      <c r="E341" s="122"/>
      <c r="F341" s="122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  <c r="AA341" s="122"/>
      <c r="AB341" s="122"/>
    </row>
    <row r="342" spans="1:28" ht="15.75" customHeight="1" x14ac:dyDescent="0.2">
      <c r="A342" s="122"/>
      <c r="B342" s="122"/>
      <c r="C342" s="122"/>
      <c r="D342" s="122"/>
      <c r="E342" s="122"/>
      <c r="F342" s="122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  <c r="AA342" s="122"/>
      <c r="AB342" s="122"/>
    </row>
    <row r="343" spans="1:28" ht="15.75" customHeight="1" x14ac:dyDescent="0.2">
      <c r="A343" s="122"/>
      <c r="B343" s="122"/>
      <c r="C343" s="122"/>
      <c r="D343" s="122"/>
      <c r="E343" s="122"/>
      <c r="F343" s="122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  <c r="AA343" s="122"/>
      <c r="AB343" s="122"/>
    </row>
    <row r="344" spans="1:28" ht="15.75" customHeight="1" x14ac:dyDescent="0.2">
      <c r="A344" s="122"/>
      <c r="B344" s="122"/>
      <c r="C344" s="122"/>
      <c r="D344" s="122"/>
      <c r="E344" s="122"/>
      <c r="F344" s="122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  <c r="AA344" s="122"/>
      <c r="AB344" s="122"/>
    </row>
    <row r="345" spans="1:28" ht="15.75" customHeight="1" x14ac:dyDescent="0.2">
      <c r="A345" s="122"/>
      <c r="B345" s="122"/>
      <c r="C345" s="122"/>
      <c r="D345" s="122"/>
      <c r="E345" s="122"/>
      <c r="F345" s="122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  <c r="AA345" s="122"/>
      <c r="AB345" s="122"/>
    </row>
    <row r="346" spans="1:28" ht="15.75" customHeight="1" x14ac:dyDescent="0.2">
      <c r="A346" s="122"/>
      <c r="B346" s="122"/>
      <c r="C346" s="122"/>
      <c r="D346" s="122"/>
      <c r="E346" s="122"/>
      <c r="F346" s="122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  <c r="AA346" s="122"/>
      <c r="AB346" s="122"/>
    </row>
    <row r="347" spans="1:28" ht="15.75" customHeight="1" x14ac:dyDescent="0.2">
      <c r="A347" s="122"/>
      <c r="B347" s="122"/>
      <c r="C347" s="122"/>
      <c r="D347" s="122"/>
      <c r="E347" s="122"/>
      <c r="F347" s="122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  <c r="AA347" s="122"/>
      <c r="AB347" s="122"/>
    </row>
    <row r="348" spans="1:28" ht="15.75" customHeight="1" x14ac:dyDescent="0.2">
      <c r="A348" s="122"/>
      <c r="B348" s="122"/>
      <c r="C348" s="122"/>
      <c r="D348" s="122"/>
      <c r="E348" s="122"/>
      <c r="F348" s="122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  <c r="AA348" s="122"/>
      <c r="AB348" s="122"/>
    </row>
    <row r="349" spans="1:28" ht="15.75" customHeight="1" x14ac:dyDescent="0.2">
      <c r="A349" s="122"/>
      <c r="B349" s="122"/>
      <c r="C349" s="122"/>
      <c r="D349" s="122"/>
      <c r="E349" s="122"/>
      <c r="F349" s="122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  <c r="AA349" s="122"/>
      <c r="AB349" s="122"/>
    </row>
    <row r="350" spans="1:28" ht="15.75" customHeight="1" x14ac:dyDescent="0.2">
      <c r="A350" s="122"/>
      <c r="B350" s="122"/>
      <c r="C350" s="122"/>
      <c r="D350" s="122"/>
      <c r="E350" s="122"/>
      <c r="F350" s="122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  <c r="AA350" s="122"/>
      <c r="AB350" s="122"/>
    </row>
    <row r="351" spans="1:28" ht="15.75" customHeight="1" x14ac:dyDescent="0.2">
      <c r="A351" s="122"/>
      <c r="B351" s="122"/>
      <c r="C351" s="122"/>
      <c r="D351" s="122"/>
      <c r="E351" s="122"/>
      <c r="F351" s="122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  <c r="AA351" s="122"/>
      <c r="AB351" s="122"/>
    </row>
    <row r="352" spans="1:28" ht="15.75" customHeight="1" x14ac:dyDescent="0.2">
      <c r="A352" s="122"/>
      <c r="B352" s="122"/>
      <c r="C352" s="122"/>
      <c r="D352" s="122"/>
      <c r="E352" s="122"/>
      <c r="F352" s="122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  <c r="AA352" s="122"/>
      <c r="AB352" s="122"/>
    </row>
    <row r="353" spans="1:28" ht="15.75" customHeight="1" x14ac:dyDescent="0.2">
      <c r="A353" s="122"/>
      <c r="B353" s="122"/>
      <c r="C353" s="122"/>
      <c r="D353" s="122"/>
      <c r="E353" s="122"/>
      <c r="F353" s="122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  <c r="AA353" s="122"/>
      <c r="AB353" s="122"/>
    </row>
    <row r="354" spans="1:28" ht="15.75" customHeight="1" x14ac:dyDescent="0.2">
      <c r="A354" s="122"/>
      <c r="B354" s="122"/>
      <c r="C354" s="122"/>
      <c r="D354" s="122"/>
      <c r="E354" s="122"/>
      <c r="F354" s="122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  <c r="AA354" s="122"/>
      <c r="AB354" s="122"/>
    </row>
    <row r="355" spans="1:28" ht="15.75" customHeight="1" x14ac:dyDescent="0.2">
      <c r="A355" s="122"/>
      <c r="B355" s="122"/>
      <c r="C355" s="122"/>
      <c r="D355" s="122"/>
      <c r="E355" s="122"/>
      <c r="F355" s="122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  <c r="AA355" s="122"/>
      <c r="AB355" s="122"/>
    </row>
    <row r="356" spans="1:28" ht="15.75" customHeight="1" x14ac:dyDescent="0.2">
      <c r="A356" s="122"/>
      <c r="B356" s="122"/>
      <c r="C356" s="122"/>
      <c r="D356" s="122"/>
      <c r="E356" s="122"/>
      <c r="F356" s="122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  <c r="AA356" s="122"/>
      <c r="AB356" s="122"/>
    </row>
    <row r="357" spans="1:28" ht="15.75" customHeight="1" x14ac:dyDescent="0.2">
      <c r="A357" s="122"/>
      <c r="B357" s="122"/>
      <c r="C357" s="122"/>
      <c r="D357" s="122"/>
      <c r="E357" s="122"/>
      <c r="F357" s="122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  <c r="AA357" s="122"/>
      <c r="AB357" s="122"/>
    </row>
    <row r="358" spans="1:28" ht="15.75" customHeight="1" x14ac:dyDescent="0.2">
      <c r="A358" s="122"/>
      <c r="B358" s="122"/>
      <c r="C358" s="122"/>
      <c r="D358" s="122"/>
      <c r="E358" s="122"/>
      <c r="F358" s="122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  <c r="AA358" s="122"/>
      <c r="AB358" s="122"/>
    </row>
    <row r="359" spans="1:28" ht="15.75" customHeight="1" x14ac:dyDescent="0.2">
      <c r="A359" s="122"/>
      <c r="B359" s="122"/>
      <c r="C359" s="122"/>
      <c r="D359" s="122"/>
      <c r="E359" s="122"/>
      <c r="F359" s="122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  <c r="AA359" s="122"/>
      <c r="AB359" s="122"/>
    </row>
    <row r="360" spans="1:28" ht="15.75" customHeight="1" x14ac:dyDescent="0.2">
      <c r="A360" s="122"/>
      <c r="B360" s="122"/>
      <c r="C360" s="122"/>
      <c r="D360" s="122"/>
      <c r="E360" s="122"/>
      <c r="F360" s="122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  <c r="AA360" s="122"/>
      <c r="AB360" s="122"/>
    </row>
    <row r="361" spans="1:28" ht="15.75" customHeight="1" x14ac:dyDescent="0.2">
      <c r="A361" s="122"/>
      <c r="B361" s="122"/>
      <c r="C361" s="122"/>
      <c r="D361" s="122"/>
      <c r="E361" s="122"/>
      <c r="F361" s="122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  <c r="AA361" s="122"/>
      <c r="AB361" s="122"/>
    </row>
    <row r="362" spans="1:28" ht="15.75" customHeight="1" x14ac:dyDescent="0.2">
      <c r="A362" s="122"/>
      <c r="B362" s="122"/>
      <c r="C362" s="122"/>
      <c r="D362" s="122"/>
      <c r="E362" s="122"/>
      <c r="F362" s="122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  <c r="AA362" s="122"/>
      <c r="AB362" s="122"/>
    </row>
    <row r="363" spans="1:28" ht="15.75" customHeight="1" x14ac:dyDescent="0.2">
      <c r="A363" s="122"/>
      <c r="B363" s="122"/>
      <c r="C363" s="122"/>
      <c r="D363" s="122"/>
      <c r="E363" s="122"/>
      <c r="F363" s="122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  <c r="AA363" s="122"/>
      <c r="AB363" s="122"/>
    </row>
    <row r="364" spans="1:28" ht="15.75" customHeight="1" x14ac:dyDescent="0.2">
      <c r="A364" s="122"/>
      <c r="B364" s="122"/>
      <c r="C364" s="122"/>
      <c r="D364" s="122"/>
      <c r="E364" s="122"/>
      <c r="F364" s="122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  <c r="AA364" s="122"/>
      <c r="AB364" s="122"/>
    </row>
    <row r="365" spans="1:28" ht="15.75" customHeight="1" x14ac:dyDescent="0.2">
      <c r="A365" s="122"/>
      <c r="B365" s="122"/>
      <c r="C365" s="122"/>
      <c r="D365" s="122"/>
      <c r="E365" s="122"/>
      <c r="F365" s="122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  <c r="AA365" s="122"/>
      <c r="AB365" s="122"/>
    </row>
    <row r="366" spans="1:28" ht="15.75" customHeight="1" x14ac:dyDescent="0.2">
      <c r="A366" s="122"/>
      <c r="B366" s="122"/>
      <c r="C366" s="122"/>
      <c r="D366" s="122"/>
      <c r="E366" s="122"/>
      <c r="F366" s="122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  <c r="AA366" s="122"/>
      <c r="AB366" s="122"/>
    </row>
    <row r="367" spans="1:28" ht="15.75" customHeight="1" x14ac:dyDescent="0.2">
      <c r="A367" s="122"/>
      <c r="B367" s="122"/>
      <c r="C367" s="122"/>
      <c r="D367" s="122"/>
      <c r="E367" s="122"/>
      <c r="F367" s="122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  <c r="AA367" s="122"/>
      <c r="AB367" s="122"/>
    </row>
    <row r="368" spans="1:28" ht="15.75" customHeight="1" x14ac:dyDescent="0.2">
      <c r="A368" s="122"/>
      <c r="B368" s="122"/>
      <c r="C368" s="122"/>
      <c r="D368" s="122"/>
      <c r="E368" s="122"/>
      <c r="F368" s="122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  <c r="AA368" s="122"/>
      <c r="AB368" s="122"/>
    </row>
    <row r="369" spans="1:28" ht="15.75" customHeight="1" x14ac:dyDescent="0.2">
      <c r="A369" s="122"/>
      <c r="B369" s="122"/>
      <c r="C369" s="122"/>
      <c r="D369" s="122"/>
      <c r="E369" s="122"/>
      <c r="F369" s="122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  <c r="AA369" s="122"/>
      <c r="AB369" s="122"/>
    </row>
    <row r="370" spans="1:28" ht="15.75" customHeight="1" x14ac:dyDescent="0.2">
      <c r="A370" s="122"/>
      <c r="B370" s="122"/>
      <c r="C370" s="122"/>
      <c r="D370" s="122"/>
      <c r="E370" s="122"/>
      <c r="F370" s="122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  <c r="AA370" s="122"/>
      <c r="AB370" s="122"/>
    </row>
    <row r="371" spans="1:28" ht="15.75" customHeight="1" x14ac:dyDescent="0.2">
      <c r="A371" s="122"/>
      <c r="B371" s="122"/>
      <c r="C371" s="122"/>
      <c r="D371" s="122"/>
      <c r="E371" s="122"/>
      <c r="F371" s="122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  <c r="AA371" s="122"/>
      <c r="AB371" s="122"/>
    </row>
    <row r="372" spans="1:28" ht="15.75" customHeight="1" x14ac:dyDescent="0.2">
      <c r="A372" s="122"/>
      <c r="B372" s="122"/>
      <c r="C372" s="122"/>
      <c r="D372" s="122"/>
      <c r="E372" s="122"/>
      <c r="F372" s="122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  <c r="AA372" s="122"/>
      <c r="AB372" s="122"/>
    </row>
    <row r="373" spans="1:28" ht="15.75" customHeight="1" x14ac:dyDescent="0.2">
      <c r="A373" s="122"/>
      <c r="B373" s="122"/>
      <c r="C373" s="122"/>
      <c r="D373" s="122"/>
      <c r="E373" s="122"/>
      <c r="F373" s="122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  <c r="AA373" s="122"/>
      <c r="AB373" s="122"/>
    </row>
    <row r="374" spans="1:28" ht="15.75" customHeight="1" x14ac:dyDescent="0.2">
      <c r="A374" s="122"/>
      <c r="B374" s="122"/>
      <c r="C374" s="122"/>
      <c r="D374" s="122"/>
      <c r="E374" s="122"/>
      <c r="F374" s="122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  <c r="AA374" s="122"/>
      <c r="AB374" s="122"/>
    </row>
    <row r="375" spans="1:28" ht="15.75" customHeight="1" x14ac:dyDescent="0.2">
      <c r="A375" s="122"/>
      <c r="B375" s="122"/>
      <c r="C375" s="122"/>
      <c r="D375" s="122"/>
      <c r="E375" s="122"/>
      <c r="F375" s="122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  <c r="AA375" s="122"/>
      <c r="AB375" s="122"/>
    </row>
    <row r="376" spans="1:28" ht="15.75" customHeight="1" x14ac:dyDescent="0.2">
      <c r="A376" s="122"/>
      <c r="B376" s="122"/>
      <c r="C376" s="122"/>
      <c r="D376" s="122"/>
      <c r="E376" s="122"/>
      <c r="F376" s="122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  <c r="AA376" s="122"/>
      <c r="AB376" s="122"/>
    </row>
    <row r="377" spans="1:28" ht="15.75" customHeight="1" x14ac:dyDescent="0.2">
      <c r="A377" s="122"/>
      <c r="B377" s="122"/>
      <c r="C377" s="122"/>
      <c r="D377" s="122"/>
      <c r="E377" s="122"/>
      <c r="F377" s="122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  <c r="AA377" s="122"/>
      <c r="AB377" s="122"/>
    </row>
    <row r="378" spans="1:28" ht="15.75" customHeight="1" x14ac:dyDescent="0.2">
      <c r="A378" s="122"/>
      <c r="B378" s="122"/>
      <c r="C378" s="122"/>
      <c r="D378" s="122"/>
      <c r="E378" s="122"/>
      <c r="F378" s="122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  <c r="AA378" s="122"/>
      <c r="AB378" s="122"/>
    </row>
    <row r="379" spans="1:28" ht="15.75" customHeight="1" x14ac:dyDescent="0.2">
      <c r="A379" s="122"/>
      <c r="B379" s="122"/>
      <c r="C379" s="122"/>
      <c r="D379" s="122"/>
      <c r="E379" s="122"/>
      <c r="F379" s="122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  <c r="AA379" s="122"/>
      <c r="AB379" s="122"/>
    </row>
    <row r="380" spans="1:28" ht="15.75" customHeight="1" x14ac:dyDescent="0.2">
      <c r="A380" s="122"/>
      <c r="B380" s="122"/>
      <c r="C380" s="122"/>
      <c r="D380" s="122"/>
      <c r="E380" s="122"/>
      <c r="F380" s="122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  <c r="AA380" s="122"/>
      <c r="AB380" s="122"/>
    </row>
    <row r="381" spans="1:28" ht="15.75" customHeight="1" x14ac:dyDescent="0.2">
      <c r="A381" s="122"/>
      <c r="B381" s="122"/>
      <c r="C381" s="122"/>
      <c r="D381" s="122"/>
      <c r="E381" s="122"/>
      <c r="F381" s="122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  <c r="AA381" s="122"/>
      <c r="AB381" s="122"/>
    </row>
    <row r="382" spans="1:28" ht="15.75" customHeight="1" x14ac:dyDescent="0.2">
      <c r="A382" s="122"/>
      <c r="B382" s="122"/>
      <c r="C382" s="122"/>
      <c r="D382" s="122"/>
      <c r="E382" s="122"/>
      <c r="F382" s="122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  <c r="AA382" s="122"/>
      <c r="AB382" s="122"/>
    </row>
    <row r="383" spans="1:28" ht="15.75" customHeight="1" x14ac:dyDescent="0.2">
      <c r="A383" s="122"/>
      <c r="B383" s="122"/>
      <c r="C383" s="122"/>
      <c r="D383" s="122"/>
      <c r="E383" s="122"/>
      <c r="F383" s="122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  <c r="AA383" s="122"/>
      <c r="AB383" s="122"/>
    </row>
    <row r="384" spans="1:28" ht="15.75" customHeight="1" x14ac:dyDescent="0.2">
      <c r="A384" s="122"/>
      <c r="B384" s="122"/>
      <c r="C384" s="122"/>
      <c r="D384" s="122"/>
      <c r="E384" s="122"/>
      <c r="F384" s="122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  <c r="AA384" s="122"/>
      <c r="AB384" s="122"/>
    </row>
    <row r="385" spans="1:28" ht="15.75" customHeight="1" x14ac:dyDescent="0.2">
      <c r="A385" s="122"/>
      <c r="B385" s="122"/>
      <c r="C385" s="122"/>
      <c r="D385" s="122"/>
      <c r="E385" s="122"/>
      <c r="F385" s="122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  <c r="AA385" s="122"/>
      <c r="AB385" s="122"/>
    </row>
    <row r="386" spans="1:28" ht="15.75" customHeight="1" x14ac:dyDescent="0.2">
      <c r="A386" s="122"/>
      <c r="B386" s="122"/>
      <c r="C386" s="122"/>
      <c r="D386" s="122"/>
      <c r="E386" s="122"/>
      <c r="F386" s="122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  <c r="AA386" s="122"/>
      <c r="AB386" s="122"/>
    </row>
    <row r="387" spans="1:28" ht="15.75" customHeight="1" x14ac:dyDescent="0.2">
      <c r="A387" s="122"/>
      <c r="B387" s="122"/>
      <c r="C387" s="122"/>
      <c r="D387" s="122"/>
      <c r="E387" s="122"/>
      <c r="F387" s="122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  <c r="AA387" s="122"/>
      <c r="AB387" s="122"/>
    </row>
    <row r="388" spans="1:28" ht="15.75" customHeight="1" x14ac:dyDescent="0.2">
      <c r="A388" s="122"/>
      <c r="B388" s="122"/>
      <c r="C388" s="122"/>
      <c r="D388" s="122"/>
      <c r="E388" s="122"/>
      <c r="F388" s="122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  <c r="AA388" s="122"/>
      <c r="AB388" s="122"/>
    </row>
    <row r="389" spans="1:28" ht="15.75" customHeight="1" x14ac:dyDescent="0.2">
      <c r="A389" s="122"/>
      <c r="B389" s="122"/>
      <c r="C389" s="122"/>
      <c r="D389" s="122"/>
      <c r="E389" s="122"/>
      <c r="F389" s="122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  <c r="AA389" s="122"/>
      <c r="AB389" s="122"/>
    </row>
    <row r="390" spans="1:28" ht="15.75" customHeight="1" x14ac:dyDescent="0.2">
      <c r="A390" s="122"/>
      <c r="B390" s="122"/>
      <c r="C390" s="122"/>
      <c r="D390" s="122"/>
      <c r="E390" s="122"/>
      <c r="F390" s="122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  <c r="AA390" s="122"/>
      <c r="AB390" s="122"/>
    </row>
    <row r="391" spans="1:28" ht="15.75" customHeight="1" x14ac:dyDescent="0.2">
      <c r="A391" s="122"/>
      <c r="B391" s="122"/>
      <c r="C391" s="122"/>
      <c r="D391" s="122"/>
      <c r="E391" s="122"/>
      <c r="F391" s="122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  <c r="AA391" s="122"/>
      <c r="AB391" s="122"/>
    </row>
    <row r="392" spans="1:28" ht="15.75" customHeight="1" x14ac:dyDescent="0.2">
      <c r="A392" s="122"/>
      <c r="B392" s="122"/>
      <c r="C392" s="122"/>
      <c r="D392" s="122"/>
      <c r="E392" s="122"/>
      <c r="F392" s="122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  <c r="AA392" s="122"/>
      <c r="AB392" s="122"/>
    </row>
    <row r="393" spans="1:28" ht="15.75" customHeight="1" x14ac:dyDescent="0.2">
      <c r="A393" s="122"/>
      <c r="B393" s="122"/>
      <c r="C393" s="122"/>
      <c r="D393" s="122"/>
      <c r="E393" s="122"/>
      <c r="F393" s="122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  <c r="AA393" s="122"/>
      <c r="AB393" s="122"/>
    </row>
    <row r="394" spans="1:28" ht="15.75" customHeight="1" x14ac:dyDescent="0.2">
      <c r="A394" s="122"/>
      <c r="B394" s="122"/>
      <c r="C394" s="122"/>
      <c r="D394" s="122"/>
      <c r="E394" s="122"/>
      <c r="F394" s="122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  <c r="AA394" s="122"/>
      <c r="AB394" s="122"/>
    </row>
    <row r="395" spans="1:28" ht="15.75" customHeight="1" x14ac:dyDescent="0.2">
      <c r="A395" s="122"/>
      <c r="B395" s="122"/>
      <c r="C395" s="122"/>
      <c r="D395" s="122"/>
      <c r="E395" s="122"/>
      <c r="F395" s="122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  <c r="AA395" s="122"/>
      <c r="AB395" s="122"/>
    </row>
    <row r="396" spans="1:28" ht="15.75" customHeight="1" x14ac:dyDescent="0.2">
      <c r="A396" s="122"/>
      <c r="B396" s="122"/>
      <c r="C396" s="122"/>
      <c r="D396" s="122"/>
      <c r="E396" s="122"/>
      <c r="F396" s="122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  <c r="AA396" s="122"/>
      <c r="AB396" s="122"/>
    </row>
    <row r="397" spans="1:28" ht="15.75" customHeight="1" x14ac:dyDescent="0.2">
      <c r="A397" s="122"/>
      <c r="B397" s="122"/>
      <c r="C397" s="122"/>
      <c r="D397" s="122"/>
      <c r="E397" s="122"/>
      <c r="F397" s="122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  <c r="AA397" s="122"/>
      <c r="AB397" s="122"/>
    </row>
    <row r="398" spans="1:28" ht="15.75" customHeight="1" x14ac:dyDescent="0.2">
      <c r="A398" s="122"/>
      <c r="B398" s="122"/>
      <c r="C398" s="122"/>
      <c r="D398" s="122"/>
      <c r="E398" s="122"/>
      <c r="F398" s="122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  <c r="AA398" s="122"/>
      <c r="AB398" s="122"/>
    </row>
    <row r="399" spans="1:28" ht="15.75" customHeight="1" x14ac:dyDescent="0.2">
      <c r="A399" s="122"/>
      <c r="B399" s="122"/>
      <c r="C399" s="122"/>
      <c r="D399" s="122"/>
      <c r="E399" s="122"/>
      <c r="F399" s="122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  <c r="AA399" s="122"/>
      <c r="AB399" s="122"/>
    </row>
    <row r="400" spans="1:28" ht="15.75" customHeight="1" x14ac:dyDescent="0.2">
      <c r="A400" s="122"/>
      <c r="B400" s="122"/>
      <c r="C400" s="122"/>
      <c r="D400" s="122"/>
      <c r="E400" s="122"/>
      <c r="F400" s="122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  <c r="AA400" s="122"/>
      <c r="AB400" s="122"/>
    </row>
    <row r="401" spans="1:28" ht="15.75" customHeight="1" x14ac:dyDescent="0.2">
      <c r="A401" s="122"/>
      <c r="B401" s="122"/>
      <c r="C401" s="122"/>
      <c r="D401" s="122"/>
      <c r="E401" s="122"/>
      <c r="F401" s="122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  <c r="AA401" s="122"/>
      <c r="AB401" s="122"/>
    </row>
    <row r="402" spans="1:28" ht="15.75" customHeight="1" x14ac:dyDescent="0.2">
      <c r="A402" s="122"/>
      <c r="B402" s="122"/>
      <c r="C402" s="122"/>
      <c r="D402" s="122"/>
      <c r="E402" s="122"/>
      <c r="F402" s="122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  <c r="AA402" s="122"/>
      <c r="AB402" s="122"/>
    </row>
    <row r="403" spans="1:28" ht="15.75" customHeight="1" x14ac:dyDescent="0.2">
      <c r="A403" s="122"/>
      <c r="B403" s="122"/>
      <c r="C403" s="122"/>
      <c r="D403" s="122"/>
      <c r="E403" s="122"/>
      <c r="F403" s="122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  <c r="AA403" s="122"/>
      <c r="AB403" s="122"/>
    </row>
    <row r="404" spans="1:28" ht="15.75" customHeight="1" x14ac:dyDescent="0.2">
      <c r="A404" s="122"/>
      <c r="B404" s="122"/>
      <c r="C404" s="122"/>
      <c r="D404" s="122"/>
      <c r="E404" s="122"/>
      <c r="F404" s="122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  <c r="AA404" s="122"/>
      <c r="AB404" s="122"/>
    </row>
    <row r="405" spans="1:28" ht="15.75" customHeight="1" x14ac:dyDescent="0.2">
      <c r="A405" s="122"/>
      <c r="B405" s="122"/>
      <c r="C405" s="122"/>
      <c r="D405" s="122"/>
      <c r="E405" s="122"/>
      <c r="F405" s="122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  <c r="AA405" s="122"/>
      <c r="AB405" s="122"/>
    </row>
    <row r="406" spans="1:28" ht="15.75" customHeight="1" x14ac:dyDescent="0.2">
      <c r="A406" s="122"/>
      <c r="B406" s="122"/>
      <c r="C406" s="122"/>
      <c r="D406" s="122"/>
      <c r="E406" s="122"/>
      <c r="F406" s="122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  <c r="AA406" s="122"/>
      <c r="AB406" s="122"/>
    </row>
    <row r="407" spans="1:28" ht="15.75" customHeight="1" x14ac:dyDescent="0.2">
      <c r="A407" s="122"/>
      <c r="B407" s="122"/>
      <c r="C407" s="122"/>
      <c r="D407" s="122"/>
      <c r="E407" s="122"/>
      <c r="F407" s="122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  <c r="AA407" s="122"/>
      <c r="AB407" s="122"/>
    </row>
    <row r="408" spans="1:28" ht="15.75" customHeight="1" x14ac:dyDescent="0.2">
      <c r="A408" s="122"/>
      <c r="B408" s="122"/>
      <c r="C408" s="122"/>
      <c r="D408" s="122"/>
      <c r="E408" s="122"/>
      <c r="F408" s="122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  <c r="AA408" s="122"/>
      <c r="AB408" s="122"/>
    </row>
    <row r="409" spans="1:28" ht="15.75" customHeight="1" x14ac:dyDescent="0.2">
      <c r="A409" s="122"/>
      <c r="B409" s="122"/>
      <c r="C409" s="122"/>
      <c r="D409" s="122"/>
      <c r="E409" s="122"/>
      <c r="F409" s="122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  <c r="AA409" s="122"/>
      <c r="AB409" s="122"/>
    </row>
    <row r="410" spans="1:28" ht="15.75" customHeight="1" x14ac:dyDescent="0.2">
      <c r="A410" s="122"/>
      <c r="B410" s="122"/>
      <c r="C410" s="122"/>
      <c r="D410" s="122"/>
      <c r="E410" s="122"/>
      <c r="F410" s="122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  <c r="AA410" s="122"/>
      <c r="AB410" s="122"/>
    </row>
    <row r="411" spans="1:28" ht="15.75" customHeight="1" x14ac:dyDescent="0.2">
      <c r="A411" s="122"/>
      <c r="B411" s="122"/>
      <c r="C411" s="122"/>
      <c r="D411" s="122"/>
      <c r="E411" s="122"/>
      <c r="F411" s="122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  <c r="AA411" s="122"/>
      <c r="AB411" s="122"/>
    </row>
    <row r="412" spans="1:28" ht="15.75" customHeight="1" x14ac:dyDescent="0.2">
      <c r="A412" s="122"/>
      <c r="B412" s="122"/>
      <c r="C412" s="122"/>
      <c r="D412" s="122"/>
      <c r="E412" s="122"/>
      <c r="F412" s="122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  <c r="AA412" s="122"/>
      <c r="AB412" s="122"/>
    </row>
    <row r="413" spans="1:28" ht="15.75" customHeight="1" x14ac:dyDescent="0.2">
      <c r="A413" s="122"/>
      <c r="B413" s="122"/>
      <c r="C413" s="122"/>
      <c r="D413" s="122"/>
      <c r="E413" s="122"/>
      <c r="F413" s="122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  <c r="AA413" s="122"/>
      <c r="AB413" s="122"/>
    </row>
    <row r="414" spans="1:28" ht="15.75" customHeight="1" x14ac:dyDescent="0.2">
      <c r="A414" s="122"/>
      <c r="B414" s="122"/>
      <c r="C414" s="122"/>
      <c r="D414" s="122"/>
      <c r="E414" s="122"/>
      <c r="F414" s="122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  <c r="AA414" s="122"/>
      <c r="AB414" s="122"/>
    </row>
    <row r="415" spans="1:28" ht="15.75" customHeight="1" x14ac:dyDescent="0.2">
      <c r="A415" s="122"/>
      <c r="B415" s="122"/>
      <c r="C415" s="122"/>
      <c r="D415" s="122"/>
      <c r="E415" s="122"/>
      <c r="F415" s="122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  <c r="AA415" s="122"/>
      <c r="AB415" s="122"/>
    </row>
    <row r="416" spans="1:28" ht="15.75" customHeight="1" x14ac:dyDescent="0.2">
      <c r="A416" s="122"/>
      <c r="B416" s="122"/>
      <c r="C416" s="122"/>
      <c r="D416" s="122"/>
      <c r="E416" s="122"/>
      <c r="F416" s="122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  <c r="AA416" s="122"/>
      <c r="AB416" s="122"/>
    </row>
    <row r="417" spans="1:28" ht="15.75" customHeight="1" x14ac:dyDescent="0.2">
      <c r="A417" s="122"/>
      <c r="B417" s="122"/>
      <c r="C417" s="122"/>
      <c r="D417" s="122"/>
      <c r="E417" s="122"/>
      <c r="F417" s="122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  <c r="AA417" s="122"/>
      <c r="AB417" s="122"/>
    </row>
    <row r="418" spans="1:28" ht="15.75" customHeight="1" x14ac:dyDescent="0.2">
      <c r="A418" s="122"/>
      <c r="B418" s="122"/>
      <c r="C418" s="122"/>
      <c r="D418" s="122"/>
      <c r="E418" s="122"/>
      <c r="F418" s="122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  <c r="AA418" s="122"/>
      <c r="AB418" s="122"/>
    </row>
    <row r="419" spans="1:28" ht="15.75" customHeight="1" x14ac:dyDescent="0.2">
      <c r="A419" s="122"/>
      <c r="B419" s="122"/>
      <c r="C419" s="122"/>
      <c r="D419" s="122"/>
      <c r="E419" s="122"/>
      <c r="F419" s="122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  <c r="AA419" s="122"/>
      <c r="AB419" s="122"/>
    </row>
    <row r="420" spans="1:28" ht="15.75" customHeight="1" x14ac:dyDescent="0.2">
      <c r="A420" s="122"/>
      <c r="B420" s="122"/>
      <c r="C420" s="122"/>
      <c r="D420" s="122"/>
      <c r="E420" s="122"/>
      <c r="F420" s="122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  <c r="AA420" s="122"/>
      <c r="AB420" s="122"/>
    </row>
    <row r="421" spans="1:28" ht="15.75" customHeight="1" x14ac:dyDescent="0.2">
      <c r="A421" s="122"/>
      <c r="B421" s="122"/>
      <c r="C421" s="122"/>
      <c r="D421" s="122"/>
      <c r="E421" s="122"/>
      <c r="F421" s="122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  <c r="AA421" s="122"/>
      <c r="AB421" s="122"/>
    </row>
    <row r="422" spans="1:28" ht="15.75" customHeight="1" x14ac:dyDescent="0.2">
      <c r="A422" s="122"/>
      <c r="B422" s="122"/>
      <c r="C422" s="122"/>
      <c r="D422" s="122"/>
      <c r="E422" s="122"/>
      <c r="F422" s="122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  <c r="AA422" s="122"/>
      <c r="AB422" s="122"/>
    </row>
    <row r="423" spans="1:28" ht="15.75" customHeight="1" x14ac:dyDescent="0.2">
      <c r="A423" s="122"/>
      <c r="B423" s="122"/>
      <c r="C423" s="122"/>
      <c r="D423" s="122"/>
      <c r="E423" s="122"/>
      <c r="F423" s="122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  <c r="AA423" s="122"/>
      <c r="AB423" s="122"/>
    </row>
    <row r="424" spans="1:28" ht="15.75" customHeight="1" x14ac:dyDescent="0.2">
      <c r="A424" s="122"/>
      <c r="B424" s="122"/>
      <c r="C424" s="122"/>
      <c r="D424" s="122"/>
      <c r="E424" s="122"/>
      <c r="F424" s="122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  <c r="AA424" s="122"/>
      <c r="AB424" s="122"/>
    </row>
    <row r="425" spans="1:28" ht="15.75" customHeight="1" x14ac:dyDescent="0.2">
      <c r="A425" s="122"/>
      <c r="B425" s="122"/>
      <c r="C425" s="122"/>
      <c r="D425" s="122"/>
      <c r="E425" s="122"/>
      <c r="F425" s="122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  <c r="AA425" s="122"/>
      <c r="AB425" s="122"/>
    </row>
    <row r="426" spans="1:28" ht="15.75" customHeight="1" x14ac:dyDescent="0.2">
      <c r="A426" s="122"/>
      <c r="B426" s="122"/>
      <c r="C426" s="122"/>
      <c r="D426" s="122"/>
      <c r="E426" s="122"/>
      <c r="F426" s="122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  <c r="AA426" s="122"/>
      <c r="AB426" s="122"/>
    </row>
    <row r="427" spans="1:28" ht="15.75" customHeight="1" x14ac:dyDescent="0.2">
      <c r="A427" s="122"/>
      <c r="B427" s="122"/>
      <c r="C427" s="122"/>
      <c r="D427" s="122"/>
      <c r="E427" s="122"/>
      <c r="F427" s="122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  <c r="AA427" s="122"/>
      <c r="AB427" s="122"/>
    </row>
    <row r="428" spans="1:28" ht="15.75" customHeight="1" x14ac:dyDescent="0.2">
      <c r="A428" s="122"/>
      <c r="B428" s="122"/>
      <c r="C428" s="122"/>
      <c r="D428" s="122"/>
      <c r="E428" s="122"/>
      <c r="F428" s="122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  <c r="AA428" s="122"/>
      <c r="AB428" s="122"/>
    </row>
    <row r="429" spans="1:28" ht="15.75" customHeight="1" x14ac:dyDescent="0.2">
      <c r="A429" s="122"/>
      <c r="B429" s="122"/>
      <c r="C429" s="122"/>
      <c r="D429" s="122"/>
      <c r="E429" s="122"/>
      <c r="F429" s="122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  <c r="AA429" s="122"/>
      <c r="AB429" s="122"/>
    </row>
    <row r="430" spans="1:28" ht="15.75" customHeight="1" x14ac:dyDescent="0.2">
      <c r="A430" s="122"/>
      <c r="B430" s="122"/>
      <c r="C430" s="122"/>
      <c r="D430" s="122"/>
      <c r="E430" s="122"/>
      <c r="F430" s="122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  <c r="AA430" s="122"/>
      <c r="AB430" s="122"/>
    </row>
    <row r="431" spans="1:28" ht="15.75" customHeight="1" x14ac:dyDescent="0.2">
      <c r="A431" s="122"/>
      <c r="B431" s="122"/>
      <c r="C431" s="122"/>
      <c r="D431" s="122"/>
      <c r="E431" s="122"/>
      <c r="F431" s="122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  <c r="AA431" s="122"/>
      <c r="AB431" s="122"/>
    </row>
    <row r="432" spans="1:28" ht="15.75" customHeight="1" x14ac:dyDescent="0.2">
      <c r="A432" s="122"/>
      <c r="B432" s="122"/>
      <c r="C432" s="122"/>
      <c r="D432" s="122"/>
      <c r="E432" s="122"/>
      <c r="F432" s="122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  <c r="AA432" s="122"/>
      <c r="AB432" s="122"/>
    </row>
    <row r="433" spans="1:28" ht="15.75" customHeight="1" x14ac:dyDescent="0.2">
      <c r="A433" s="122"/>
      <c r="B433" s="122"/>
      <c r="C433" s="122"/>
      <c r="D433" s="122"/>
      <c r="E433" s="122"/>
      <c r="F433" s="122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  <c r="AA433" s="122"/>
      <c r="AB433" s="122"/>
    </row>
    <row r="434" spans="1:28" ht="15.75" customHeight="1" x14ac:dyDescent="0.2">
      <c r="A434" s="122"/>
      <c r="B434" s="122"/>
      <c r="C434" s="122"/>
      <c r="D434" s="122"/>
      <c r="E434" s="122"/>
      <c r="F434" s="122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  <c r="AA434" s="122"/>
      <c r="AB434" s="122"/>
    </row>
    <row r="435" spans="1:28" ht="15.75" customHeight="1" x14ac:dyDescent="0.2">
      <c r="A435" s="122"/>
      <c r="B435" s="122"/>
      <c r="C435" s="122"/>
      <c r="D435" s="122"/>
      <c r="E435" s="122"/>
      <c r="F435" s="122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  <c r="AA435" s="122"/>
      <c r="AB435" s="122"/>
    </row>
    <row r="436" spans="1:28" ht="15.75" customHeight="1" x14ac:dyDescent="0.2">
      <c r="A436" s="122"/>
      <c r="B436" s="122"/>
      <c r="C436" s="122"/>
      <c r="D436" s="122"/>
      <c r="E436" s="122"/>
      <c r="F436" s="122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  <c r="AA436" s="122"/>
      <c r="AB436" s="122"/>
    </row>
    <row r="437" spans="1:28" ht="15.75" customHeight="1" x14ac:dyDescent="0.2">
      <c r="A437" s="122"/>
      <c r="B437" s="122"/>
      <c r="C437" s="122"/>
      <c r="D437" s="122"/>
      <c r="E437" s="122"/>
      <c r="F437" s="122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  <c r="AA437" s="122"/>
      <c r="AB437" s="122"/>
    </row>
    <row r="438" spans="1:28" ht="15.75" customHeight="1" x14ac:dyDescent="0.2">
      <c r="A438" s="122"/>
      <c r="B438" s="122"/>
      <c r="C438" s="122"/>
      <c r="D438" s="122"/>
      <c r="E438" s="122"/>
      <c r="F438" s="122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  <c r="AA438" s="122"/>
      <c r="AB438" s="122"/>
    </row>
    <row r="439" spans="1:28" ht="15.75" customHeight="1" x14ac:dyDescent="0.2">
      <c r="A439" s="122"/>
      <c r="B439" s="122"/>
      <c r="C439" s="122"/>
      <c r="D439" s="122"/>
      <c r="E439" s="122"/>
      <c r="F439" s="122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  <c r="AA439" s="122"/>
      <c r="AB439" s="122"/>
    </row>
    <row r="440" spans="1:28" ht="15.75" customHeight="1" x14ac:dyDescent="0.2">
      <c r="A440" s="122"/>
      <c r="B440" s="122"/>
      <c r="C440" s="122"/>
      <c r="D440" s="122"/>
      <c r="E440" s="122"/>
      <c r="F440" s="122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  <c r="AA440" s="122"/>
      <c r="AB440" s="122"/>
    </row>
    <row r="441" spans="1:28" ht="15.75" customHeight="1" x14ac:dyDescent="0.2">
      <c r="A441" s="122"/>
      <c r="B441" s="122"/>
      <c r="C441" s="122"/>
      <c r="D441" s="122"/>
      <c r="E441" s="122"/>
      <c r="F441" s="122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  <c r="AA441" s="122"/>
      <c r="AB441" s="122"/>
    </row>
    <row r="442" spans="1:28" ht="15.75" customHeight="1" x14ac:dyDescent="0.2">
      <c r="A442" s="122"/>
      <c r="B442" s="122"/>
      <c r="C442" s="122"/>
      <c r="D442" s="122"/>
      <c r="E442" s="122"/>
      <c r="F442" s="122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  <c r="AA442" s="122"/>
      <c r="AB442" s="122"/>
    </row>
    <row r="443" spans="1:28" ht="15.75" customHeight="1" x14ac:dyDescent="0.2">
      <c r="A443" s="122"/>
      <c r="B443" s="122"/>
      <c r="C443" s="122"/>
      <c r="D443" s="122"/>
      <c r="E443" s="122"/>
      <c r="F443" s="122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  <c r="AA443" s="122"/>
      <c r="AB443" s="122"/>
    </row>
    <row r="444" spans="1:28" ht="15.75" customHeight="1" x14ac:dyDescent="0.2">
      <c r="A444" s="122"/>
      <c r="B444" s="122"/>
      <c r="C444" s="122"/>
      <c r="D444" s="122"/>
      <c r="E444" s="122"/>
      <c r="F444" s="122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  <c r="AA444" s="122"/>
      <c r="AB444" s="122"/>
    </row>
    <row r="445" spans="1:28" ht="15.75" customHeight="1" x14ac:dyDescent="0.2">
      <c r="A445" s="122"/>
      <c r="B445" s="122"/>
      <c r="C445" s="122"/>
      <c r="D445" s="122"/>
      <c r="E445" s="122"/>
      <c r="F445" s="122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  <c r="AA445" s="122"/>
      <c r="AB445" s="122"/>
    </row>
    <row r="446" spans="1:28" ht="15.75" customHeight="1" x14ac:dyDescent="0.2">
      <c r="A446" s="122"/>
      <c r="B446" s="122"/>
      <c r="C446" s="122"/>
      <c r="D446" s="122"/>
      <c r="E446" s="122"/>
      <c r="F446" s="122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  <c r="AA446" s="122"/>
      <c r="AB446" s="122"/>
    </row>
    <row r="447" spans="1:28" ht="15.75" customHeight="1" x14ac:dyDescent="0.2">
      <c r="A447" s="122"/>
      <c r="B447" s="122"/>
      <c r="C447" s="122"/>
      <c r="D447" s="122"/>
      <c r="E447" s="122"/>
      <c r="F447" s="122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  <c r="AA447" s="122"/>
      <c r="AB447" s="122"/>
    </row>
    <row r="448" spans="1:28" ht="15.75" customHeight="1" x14ac:dyDescent="0.2">
      <c r="A448" s="122"/>
      <c r="B448" s="122"/>
      <c r="C448" s="122"/>
      <c r="D448" s="122"/>
      <c r="E448" s="122"/>
      <c r="F448" s="122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  <c r="AA448" s="122"/>
      <c r="AB448" s="122"/>
    </row>
    <row r="449" spans="1:28" ht="15.75" customHeight="1" x14ac:dyDescent="0.2">
      <c r="A449" s="122"/>
      <c r="B449" s="122"/>
      <c r="C449" s="122"/>
      <c r="D449" s="122"/>
      <c r="E449" s="122"/>
      <c r="F449" s="122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  <c r="AA449" s="122"/>
      <c r="AB449" s="122"/>
    </row>
    <row r="450" spans="1:28" ht="15.75" customHeight="1" x14ac:dyDescent="0.2">
      <c r="A450" s="122"/>
      <c r="B450" s="122"/>
      <c r="C450" s="122"/>
      <c r="D450" s="122"/>
      <c r="E450" s="122"/>
      <c r="F450" s="122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  <c r="AA450" s="122"/>
      <c r="AB450" s="122"/>
    </row>
    <row r="451" spans="1:28" ht="15.75" customHeight="1" x14ac:dyDescent="0.2">
      <c r="A451" s="122"/>
      <c r="B451" s="122"/>
      <c r="C451" s="122"/>
      <c r="D451" s="122"/>
      <c r="E451" s="122"/>
      <c r="F451" s="122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  <c r="AA451" s="122"/>
      <c r="AB451" s="122"/>
    </row>
    <row r="452" spans="1:28" ht="15.75" customHeight="1" x14ac:dyDescent="0.2">
      <c r="A452" s="122"/>
      <c r="B452" s="122"/>
      <c r="C452" s="122"/>
      <c r="D452" s="122"/>
      <c r="E452" s="122"/>
      <c r="F452" s="122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  <c r="AA452" s="122"/>
      <c r="AB452" s="122"/>
    </row>
    <row r="453" spans="1:28" ht="15.75" customHeight="1" x14ac:dyDescent="0.2">
      <c r="A453" s="122"/>
      <c r="B453" s="122"/>
      <c r="C453" s="122"/>
      <c r="D453" s="122"/>
      <c r="E453" s="122"/>
      <c r="F453" s="122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  <c r="AA453" s="122"/>
      <c r="AB453" s="122"/>
    </row>
    <row r="454" spans="1:28" ht="15.75" customHeight="1" x14ac:dyDescent="0.2">
      <c r="A454" s="122"/>
      <c r="B454" s="122"/>
      <c r="C454" s="122"/>
      <c r="D454" s="122"/>
      <c r="E454" s="122"/>
      <c r="F454" s="122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  <c r="AA454" s="122"/>
      <c r="AB454" s="122"/>
    </row>
    <row r="455" spans="1:28" ht="15.75" customHeight="1" x14ac:dyDescent="0.2">
      <c r="A455" s="122"/>
      <c r="B455" s="122"/>
      <c r="C455" s="122"/>
      <c r="D455" s="122"/>
      <c r="E455" s="122"/>
      <c r="F455" s="122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  <c r="AA455" s="122"/>
      <c r="AB455" s="122"/>
    </row>
    <row r="456" spans="1:28" ht="15.75" customHeight="1" x14ac:dyDescent="0.2">
      <c r="A456" s="122"/>
      <c r="B456" s="122"/>
      <c r="C456" s="122"/>
      <c r="D456" s="122"/>
      <c r="E456" s="122"/>
      <c r="F456" s="122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  <c r="AA456" s="122"/>
      <c r="AB456" s="122"/>
    </row>
    <row r="457" spans="1:28" ht="15.75" customHeight="1" x14ac:dyDescent="0.2">
      <c r="A457" s="122"/>
      <c r="B457" s="122"/>
      <c r="C457" s="122"/>
      <c r="D457" s="122"/>
      <c r="E457" s="122"/>
      <c r="F457" s="122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  <c r="AA457" s="122"/>
      <c r="AB457" s="122"/>
    </row>
    <row r="458" spans="1:28" ht="15.75" customHeight="1" x14ac:dyDescent="0.2">
      <c r="A458" s="122"/>
      <c r="B458" s="122"/>
      <c r="C458" s="122"/>
      <c r="D458" s="122"/>
      <c r="E458" s="122"/>
      <c r="F458" s="122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  <c r="AA458" s="122"/>
      <c r="AB458" s="122"/>
    </row>
    <row r="459" spans="1:28" ht="15.75" customHeight="1" x14ac:dyDescent="0.2">
      <c r="A459" s="122"/>
      <c r="B459" s="122"/>
      <c r="C459" s="122"/>
      <c r="D459" s="122"/>
      <c r="E459" s="122"/>
      <c r="F459" s="122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  <c r="AA459" s="122"/>
      <c r="AB459" s="122"/>
    </row>
    <row r="460" spans="1:28" ht="15.75" customHeight="1" x14ac:dyDescent="0.2">
      <c r="A460" s="122"/>
      <c r="B460" s="122"/>
      <c r="C460" s="122"/>
      <c r="D460" s="122"/>
      <c r="E460" s="122"/>
      <c r="F460" s="122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  <c r="AA460" s="122"/>
      <c r="AB460" s="122"/>
    </row>
    <row r="461" spans="1:28" ht="15.75" customHeight="1" x14ac:dyDescent="0.2">
      <c r="A461" s="122"/>
      <c r="B461" s="122"/>
      <c r="C461" s="122"/>
      <c r="D461" s="122"/>
      <c r="E461" s="122"/>
      <c r="F461" s="122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  <c r="AA461" s="122"/>
      <c r="AB461" s="122"/>
    </row>
    <row r="462" spans="1:28" ht="15.75" customHeight="1" x14ac:dyDescent="0.2">
      <c r="A462" s="122"/>
      <c r="B462" s="122"/>
      <c r="C462" s="122"/>
      <c r="D462" s="122"/>
      <c r="E462" s="122"/>
      <c r="F462" s="122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  <c r="AA462" s="122"/>
      <c r="AB462" s="122"/>
    </row>
    <row r="463" spans="1:28" ht="15.75" customHeight="1" x14ac:dyDescent="0.2">
      <c r="A463" s="122"/>
      <c r="B463" s="122"/>
      <c r="C463" s="122"/>
      <c r="D463" s="122"/>
      <c r="E463" s="122"/>
      <c r="F463" s="122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  <c r="AA463" s="122"/>
      <c r="AB463" s="122"/>
    </row>
    <row r="464" spans="1:28" ht="15.75" customHeight="1" x14ac:dyDescent="0.2">
      <c r="A464" s="122"/>
      <c r="B464" s="122"/>
      <c r="C464" s="122"/>
      <c r="D464" s="122"/>
      <c r="E464" s="122"/>
      <c r="F464" s="122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  <c r="AA464" s="122"/>
      <c r="AB464" s="122"/>
    </row>
    <row r="465" spans="1:28" ht="15.75" customHeight="1" x14ac:dyDescent="0.2">
      <c r="A465" s="122"/>
      <c r="B465" s="122"/>
      <c r="C465" s="122"/>
      <c r="D465" s="122"/>
      <c r="E465" s="122"/>
      <c r="F465" s="122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  <c r="AA465" s="122"/>
      <c r="AB465" s="122"/>
    </row>
    <row r="466" spans="1:28" ht="15.75" customHeight="1" x14ac:dyDescent="0.2">
      <c r="A466" s="122"/>
      <c r="B466" s="122"/>
      <c r="C466" s="122"/>
      <c r="D466" s="122"/>
      <c r="E466" s="122"/>
      <c r="F466" s="122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  <c r="AA466" s="122"/>
      <c r="AB466" s="122"/>
    </row>
    <row r="467" spans="1:28" ht="15.75" customHeight="1" x14ac:dyDescent="0.2">
      <c r="A467" s="122"/>
      <c r="B467" s="122"/>
      <c r="C467" s="122"/>
      <c r="D467" s="122"/>
      <c r="E467" s="122"/>
      <c r="F467" s="122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  <c r="AA467" s="122"/>
      <c r="AB467" s="122"/>
    </row>
    <row r="468" spans="1:28" ht="15.75" customHeight="1" x14ac:dyDescent="0.2">
      <c r="A468" s="122"/>
      <c r="B468" s="122"/>
      <c r="C468" s="122"/>
      <c r="D468" s="122"/>
      <c r="E468" s="122"/>
      <c r="F468" s="122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  <c r="AA468" s="122"/>
      <c r="AB468" s="122"/>
    </row>
    <row r="469" spans="1:28" ht="15.75" customHeight="1" x14ac:dyDescent="0.2">
      <c r="A469" s="122"/>
      <c r="B469" s="122"/>
      <c r="C469" s="122"/>
      <c r="D469" s="122"/>
      <c r="E469" s="122"/>
      <c r="F469" s="122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  <c r="AA469" s="122"/>
      <c r="AB469" s="122"/>
    </row>
    <row r="470" spans="1:28" ht="15.75" customHeight="1" x14ac:dyDescent="0.2">
      <c r="A470" s="122"/>
      <c r="B470" s="122"/>
      <c r="C470" s="122"/>
      <c r="D470" s="122"/>
      <c r="E470" s="122"/>
      <c r="F470" s="122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  <c r="AA470" s="122"/>
      <c r="AB470" s="122"/>
    </row>
    <row r="471" spans="1:28" ht="15.75" customHeight="1" x14ac:dyDescent="0.2">
      <c r="A471" s="122"/>
      <c r="B471" s="122"/>
      <c r="C471" s="122"/>
      <c r="D471" s="122"/>
      <c r="E471" s="122"/>
      <c r="F471" s="122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  <c r="AA471" s="122"/>
      <c r="AB471" s="122"/>
    </row>
    <row r="472" spans="1:28" ht="15.75" customHeight="1" x14ac:dyDescent="0.2">
      <c r="A472" s="122"/>
      <c r="B472" s="122"/>
      <c r="C472" s="122"/>
      <c r="D472" s="122"/>
      <c r="E472" s="122"/>
      <c r="F472" s="122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  <c r="AA472" s="122"/>
      <c r="AB472" s="122"/>
    </row>
    <row r="473" spans="1:28" ht="15.75" customHeight="1" x14ac:dyDescent="0.2">
      <c r="A473" s="122"/>
      <c r="B473" s="122"/>
      <c r="C473" s="122"/>
      <c r="D473" s="122"/>
      <c r="E473" s="122"/>
      <c r="F473" s="122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  <c r="AA473" s="122"/>
      <c r="AB473" s="122"/>
    </row>
    <row r="474" spans="1:28" ht="15.75" customHeight="1" x14ac:dyDescent="0.2">
      <c r="A474" s="122"/>
      <c r="B474" s="122"/>
      <c r="C474" s="122"/>
      <c r="D474" s="122"/>
      <c r="E474" s="122"/>
      <c r="F474" s="122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  <c r="AA474" s="122"/>
      <c r="AB474" s="122"/>
    </row>
    <row r="475" spans="1:28" ht="15.75" customHeight="1" x14ac:dyDescent="0.2">
      <c r="A475" s="122"/>
      <c r="B475" s="122"/>
      <c r="C475" s="122"/>
      <c r="D475" s="122"/>
      <c r="E475" s="122"/>
      <c r="F475" s="122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  <c r="AA475" s="122"/>
      <c r="AB475" s="122"/>
    </row>
    <row r="476" spans="1:28" ht="15.75" customHeight="1" x14ac:dyDescent="0.2">
      <c r="A476" s="122"/>
      <c r="B476" s="122"/>
      <c r="C476" s="122"/>
      <c r="D476" s="122"/>
      <c r="E476" s="122"/>
      <c r="F476" s="122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  <c r="AA476" s="122"/>
      <c r="AB476" s="122"/>
    </row>
    <row r="477" spans="1:28" ht="15.75" customHeight="1" x14ac:dyDescent="0.2">
      <c r="A477" s="122"/>
      <c r="B477" s="122"/>
      <c r="C477" s="122"/>
      <c r="D477" s="122"/>
      <c r="E477" s="122"/>
      <c r="F477" s="122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  <c r="AA477" s="122"/>
      <c r="AB477" s="122"/>
    </row>
    <row r="478" spans="1:28" ht="15.75" customHeight="1" x14ac:dyDescent="0.2">
      <c r="A478" s="122"/>
      <c r="B478" s="122"/>
      <c r="C478" s="122"/>
      <c r="D478" s="122"/>
      <c r="E478" s="122"/>
      <c r="F478" s="122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  <c r="AA478" s="122"/>
      <c r="AB478" s="122"/>
    </row>
    <row r="479" spans="1:28" ht="15.75" customHeight="1" x14ac:dyDescent="0.2">
      <c r="A479" s="122"/>
      <c r="B479" s="122"/>
      <c r="C479" s="122"/>
      <c r="D479" s="122"/>
      <c r="E479" s="122"/>
      <c r="F479" s="122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  <c r="AA479" s="122"/>
      <c r="AB479" s="122"/>
    </row>
    <row r="480" spans="1:28" ht="15.75" customHeight="1" x14ac:dyDescent="0.2">
      <c r="A480" s="122"/>
      <c r="B480" s="122"/>
      <c r="C480" s="122"/>
      <c r="D480" s="122"/>
      <c r="E480" s="122"/>
      <c r="F480" s="122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  <c r="AA480" s="122"/>
      <c r="AB480" s="122"/>
    </row>
    <row r="481" spans="1:28" ht="15.75" customHeight="1" x14ac:dyDescent="0.2">
      <c r="A481" s="122"/>
      <c r="B481" s="122"/>
      <c r="C481" s="122"/>
      <c r="D481" s="122"/>
      <c r="E481" s="122"/>
      <c r="F481" s="122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  <c r="AA481" s="122"/>
      <c r="AB481" s="122"/>
    </row>
    <row r="482" spans="1:28" ht="15.75" customHeight="1" x14ac:dyDescent="0.2">
      <c r="A482" s="122"/>
      <c r="B482" s="122"/>
      <c r="C482" s="122"/>
      <c r="D482" s="122"/>
      <c r="E482" s="122"/>
      <c r="F482" s="122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  <c r="AA482" s="122"/>
      <c r="AB482" s="122"/>
    </row>
    <row r="483" spans="1:28" ht="15.75" customHeight="1" x14ac:dyDescent="0.2">
      <c r="A483" s="122"/>
      <c r="B483" s="122"/>
      <c r="C483" s="122"/>
      <c r="D483" s="122"/>
      <c r="E483" s="122"/>
      <c r="F483" s="122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  <c r="AA483" s="122"/>
      <c r="AB483" s="122"/>
    </row>
    <row r="484" spans="1:28" ht="15.75" customHeight="1" x14ac:dyDescent="0.2">
      <c r="A484" s="122"/>
      <c r="B484" s="122"/>
      <c r="C484" s="122"/>
      <c r="D484" s="122"/>
      <c r="E484" s="122"/>
      <c r="F484" s="122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  <c r="AA484" s="122"/>
      <c r="AB484" s="122"/>
    </row>
    <row r="485" spans="1:28" ht="15.75" customHeight="1" x14ac:dyDescent="0.2">
      <c r="A485" s="122"/>
      <c r="B485" s="122"/>
      <c r="C485" s="122"/>
      <c r="D485" s="122"/>
      <c r="E485" s="122"/>
      <c r="F485" s="122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  <c r="AA485" s="122"/>
      <c r="AB485" s="122"/>
    </row>
    <row r="486" spans="1:28" ht="15.75" customHeight="1" x14ac:dyDescent="0.2">
      <c r="A486" s="122"/>
      <c r="B486" s="122"/>
      <c r="C486" s="122"/>
      <c r="D486" s="122"/>
      <c r="E486" s="122"/>
      <c r="F486" s="122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  <c r="AA486" s="122"/>
      <c r="AB486" s="122"/>
    </row>
    <row r="487" spans="1:28" ht="15.75" customHeight="1" x14ac:dyDescent="0.2">
      <c r="A487" s="122"/>
      <c r="B487" s="122"/>
      <c r="C487" s="122"/>
      <c r="D487" s="122"/>
      <c r="E487" s="122"/>
      <c r="F487" s="122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  <c r="AA487" s="122"/>
      <c r="AB487" s="122"/>
    </row>
    <row r="488" spans="1:28" ht="15.75" customHeight="1" x14ac:dyDescent="0.2">
      <c r="A488" s="122"/>
      <c r="B488" s="122"/>
      <c r="C488" s="122"/>
      <c r="D488" s="122"/>
      <c r="E488" s="122"/>
      <c r="F488" s="122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  <c r="AA488" s="122"/>
      <c r="AB488" s="122"/>
    </row>
    <row r="489" spans="1:28" ht="15.75" customHeight="1" x14ac:dyDescent="0.2">
      <c r="A489" s="122"/>
      <c r="B489" s="122"/>
      <c r="C489" s="122"/>
      <c r="D489" s="122"/>
      <c r="E489" s="122"/>
      <c r="F489" s="122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  <c r="AA489" s="122"/>
      <c r="AB489" s="122"/>
    </row>
    <row r="490" spans="1:28" ht="15.75" customHeight="1" x14ac:dyDescent="0.2">
      <c r="A490" s="122"/>
      <c r="B490" s="122"/>
      <c r="C490" s="122"/>
      <c r="D490" s="122"/>
      <c r="E490" s="122"/>
      <c r="F490" s="122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  <c r="AA490" s="122"/>
      <c r="AB490" s="122"/>
    </row>
    <row r="491" spans="1:28" ht="15.75" customHeight="1" x14ac:dyDescent="0.2">
      <c r="A491" s="122"/>
      <c r="B491" s="122"/>
      <c r="C491" s="122"/>
      <c r="D491" s="122"/>
      <c r="E491" s="122"/>
      <c r="F491" s="122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  <c r="AA491" s="122"/>
      <c r="AB491" s="122"/>
    </row>
    <row r="492" spans="1:28" ht="15.75" customHeight="1" x14ac:dyDescent="0.2">
      <c r="A492" s="122"/>
      <c r="B492" s="122"/>
      <c r="C492" s="122"/>
      <c r="D492" s="122"/>
      <c r="E492" s="122"/>
      <c r="F492" s="122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  <c r="AA492" s="122"/>
      <c r="AB492" s="122"/>
    </row>
    <row r="493" spans="1:28" ht="15.75" customHeight="1" x14ac:dyDescent="0.2">
      <c r="A493" s="122"/>
      <c r="B493" s="122"/>
      <c r="C493" s="122"/>
      <c r="D493" s="122"/>
      <c r="E493" s="122"/>
      <c r="F493" s="122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  <c r="AA493" s="122"/>
      <c r="AB493" s="122"/>
    </row>
    <row r="494" spans="1:28" ht="15.75" customHeight="1" x14ac:dyDescent="0.2">
      <c r="A494" s="122"/>
      <c r="B494" s="122"/>
      <c r="C494" s="122"/>
      <c r="D494" s="122"/>
      <c r="E494" s="122"/>
      <c r="F494" s="122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  <c r="AA494" s="122"/>
      <c r="AB494" s="122"/>
    </row>
    <row r="495" spans="1:28" ht="15.75" customHeight="1" x14ac:dyDescent="0.2">
      <c r="A495" s="122"/>
      <c r="B495" s="122"/>
      <c r="C495" s="122"/>
      <c r="D495" s="122"/>
      <c r="E495" s="122"/>
      <c r="F495" s="122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  <c r="AA495" s="122"/>
      <c r="AB495" s="122"/>
    </row>
    <row r="496" spans="1:28" ht="15.75" customHeight="1" x14ac:dyDescent="0.2">
      <c r="A496" s="122"/>
      <c r="B496" s="122"/>
      <c r="C496" s="122"/>
      <c r="D496" s="122"/>
      <c r="E496" s="122"/>
      <c r="F496" s="122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  <c r="AA496" s="122"/>
      <c r="AB496" s="122"/>
    </row>
    <row r="497" spans="1:28" ht="15.75" customHeight="1" x14ac:dyDescent="0.2">
      <c r="A497" s="122"/>
      <c r="B497" s="122"/>
      <c r="C497" s="122"/>
      <c r="D497" s="122"/>
      <c r="E497" s="122"/>
      <c r="F497" s="122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  <c r="AA497" s="122"/>
      <c r="AB497" s="122"/>
    </row>
    <row r="498" spans="1:28" ht="15.75" customHeight="1" x14ac:dyDescent="0.2">
      <c r="A498" s="122"/>
      <c r="B498" s="122"/>
      <c r="C498" s="122"/>
      <c r="D498" s="122"/>
      <c r="E498" s="122"/>
      <c r="F498" s="122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  <c r="AA498" s="122"/>
      <c r="AB498" s="122"/>
    </row>
    <row r="499" spans="1:28" ht="15.75" customHeight="1" x14ac:dyDescent="0.2">
      <c r="A499" s="122"/>
      <c r="B499" s="122"/>
      <c r="C499" s="122"/>
      <c r="D499" s="122"/>
      <c r="E499" s="122"/>
      <c r="F499" s="122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  <c r="AA499" s="122"/>
      <c r="AB499" s="122"/>
    </row>
    <row r="500" spans="1:28" ht="15.75" customHeight="1" x14ac:dyDescent="0.2">
      <c r="A500" s="122"/>
      <c r="B500" s="122"/>
      <c r="C500" s="122"/>
      <c r="D500" s="122"/>
      <c r="E500" s="122"/>
      <c r="F500" s="122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  <c r="AA500" s="122"/>
      <c r="AB500" s="122"/>
    </row>
    <row r="501" spans="1:28" ht="15.75" customHeight="1" x14ac:dyDescent="0.2">
      <c r="A501" s="122"/>
      <c r="B501" s="122"/>
      <c r="C501" s="122"/>
      <c r="D501" s="122"/>
      <c r="E501" s="122"/>
      <c r="F501" s="122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  <c r="AA501" s="122"/>
      <c r="AB501" s="122"/>
    </row>
    <row r="502" spans="1:28" ht="15.75" customHeight="1" x14ac:dyDescent="0.2">
      <c r="A502" s="122"/>
      <c r="B502" s="122"/>
      <c r="C502" s="122"/>
      <c r="D502" s="122"/>
      <c r="E502" s="122"/>
      <c r="F502" s="122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  <c r="AA502" s="122"/>
      <c r="AB502" s="122"/>
    </row>
    <row r="503" spans="1:28" ht="15.75" customHeight="1" x14ac:dyDescent="0.2">
      <c r="A503" s="122"/>
      <c r="B503" s="122"/>
      <c r="C503" s="122"/>
      <c r="D503" s="122"/>
      <c r="E503" s="122"/>
      <c r="F503" s="122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  <c r="AA503" s="122"/>
      <c r="AB503" s="122"/>
    </row>
    <row r="504" spans="1:28" ht="15.75" customHeight="1" x14ac:dyDescent="0.2">
      <c r="A504" s="122"/>
      <c r="B504" s="122"/>
      <c r="C504" s="122"/>
      <c r="D504" s="122"/>
      <c r="E504" s="122"/>
      <c r="F504" s="122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  <c r="AA504" s="122"/>
      <c r="AB504" s="122"/>
    </row>
    <row r="505" spans="1:28" ht="15.75" customHeight="1" x14ac:dyDescent="0.2">
      <c r="A505" s="122"/>
      <c r="B505" s="122"/>
      <c r="C505" s="122"/>
      <c r="D505" s="122"/>
      <c r="E505" s="122"/>
      <c r="F505" s="122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  <c r="AA505" s="122"/>
      <c r="AB505" s="122"/>
    </row>
    <row r="506" spans="1:28" ht="15.75" customHeight="1" x14ac:dyDescent="0.2">
      <c r="A506" s="122"/>
      <c r="B506" s="122"/>
      <c r="C506" s="122"/>
      <c r="D506" s="122"/>
      <c r="E506" s="122"/>
      <c r="F506" s="122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  <c r="AA506" s="122"/>
      <c r="AB506" s="122"/>
    </row>
    <row r="507" spans="1:28" ht="15.75" customHeight="1" x14ac:dyDescent="0.2">
      <c r="A507" s="122"/>
      <c r="B507" s="122"/>
      <c r="C507" s="122"/>
      <c r="D507" s="122"/>
      <c r="E507" s="122"/>
      <c r="F507" s="122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  <c r="AA507" s="122"/>
      <c r="AB507" s="122"/>
    </row>
    <row r="508" spans="1:28" ht="15.75" customHeight="1" x14ac:dyDescent="0.2">
      <c r="A508" s="122"/>
      <c r="B508" s="122"/>
      <c r="C508" s="122"/>
      <c r="D508" s="122"/>
      <c r="E508" s="122"/>
      <c r="F508" s="122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  <c r="AA508" s="122"/>
      <c r="AB508" s="122"/>
    </row>
    <row r="509" spans="1:28" ht="15.75" customHeight="1" x14ac:dyDescent="0.2">
      <c r="A509" s="122"/>
      <c r="B509" s="122"/>
      <c r="C509" s="122"/>
      <c r="D509" s="122"/>
      <c r="E509" s="122"/>
      <c r="F509" s="122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  <c r="AA509" s="122"/>
      <c r="AB509" s="122"/>
    </row>
    <row r="510" spans="1:28" ht="15.75" customHeight="1" x14ac:dyDescent="0.2">
      <c r="A510" s="122"/>
      <c r="B510" s="122"/>
      <c r="C510" s="122"/>
      <c r="D510" s="122"/>
      <c r="E510" s="122"/>
      <c r="F510" s="122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  <c r="AA510" s="122"/>
      <c r="AB510" s="122"/>
    </row>
    <row r="511" spans="1:28" ht="15.75" customHeight="1" x14ac:dyDescent="0.2">
      <c r="A511" s="122"/>
      <c r="B511" s="122"/>
      <c r="C511" s="122"/>
      <c r="D511" s="122"/>
      <c r="E511" s="122"/>
      <c r="F511" s="122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  <c r="AA511" s="122"/>
      <c r="AB511" s="122"/>
    </row>
    <row r="512" spans="1:28" ht="15.75" customHeight="1" x14ac:dyDescent="0.2">
      <c r="A512" s="122"/>
      <c r="B512" s="122"/>
      <c r="C512" s="122"/>
      <c r="D512" s="122"/>
      <c r="E512" s="122"/>
      <c r="F512" s="122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  <c r="AA512" s="122"/>
      <c r="AB512" s="122"/>
    </row>
    <row r="513" spans="1:28" ht="15.75" customHeight="1" x14ac:dyDescent="0.2">
      <c r="A513" s="122"/>
      <c r="B513" s="122"/>
      <c r="C513" s="122"/>
      <c r="D513" s="122"/>
      <c r="E513" s="122"/>
      <c r="F513" s="122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  <c r="AA513" s="122"/>
      <c r="AB513" s="122"/>
    </row>
    <row r="514" spans="1:28" ht="15.75" customHeight="1" x14ac:dyDescent="0.2">
      <c r="A514" s="122"/>
      <c r="B514" s="122"/>
      <c r="C514" s="122"/>
      <c r="D514" s="122"/>
      <c r="E514" s="122"/>
      <c r="F514" s="122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  <c r="AA514" s="122"/>
      <c r="AB514" s="122"/>
    </row>
    <row r="515" spans="1:28" ht="15.75" customHeight="1" x14ac:dyDescent="0.2">
      <c r="A515" s="122"/>
      <c r="B515" s="122"/>
      <c r="C515" s="122"/>
      <c r="D515" s="122"/>
      <c r="E515" s="122"/>
      <c r="F515" s="122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  <c r="AA515" s="122"/>
      <c r="AB515" s="122"/>
    </row>
    <row r="516" spans="1:28" ht="15.75" customHeight="1" x14ac:dyDescent="0.2">
      <c r="A516" s="122"/>
      <c r="B516" s="122"/>
      <c r="C516" s="122"/>
      <c r="D516" s="122"/>
      <c r="E516" s="122"/>
      <c r="F516" s="122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  <c r="AA516" s="122"/>
      <c r="AB516" s="122"/>
    </row>
    <row r="517" spans="1:28" ht="15.75" customHeight="1" x14ac:dyDescent="0.2">
      <c r="A517" s="122"/>
      <c r="B517" s="122"/>
      <c r="C517" s="122"/>
      <c r="D517" s="122"/>
      <c r="E517" s="122"/>
      <c r="F517" s="122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  <c r="AA517" s="122"/>
      <c r="AB517" s="122"/>
    </row>
    <row r="518" spans="1:28" ht="15.75" customHeight="1" x14ac:dyDescent="0.2">
      <c r="A518" s="122"/>
      <c r="B518" s="122"/>
      <c r="C518" s="122"/>
      <c r="D518" s="122"/>
      <c r="E518" s="122"/>
      <c r="F518" s="122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  <c r="AA518" s="122"/>
      <c r="AB518" s="122"/>
    </row>
    <row r="519" spans="1:28" ht="15.75" customHeight="1" x14ac:dyDescent="0.2">
      <c r="A519" s="122"/>
      <c r="B519" s="122"/>
      <c r="C519" s="122"/>
      <c r="D519" s="122"/>
      <c r="E519" s="122"/>
      <c r="F519" s="122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  <c r="AA519" s="122"/>
      <c r="AB519" s="122"/>
    </row>
    <row r="520" spans="1:28" ht="15.75" customHeight="1" x14ac:dyDescent="0.2">
      <c r="A520" s="122"/>
      <c r="B520" s="122"/>
      <c r="C520" s="122"/>
      <c r="D520" s="122"/>
      <c r="E520" s="122"/>
      <c r="F520" s="122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  <c r="AA520" s="122"/>
      <c r="AB520" s="122"/>
    </row>
    <row r="521" spans="1:28" ht="15.75" customHeight="1" x14ac:dyDescent="0.2">
      <c r="A521" s="122"/>
      <c r="B521" s="122"/>
      <c r="C521" s="122"/>
      <c r="D521" s="122"/>
      <c r="E521" s="122"/>
      <c r="F521" s="122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  <c r="AA521" s="122"/>
      <c r="AB521" s="122"/>
    </row>
    <row r="522" spans="1:28" ht="15.75" customHeight="1" x14ac:dyDescent="0.2">
      <c r="A522" s="122"/>
      <c r="B522" s="122"/>
      <c r="C522" s="122"/>
      <c r="D522" s="122"/>
      <c r="E522" s="122"/>
      <c r="F522" s="122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  <c r="AA522" s="122"/>
      <c r="AB522" s="122"/>
    </row>
    <row r="523" spans="1:28" ht="15.75" customHeight="1" x14ac:dyDescent="0.2">
      <c r="A523" s="122"/>
      <c r="B523" s="122"/>
      <c r="C523" s="122"/>
      <c r="D523" s="122"/>
      <c r="E523" s="122"/>
      <c r="F523" s="122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  <c r="AA523" s="122"/>
      <c r="AB523" s="122"/>
    </row>
    <row r="524" spans="1:28" ht="15.75" customHeight="1" x14ac:dyDescent="0.2">
      <c r="A524" s="122"/>
      <c r="B524" s="122"/>
      <c r="C524" s="122"/>
      <c r="D524" s="122"/>
      <c r="E524" s="122"/>
      <c r="F524" s="122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  <c r="AA524" s="122"/>
      <c r="AB524" s="122"/>
    </row>
    <row r="525" spans="1:28" ht="15.75" customHeight="1" x14ac:dyDescent="0.2">
      <c r="A525" s="122"/>
      <c r="B525" s="122"/>
      <c r="C525" s="122"/>
      <c r="D525" s="122"/>
      <c r="E525" s="122"/>
      <c r="F525" s="122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  <c r="AA525" s="122"/>
      <c r="AB525" s="122"/>
    </row>
    <row r="526" spans="1:28" ht="15.75" customHeight="1" x14ac:dyDescent="0.2">
      <c r="A526" s="122"/>
      <c r="B526" s="122"/>
      <c r="C526" s="122"/>
      <c r="D526" s="122"/>
      <c r="E526" s="122"/>
      <c r="F526" s="122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  <c r="AA526" s="122"/>
      <c r="AB526" s="122"/>
    </row>
    <row r="527" spans="1:28" ht="15.75" customHeight="1" x14ac:dyDescent="0.2">
      <c r="A527" s="122"/>
      <c r="B527" s="122"/>
      <c r="C527" s="122"/>
      <c r="D527" s="122"/>
      <c r="E527" s="122"/>
      <c r="F527" s="122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  <c r="AA527" s="122"/>
      <c r="AB527" s="122"/>
    </row>
    <row r="528" spans="1:28" ht="15.75" customHeight="1" x14ac:dyDescent="0.2">
      <c r="A528" s="122"/>
      <c r="B528" s="122"/>
      <c r="C528" s="122"/>
      <c r="D528" s="122"/>
      <c r="E528" s="122"/>
      <c r="F528" s="122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  <c r="AA528" s="122"/>
      <c r="AB528" s="122"/>
    </row>
    <row r="529" spans="1:28" ht="15.75" customHeight="1" x14ac:dyDescent="0.2">
      <c r="A529" s="122"/>
      <c r="B529" s="122"/>
      <c r="C529" s="122"/>
      <c r="D529" s="122"/>
      <c r="E529" s="122"/>
      <c r="F529" s="122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  <c r="AA529" s="122"/>
      <c r="AB529" s="122"/>
    </row>
    <row r="530" spans="1:28" ht="15.75" customHeight="1" x14ac:dyDescent="0.2">
      <c r="A530" s="122"/>
      <c r="B530" s="122"/>
      <c r="C530" s="122"/>
      <c r="D530" s="122"/>
      <c r="E530" s="122"/>
      <c r="F530" s="122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  <c r="AA530" s="122"/>
      <c r="AB530" s="122"/>
    </row>
    <row r="531" spans="1:28" ht="15.75" customHeight="1" x14ac:dyDescent="0.2">
      <c r="A531" s="122"/>
      <c r="B531" s="122"/>
      <c r="C531" s="122"/>
      <c r="D531" s="122"/>
      <c r="E531" s="122"/>
      <c r="F531" s="122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  <c r="AA531" s="122"/>
      <c r="AB531" s="122"/>
    </row>
    <row r="532" spans="1:28" ht="15.75" customHeight="1" x14ac:dyDescent="0.2">
      <c r="A532" s="122"/>
      <c r="B532" s="122"/>
      <c r="C532" s="122"/>
      <c r="D532" s="122"/>
      <c r="E532" s="122"/>
      <c r="F532" s="122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  <c r="AA532" s="122"/>
      <c r="AB532" s="122"/>
    </row>
    <row r="533" spans="1:28" ht="15.75" customHeight="1" x14ac:dyDescent="0.2">
      <c r="A533" s="122"/>
      <c r="B533" s="122"/>
      <c r="C533" s="122"/>
      <c r="D533" s="122"/>
      <c r="E533" s="122"/>
      <c r="F533" s="122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  <c r="AA533" s="122"/>
      <c r="AB533" s="122"/>
    </row>
    <row r="534" spans="1:28" ht="15.75" customHeight="1" x14ac:dyDescent="0.2">
      <c r="A534" s="122"/>
      <c r="B534" s="122"/>
      <c r="C534" s="122"/>
      <c r="D534" s="122"/>
      <c r="E534" s="122"/>
      <c r="F534" s="122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  <c r="AA534" s="122"/>
      <c r="AB534" s="122"/>
    </row>
    <row r="535" spans="1:28" ht="15.75" customHeight="1" x14ac:dyDescent="0.2">
      <c r="A535" s="122"/>
      <c r="B535" s="122"/>
      <c r="C535" s="122"/>
      <c r="D535" s="122"/>
      <c r="E535" s="122"/>
      <c r="F535" s="122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  <c r="AA535" s="122"/>
      <c r="AB535" s="122"/>
    </row>
    <row r="536" spans="1:28" ht="15.75" customHeight="1" x14ac:dyDescent="0.2">
      <c r="A536" s="122"/>
      <c r="B536" s="122"/>
      <c r="C536" s="122"/>
      <c r="D536" s="122"/>
      <c r="E536" s="122"/>
      <c r="F536" s="122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  <c r="AA536" s="122"/>
      <c r="AB536" s="122"/>
    </row>
    <row r="537" spans="1:28" ht="15.75" customHeight="1" x14ac:dyDescent="0.2">
      <c r="A537" s="122"/>
      <c r="B537" s="122"/>
      <c r="C537" s="122"/>
      <c r="D537" s="122"/>
      <c r="E537" s="122"/>
      <c r="F537" s="122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  <c r="AA537" s="122"/>
      <c r="AB537" s="122"/>
    </row>
    <row r="538" spans="1:28" ht="15.75" customHeight="1" x14ac:dyDescent="0.2">
      <c r="A538" s="122"/>
      <c r="B538" s="122"/>
      <c r="C538" s="122"/>
      <c r="D538" s="122"/>
      <c r="E538" s="122"/>
      <c r="F538" s="122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  <c r="AA538" s="122"/>
      <c r="AB538" s="122"/>
    </row>
    <row r="539" spans="1:28" ht="15.75" customHeight="1" x14ac:dyDescent="0.2">
      <c r="A539" s="122"/>
      <c r="B539" s="122"/>
      <c r="C539" s="122"/>
      <c r="D539" s="122"/>
      <c r="E539" s="122"/>
      <c r="F539" s="122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  <c r="AA539" s="122"/>
      <c r="AB539" s="122"/>
    </row>
    <row r="540" spans="1:28" ht="15.75" customHeight="1" x14ac:dyDescent="0.2">
      <c r="A540" s="122"/>
      <c r="B540" s="122"/>
      <c r="C540" s="122"/>
      <c r="D540" s="122"/>
      <c r="E540" s="122"/>
      <c r="F540" s="122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  <c r="AA540" s="122"/>
      <c r="AB540" s="122"/>
    </row>
    <row r="541" spans="1:28" ht="15.75" customHeight="1" x14ac:dyDescent="0.2">
      <c r="A541" s="122"/>
      <c r="B541" s="122"/>
      <c r="C541" s="122"/>
      <c r="D541" s="122"/>
      <c r="E541" s="122"/>
      <c r="F541" s="122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  <c r="AA541" s="122"/>
      <c r="AB541" s="122"/>
    </row>
    <row r="542" spans="1:28" ht="15.75" customHeight="1" x14ac:dyDescent="0.2">
      <c r="A542" s="122"/>
      <c r="B542" s="122"/>
      <c r="C542" s="122"/>
      <c r="D542" s="122"/>
      <c r="E542" s="122"/>
      <c r="F542" s="122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  <c r="AA542" s="122"/>
      <c r="AB542" s="122"/>
    </row>
    <row r="543" spans="1:28" ht="15.75" customHeight="1" x14ac:dyDescent="0.2">
      <c r="A543" s="122"/>
      <c r="B543" s="122"/>
      <c r="C543" s="122"/>
      <c r="D543" s="122"/>
      <c r="E543" s="122"/>
      <c r="F543" s="122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  <c r="AA543" s="122"/>
      <c r="AB543" s="122"/>
    </row>
    <row r="544" spans="1:28" ht="15.75" customHeight="1" x14ac:dyDescent="0.2">
      <c r="A544" s="122"/>
      <c r="B544" s="122"/>
      <c r="C544" s="122"/>
      <c r="D544" s="122"/>
      <c r="E544" s="122"/>
      <c r="F544" s="122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  <c r="AA544" s="122"/>
      <c r="AB544" s="122"/>
    </row>
    <row r="545" spans="1:28" ht="15.75" customHeight="1" x14ac:dyDescent="0.2">
      <c r="A545" s="122"/>
      <c r="B545" s="122"/>
      <c r="C545" s="122"/>
      <c r="D545" s="122"/>
      <c r="E545" s="122"/>
      <c r="F545" s="122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  <c r="AA545" s="122"/>
      <c r="AB545" s="122"/>
    </row>
    <row r="546" spans="1:28" ht="15.75" customHeight="1" x14ac:dyDescent="0.2">
      <c r="A546" s="122"/>
      <c r="B546" s="122"/>
      <c r="C546" s="122"/>
      <c r="D546" s="122"/>
      <c r="E546" s="122"/>
      <c r="F546" s="122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  <c r="AA546" s="122"/>
      <c r="AB546" s="122"/>
    </row>
    <row r="547" spans="1:28" ht="15.75" customHeight="1" x14ac:dyDescent="0.2">
      <c r="A547" s="122"/>
      <c r="B547" s="122"/>
      <c r="C547" s="122"/>
      <c r="D547" s="122"/>
      <c r="E547" s="122"/>
      <c r="F547" s="122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  <c r="AA547" s="122"/>
      <c r="AB547" s="122"/>
    </row>
    <row r="548" spans="1:28" ht="15.75" customHeight="1" x14ac:dyDescent="0.2">
      <c r="A548" s="122"/>
      <c r="B548" s="122"/>
      <c r="C548" s="122"/>
      <c r="D548" s="122"/>
      <c r="E548" s="122"/>
      <c r="F548" s="122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  <c r="AA548" s="122"/>
      <c r="AB548" s="122"/>
    </row>
    <row r="549" spans="1:28" ht="15.75" customHeight="1" x14ac:dyDescent="0.2">
      <c r="A549" s="122"/>
      <c r="B549" s="122"/>
      <c r="C549" s="122"/>
      <c r="D549" s="122"/>
      <c r="E549" s="122"/>
      <c r="F549" s="122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  <c r="AA549" s="122"/>
      <c r="AB549" s="122"/>
    </row>
    <row r="550" spans="1:28" ht="15.75" customHeight="1" x14ac:dyDescent="0.2">
      <c r="A550" s="122"/>
      <c r="B550" s="122"/>
      <c r="C550" s="122"/>
      <c r="D550" s="122"/>
      <c r="E550" s="122"/>
      <c r="F550" s="122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  <c r="AA550" s="122"/>
      <c r="AB550" s="122"/>
    </row>
    <row r="551" spans="1:28" ht="15.75" customHeight="1" x14ac:dyDescent="0.2">
      <c r="A551" s="122"/>
      <c r="B551" s="122"/>
      <c r="C551" s="122"/>
      <c r="D551" s="122"/>
      <c r="E551" s="122"/>
      <c r="F551" s="122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  <c r="AA551" s="122"/>
      <c r="AB551" s="122"/>
    </row>
    <row r="552" spans="1:28" ht="15.75" customHeight="1" x14ac:dyDescent="0.2">
      <c r="A552" s="122"/>
      <c r="B552" s="122"/>
      <c r="C552" s="122"/>
      <c r="D552" s="122"/>
      <c r="E552" s="122"/>
      <c r="F552" s="122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  <c r="AA552" s="122"/>
      <c r="AB552" s="122"/>
    </row>
    <row r="553" spans="1:28" ht="15.75" customHeight="1" x14ac:dyDescent="0.2">
      <c r="A553" s="122"/>
      <c r="B553" s="122"/>
      <c r="C553" s="122"/>
      <c r="D553" s="122"/>
      <c r="E553" s="122"/>
      <c r="F553" s="122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  <c r="AA553" s="122"/>
      <c r="AB553" s="122"/>
    </row>
    <row r="554" spans="1:28" ht="15.75" customHeight="1" x14ac:dyDescent="0.2">
      <c r="A554" s="122"/>
      <c r="B554" s="122"/>
      <c r="C554" s="122"/>
      <c r="D554" s="122"/>
      <c r="E554" s="122"/>
      <c r="F554" s="122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  <c r="AA554" s="122"/>
      <c r="AB554" s="122"/>
    </row>
    <row r="555" spans="1:28" ht="15.75" customHeight="1" x14ac:dyDescent="0.2">
      <c r="A555" s="122"/>
      <c r="B555" s="122"/>
      <c r="C555" s="122"/>
      <c r="D555" s="122"/>
      <c r="E555" s="122"/>
      <c r="F555" s="122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  <c r="AA555" s="122"/>
      <c r="AB555" s="122"/>
    </row>
    <row r="556" spans="1:28" ht="15.75" customHeight="1" x14ac:dyDescent="0.2">
      <c r="A556" s="122"/>
      <c r="B556" s="122"/>
      <c r="C556" s="122"/>
      <c r="D556" s="122"/>
      <c r="E556" s="122"/>
      <c r="F556" s="122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  <c r="AA556" s="122"/>
      <c r="AB556" s="122"/>
    </row>
    <row r="557" spans="1:28" ht="15.75" customHeight="1" x14ac:dyDescent="0.2">
      <c r="A557" s="122"/>
      <c r="B557" s="122"/>
      <c r="C557" s="122"/>
      <c r="D557" s="122"/>
      <c r="E557" s="122"/>
      <c r="F557" s="122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  <c r="AA557" s="122"/>
      <c r="AB557" s="122"/>
    </row>
    <row r="558" spans="1:28" ht="15.75" customHeight="1" x14ac:dyDescent="0.2">
      <c r="A558" s="122"/>
      <c r="B558" s="122"/>
      <c r="C558" s="122"/>
      <c r="D558" s="122"/>
      <c r="E558" s="122"/>
      <c r="F558" s="122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  <c r="AA558" s="122"/>
      <c r="AB558" s="122"/>
    </row>
    <row r="559" spans="1:28" ht="15.75" customHeight="1" x14ac:dyDescent="0.2">
      <c r="A559" s="122"/>
      <c r="B559" s="122"/>
      <c r="C559" s="122"/>
      <c r="D559" s="122"/>
      <c r="E559" s="122"/>
      <c r="F559" s="122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  <c r="AA559" s="122"/>
      <c r="AB559" s="122"/>
    </row>
    <row r="560" spans="1:28" ht="15.75" customHeight="1" x14ac:dyDescent="0.2">
      <c r="A560" s="122"/>
      <c r="B560" s="122"/>
      <c r="C560" s="122"/>
      <c r="D560" s="122"/>
      <c r="E560" s="122"/>
      <c r="F560" s="122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  <c r="AA560" s="122"/>
      <c r="AB560" s="122"/>
    </row>
    <row r="561" spans="1:28" ht="15.75" customHeight="1" x14ac:dyDescent="0.2">
      <c r="A561" s="122"/>
      <c r="B561" s="122"/>
      <c r="C561" s="122"/>
      <c r="D561" s="122"/>
      <c r="E561" s="122"/>
      <c r="F561" s="122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  <c r="AA561" s="122"/>
      <c r="AB561" s="122"/>
    </row>
    <row r="562" spans="1:28" ht="15.75" customHeight="1" x14ac:dyDescent="0.2">
      <c r="A562" s="122"/>
      <c r="B562" s="122"/>
      <c r="C562" s="122"/>
      <c r="D562" s="122"/>
      <c r="E562" s="122"/>
      <c r="F562" s="122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  <c r="AA562" s="122"/>
      <c r="AB562" s="122"/>
    </row>
    <row r="563" spans="1:28" ht="15.75" customHeight="1" x14ac:dyDescent="0.2">
      <c r="A563" s="122"/>
      <c r="B563" s="122"/>
      <c r="C563" s="122"/>
      <c r="D563" s="122"/>
      <c r="E563" s="122"/>
      <c r="F563" s="122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  <c r="AA563" s="122"/>
      <c r="AB563" s="122"/>
    </row>
    <row r="564" spans="1:28" ht="15.75" customHeight="1" x14ac:dyDescent="0.2">
      <c r="A564" s="122"/>
      <c r="B564" s="122"/>
      <c r="C564" s="122"/>
      <c r="D564" s="122"/>
      <c r="E564" s="122"/>
      <c r="F564" s="122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  <c r="AA564" s="122"/>
      <c r="AB564" s="122"/>
    </row>
    <row r="565" spans="1:28" ht="15.75" customHeight="1" x14ac:dyDescent="0.2">
      <c r="A565" s="122"/>
      <c r="B565" s="122"/>
      <c r="C565" s="122"/>
      <c r="D565" s="122"/>
      <c r="E565" s="122"/>
      <c r="F565" s="122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  <c r="AA565" s="122"/>
      <c r="AB565" s="122"/>
    </row>
    <row r="566" spans="1:28" ht="15.75" customHeight="1" x14ac:dyDescent="0.2">
      <c r="A566" s="122"/>
      <c r="B566" s="122"/>
      <c r="C566" s="122"/>
      <c r="D566" s="122"/>
      <c r="E566" s="122"/>
      <c r="F566" s="122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  <c r="AA566" s="122"/>
      <c r="AB566" s="122"/>
    </row>
    <row r="567" spans="1:28" ht="15.75" customHeight="1" x14ac:dyDescent="0.2">
      <c r="A567" s="122"/>
      <c r="B567" s="122"/>
      <c r="C567" s="122"/>
      <c r="D567" s="122"/>
      <c r="E567" s="122"/>
      <c r="F567" s="122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  <c r="AA567" s="122"/>
      <c r="AB567" s="122"/>
    </row>
    <row r="568" spans="1:28" ht="15.75" customHeight="1" x14ac:dyDescent="0.2">
      <c r="A568" s="122"/>
      <c r="B568" s="122"/>
      <c r="C568" s="122"/>
      <c r="D568" s="122"/>
      <c r="E568" s="122"/>
      <c r="F568" s="122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  <c r="AA568" s="122"/>
      <c r="AB568" s="122"/>
    </row>
    <row r="569" spans="1:28" ht="15.75" customHeight="1" x14ac:dyDescent="0.2">
      <c r="A569" s="122"/>
      <c r="B569" s="122"/>
      <c r="C569" s="122"/>
      <c r="D569" s="122"/>
      <c r="E569" s="122"/>
      <c r="F569" s="122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  <c r="AA569" s="122"/>
      <c r="AB569" s="122"/>
    </row>
    <row r="570" spans="1:28" ht="15.75" customHeight="1" x14ac:dyDescent="0.2">
      <c r="A570" s="122"/>
      <c r="B570" s="122"/>
      <c r="C570" s="122"/>
      <c r="D570" s="122"/>
      <c r="E570" s="122"/>
      <c r="F570" s="122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  <c r="AA570" s="122"/>
      <c r="AB570" s="122"/>
    </row>
    <row r="571" spans="1:28" ht="15.75" customHeight="1" x14ac:dyDescent="0.2">
      <c r="A571" s="122"/>
      <c r="B571" s="122"/>
      <c r="C571" s="122"/>
      <c r="D571" s="122"/>
      <c r="E571" s="122"/>
      <c r="F571" s="122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  <c r="AA571" s="122"/>
      <c r="AB571" s="122"/>
    </row>
    <row r="572" spans="1:28" ht="15.75" customHeight="1" x14ac:dyDescent="0.2">
      <c r="A572" s="122"/>
      <c r="B572" s="122"/>
      <c r="C572" s="122"/>
      <c r="D572" s="122"/>
      <c r="E572" s="122"/>
      <c r="F572" s="122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  <c r="AA572" s="122"/>
      <c r="AB572" s="122"/>
    </row>
    <row r="573" spans="1:28" ht="15.75" customHeight="1" x14ac:dyDescent="0.2">
      <c r="A573" s="122"/>
      <c r="B573" s="122"/>
      <c r="C573" s="122"/>
      <c r="D573" s="122"/>
      <c r="E573" s="122"/>
      <c r="F573" s="122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  <c r="AA573" s="122"/>
      <c r="AB573" s="122"/>
    </row>
    <row r="574" spans="1:28" ht="15.75" customHeight="1" x14ac:dyDescent="0.2">
      <c r="A574" s="122"/>
      <c r="B574" s="122"/>
      <c r="C574" s="122"/>
      <c r="D574" s="122"/>
      <c r="E574" s="122"/>
      <c r="F574" s="122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  <c r="AA574" s="122"/>
      <c r="AB574" s="122"/>
    </row>
    <row r="575" spans="1:28" ht="15.75" customHeight="1" x14ac:dyDescent="0.2">
      <c r="A575" s="122"/>
      <c r="B575" s="122"/>
      <c r="C575" s="122"/>
      <c r="D575" s="122"/>
      <c r="E575" s="122"/>
      <c r="F575" s="122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  <c r="AA575" s="122"/>
      <c r="AB575" s="122"/>
    </row>
    <row r="576" spans="1:28" ht="15.75" customHeight="1" x14ac:dyDescent="0.2">
      <c r="A576" s="122"/>
      <c r="B576" s="122"/>
      <c r="C576" s="122"/>
      <c r="D576" s="122"/>
      <c r="E576" s="122"/>
      <c r="F576" s="122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  <c r="AA576" s="122"/>
      <c r="AB576" s="122"/>
    </row>
    <row r="577" spans="1:28" ht="15.75" customHeight="1" x14ac:dyDescent="0.2">
      <c r="A577" s="122"/>
      <c r="B577" s="122"/>
      <c r="C577" s="122"/>
      <c r="D577" s="122"/>
      <c r="E577" s="122"/>
      <c r="F577" s="122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  <c r="AA577" s="122"/>
      <c r="AB577" s="122"/>
    </row>
    <row r="578" spans="1:28" ht="15.75" customHeight="1" x14ac:dyDescent="0.2">
      <c r="A578" s="122"/>
      <c r="B578" s="122"/>
      <c r="C578" s="122"/>
      <c r="D578" s="122"/>
      <c r="E578" s="122"/>
      <c r="F578" s="122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  <c r="AA578" s="122"/>
      <c r="AB578" s="122"/>
    </row>
    <row r="579" spans="1:28" ht="15.75" customHeight="1" x14ac:dyDescent="0.2">
      <c r="A579" s="122"/>
      <c r="B579" s="122"/>
      <c r="C579" s="122"/>
      <c r="D579" s="122"/>
      <c r="E579" s="122"/>
      <c r="F579" s="122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  <c r="AA579" s="122"/>
      <c r="AB579" s="122"/>
    </row>
    <row r="580" spans="1:28" ht="15.75" customHeight="1" x14ac:dyDescent="0.2">
      <c r="A580" s="122"/>
      <c r="B580" s="122"/>
      <c r="C580" s="122"/>
      <c r="D580" s="122"/>
      <c r="E580" s="122"/>
      <c r="F580" s="122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  <c r="AA580" s="122"/>
      <c r="AB580" s="122"/>
    </row>
    <row r="581" spans="1:28" ht="15.75" customHeight="1" x14ac:dyDescent="0.2">
      <c r="A581" s="122"/>
      <c r="B581" s="122"/>
      <c r="C581" s="122"/>
      <c r="D581" s="122"/>
      <c r="E581" s="122"/>
      <c r="F581" s="122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  <c r="AA581" s="122"/>
      <c r="AB581" s="122"/>
    </row>
    <row r="582" spans="1:28" ht="15.75" customHeight="1" x14ac:dyDescent="0.2">
      <c r="A582" s="122"/>
      <c r="B582" s="122"/>
      <c r="C582" s="122"/>
      <c r="D582" s="122"/>
      <c r="E582" s="122"/>
      <c r="F582" s="122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  <c r="AA582" s="122"/>
      <c r="AB582" s="122"/>
    </row>
    <row r="583" spans="1:28" ht="15.75" customHeight="1" x14ac:dyDescent="0.2">
      <c r="A583" s="122"/>
      <c r="B583" s="122"/>
      <c r="C583" s="122"/>
      <c r="D583" s="122"/>
      <c r="E583" s="122"/>
      <c r="F583" s="122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  <c r="AA583" s="122"/>
      <c r="AB583" s="122"/>
    </row>
    <row r="584" spans="1:28" ht="15.75" customHeight="1" x14ac:dyDescent="0.2">
      <c r="A584" s="122"/>
      <c r="B584" s="122"/>
      <c r="C584" s="122"/>
      <c r="D584" s="122"/>
      <c r="E584" s="122"/>
      <c r="F584" s="122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  <c r="AA584" s="122"/>
      <c r="AB584" s="122"/>
    </row>
    <row r="585" spans="1:28" ht="15.75" customHeight="1" x14ac:dyDescent="0.2">
      <c r="A585" s="122"/>
      <c r="B585" s="122"/>
      <c r="C585" s="122"/>
      <c r="D585" s="122"/>
      <c r="E585" s="122"/>
      <c r="F585" s="122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  <c r="AA585" s="122"/>
      <c r="AB585" s="122"/>
    </row>
    <row r="586" spans="1:28" ht="15.75" customHeight="1" x14ac:dyDescent="0.2">
      <c r="A586" s="122"/>
      <c r="B586" s="122"/>
      <c r="C586" s="122"/>
      <c r="D586" s="122"/>
      <c r="E586" s="122"/>
      <c r="F586" s="122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  <c r="AA586" s="122"/>
      <c r="AB586" s="122"/>
    </row>
    <row r="587" spans="1:28" ht="15.75" customHeight="1" x14ac:dyDescent="0.2">
      <c r="A587" s="122"/>
      <c r="B587" s="122"/>
      <c r="C587" s="122"/>
      <c r="D587" s="122"/>
      <c r="E587" s="122"/>
      <c r="F587" s="122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  <c r="AA587" s="122"/>
      <c r="AB587" s="122"/>
    </row>
    <row r="588" spans="1:28" ht="15.75" customHeight="1" x14ac:dyDescent="0.2">
      <c r="A588" s="122"/>
      <c r="B588" s="122"/>
      <c r="C588" s="122"/>
      <c r="D588" s="122"/>
      <c r="E588" s="122"/>
      <c r="F588" s="122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  <c r="AA588" s="122"/>
      <c r="AB588" s="122"/>
    </row>
    <row r="589" spans="1:28" ht="15.75" customHeight="1" x14ac:dyDescent="0.2">
      <c r="A589" s="122"/>
      <c r="B589" s="122"/>
      <c r="C589" s="122"/>
      <c r="D589" s="122"/>
      <c r="E589" s="122"/>
      <c r="F589" s="122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  <c r="AA589" s="122"/>
      <c r="AB589" s="122"/>
    </row>
    <row r="590" spans="1:28" ht="15.75" customHeight="1" x14ac:dyDescent="0.2">
      <c r="A590" s="122"/>
      <c r="B590" s="122"/>
      <c r="C590" s="122"/>
      <c r="D590" s="122"/>
      <c r="E590" s="122"/>
      <c r="F590" s="122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  <c r="AA590" s="122"/>
      <c r="AB590" s="122"/>
    </row>
    <row r="591" spans="1:28" ht="15.75" customHeight="1" x14ac:dyDescent="0.2">
      <c r="A591" s="122"/>
      <c r="B591" s="122"/>
      <c r="C591" s="122"/>
      <c r="D591" s="122"/>
      <c r="E591" s="122"/>
      <c r="F591" s="122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  <c r="AA591" s="122"/>
      <c r="AB591" s="122"/>
    </row>
    <row r="592" spans="1:28" ht="15.75" customHeight="1" x14ac:dyDescent="0.2">
      <c r="A592" s="122"/>
      <c r="B592" s="122"/>
      <c r="C592" s="122"/>
      <c r="D592" s="122"/>
      <c r="E592" s="122"/>
      <c r="F592" s="122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  <c r="AA592" s="122"/>
      <c r="AB592" s="122"/>
    </row>
    <row r="593" spans="1:28" ht="15.75" customHeight="1" x14ac:dyDescent="0.2">
      <c r="A593" s="122"/>
      <c r="B593" s="122"/>
      <c r="C593" s="122"/>
      <c r="D593" s="122"/>
      <c r="E593" s="122"/>
      <c r="F593" s="122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  <c r="AA593" s="122"/>
      <c r="AB593" s="122"/>
    </row>
    <row r="594" spans="1:28" ht="15.75" customHeight="1" x14ac:dyDescent="0.2">
      <c r="A594" s="122"/>
      <c r="B594" s="122"/>
      <c r="C594" s="122"/>
      <c r="D594" s="122"/>
      <c r="E594" s="122"/>
      <c r="F594" s="122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  <c r="AA594" s="122"/>
      <c r="AB594" s="122"/>
    </row>
    <row r="595" spans="1:28" ht="15.75" customHeight="1" x14ac:dyDescent="0.2">
      <c r="A595" s="122"/>
      <c r="B595" s="122"/>
      <c r="C595" s="122"/>
      <c r="D595" s="122"/>
      <c r="E595" s="122"/>
      <c r="F595" s="122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  <c r="AA595" s="122"/>
      <c r="AB595" s="122"/>
    </row>
    <row r="596" spans="1:28" ht="15.75" customHeight="1" x14ac:dyDescent="0.2">
      <c r="A596" s="122"/>
      <c r="B596" s="122"/>
      <c r="C596" s="122"/>
      <c r="D596" s="122"/>
      <c r="E596" s="122"/>
      <c r="F596" s="122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  <c r="AA596" s="122"/>
      <c r="AB596" s="122"/>
    </row>
    <row r="597" spans="1:28" ht="15.75" customHeight="1" x14ac:dyDescent="0.2">
      <c r="A597" s="122"/>
      <c r="B597" s="122"/>
      <c r="C597" s="122"/>
      <c r="D597" s="122"/>
      <c r="E597" s="122"/>
      <c r="F597" s="122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  <c r="AA597" s="122"/>
      <c r="AB597" s="122"/>
    </row>
    <row r="598" spans="1:28" ht="15.75" customHeight="1" x14ac:dyDescent="0.2">
      <c r="A598" s="122"/>
      <c r="B598" s="122"/>
      <c r="C598" s="122"/>
      <c r="D598" s="122"/>
      <c r="E598" s="122"/>
      <c r="F598" s="122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  <c r="AA598" s="122"/>
      <c r="AB598" s="122"/>
    </row>
    <row r="599" spans="1:28" ht="15.75" customHeight="1" x14ac:dyDescent="0.2">
      <c r="A599" s="122"/>
      <c r="B599" s="122"/>
      <c r="C599" s="122"/>
      <c r="D599" s="122"/>
      <c r="E599" s="122"/>
      <c r="F599" s="122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  <c r="AA599" s="122"/>
      <c r="AB599" s="122"/>
    </row>
    <row r="600" spans="1:28" ht="15.75" customHeight="1" x14ac:dyDescent="0.2">
      <c r="A600" s="122"/>
      <c r="B600" s="122"/>
      <c r="C600" s="122"/>
      <c r="D600" s="122"/>
      <c r="E600" s="122"/>
      <c r="F600" s="122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  <c r="AA600" s="122"/>
      <c r="AB600" s="122"/>
    </row>
    <row r="601" spans="1:28" ht="15.75" customHeight="1" x14ac:dyDescent="0.2">
      <c r="A601" s="122"/>
      <c r="B601" s="122"/>
      <c r="C601" s="122"/>
      <c r="D601" s="122"/>
      <c r="E601" s="122"/>
      <c r="F601" s="122"/>
      <c r="G601" s="122"/>
      <c r="H601" s="122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  <c r="AA601" s="122"/>
      <c r="AB601" s="122"/>
    </row>
    <row r="602" spans="1:28" ht="15.75" customHeight="1" x14ac:dyDescent="0.2">
      <c r="A602" s="122"/>
      <c r="B602" s="122"/>
      <c r="C602" s="122"/>
      <c r="D602" s="122"/>
      <c r="E602" s="122"/>
      <c r="F602" s="122"/>
      <c r="G602" s="122"/>
      <c r="H602" s="122"/>
      <c r="I602" s="122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  <c r="AA602" s="122"/>
      <c r="AB602" s="122"/>
    </row>
    <row r="603" spans="1:28" ht="15.75" customHeight="1" x14ac:dyDescent="0.2">
      <c r="A603" s="122"/>
      <c r="B603" s="122"/>
      <c r="C603" s="122"/>
      <c r="D603" s="122"/>
      <c r="E603" s="122"/>
      <c r="F603" s="122"/>
      <c r="G603" s="122"/>
      <c r="H603" s="122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  <c r="AA603" s="122"/>
      <c r="AB603" s="122"/>
    </row>
    <row r="604" spans="1:28" ht="15.75" customHeight="1" x14ac:dyDescent="0.2">
      <c r="A604" s="122"/>
      <c r="B604" s="122"/>
      <c r="C604" s="122"/>
      <c r="D604" s="122"/>
      <c r="E604" s="122"/>
      <c r="F604" s="122"/>
      <c r="G604" s="122"/>
      <c r="H604" s="122"/>
      <c r="I604" s="122"/>
      <c r="J604" s="122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  <c r="AA604" s="122"/>
      <c r="AB604" s="122"/>
    </row>
    <row r="605" spans="1:28" ht="15.75" customHeight="1" x14ac:dyDescent="0.2">
      <c r="A605" s="122"/>
      <c r="B605" s="122"/>
      <c r="C605" s="122"/>
      <c r="D605" s="122"/>
      <c r="E605" s="122"/>
      <c r="F605" s="122"/>
      <c r="G605" s="122"/>
      <c r="H605" s="122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  <c r="AA605" s="122"/>
      <c r="AB605" s="122"/>
    </row>
    <row r="606" spans="1:28" ht="15.75" customHeight="1" x14ac:dyDescent="0.2">
      <c r="A606" s="122"/>
      <c r="B606" s="122"/>
      <c r="C606" s="122"/>
      <c r="D606" s="122"/>
      <c r="E606" s="122"/>
      <c r="F606" s="122"/>
      <c r="G606" s="122"/>
      <c r="H606" s="122"/>
      <c r="I606" s="122"/>
      <c r="J606" s="122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  <c r="AA606" s="122"/>
      <c r="AB606" s="122"/>
    </row>
    <row r="607" spans="1:28" ht="15.75" customHeight="1" x14ac:dyDescent="0.2">
      <c r="A607" s="122"/>
      <c r="B607" s="122"/>
      <c r="C607" s="122"/>
      <c r="D607" s="122"/>
      <c r="E607" s="122"/>
      <c r="F607" s="122"/>
      <c r="G607" s="122"/>
      <c r="H607" s="122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  <c r="AA607" s="122"/>
      <c r="AB607" s="122"/>
    </row>
    <row r="608" spans="1:28" ht="15.75" customHeight="1" x14ac:dyDescent="0.2">
      <c r="A608" s="122"/>
      <c r="B608" s="122"/>
      <c r="C608" s="122"/>
      <c r="D608" s="122"/>
      <c r="E608" s="122"/>
      <c r="F608" s="122"/>
      <c r="G608" s="122"/>
      <c r="H608" s="122"/>
      <c r="I608" s="122"/>
      <c r="J608" s="122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  <c r="AA608" s="122"/>
      <c r="AB608" s="122"/>
    </row>
    <row r="609" spans="1:28" ht="15.75" customHeight="1" x14ac:dyDescent="0.2">
      <c r="A609" s="122"/>
      <c r="B609" s="122"/>
      <c r="C609" s="122"/>
      <c r="D609" s="122"/>
      <c r="E609" s="122"/>
      <c r="F609" s="122"/>
      <c r="G609" s="12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  <c r="AA609" s="122"/>
      <c r="AB609" s="122"/>
    </row>
    <row r="610" spans="1:28" ht="15.75" customHeight="1" x14ac:dyDescent="0.2">
      <c r="A610" s="122"/>
      <c r="B610" s="122"/>
      <c r="C610" s="122"/>
      <c r="D610" s="122"/>
      <c r="E610" s="122"/>
      <c r="F610" s="122"/>
      <c r="G610" s="122"/>
      <c r="H610" s="122"/>
      <c r="I610" s="122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  <c r="AA610" s="122"/>
      <c r="AB610" s="122"/>
    </row>
    <row r="611" spans="1:28" ht="15.75" customHeight="1" x14ac:dyDescent="0.2">
      <c r="A611" s="122"/>
      <c r="B611" s="122"/>
      <c r="C611" s="122"/>
      <c r="D611" s="122"/>
      <c r="E611" s="122"/>
      <c r="F611" s="122"/>
      <c r="G611" s="122"/>
      <c r="H611" s="122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  <c r="AA611" s="122"/>
      <c r="AB611" s="122"/>
    </row>
    <row r="612" spans="1:28" ht="15.75" customHeight="1" x14ac:dyDescent="0.2">
      <c r="A612" s="122"/>
      <c r="B612" s="122"/>
      <c r="C612" s="122"/>
      <c r="D612" s="122"/>
      <c r="E612" s="122"/>
      <c r="F612" s="122"/>
      <c r="G612" s="122"/>
      <c r="H612" s="122"/>
      <c r="I612" s="122"/>
      <c r="J612" s="122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  <c r="AA612" s="122"/>
      <c r="AB612" s="122"/>
    </row>
    <row r="613" spans="1:28" ht="15.75" customHeight="1" x14ac:dyDescent="0.2">
      <c r="A613" s="122"/>
      <c r="B613" s="122"/>
      <c r="C613" s="122"/>
      <c r="D613" s="122"/>
      <c r="E613" s="122"/>
      <c r="F613" s="122"/>
      <c r="G613" s="122"/>
      <c r="H613" s="122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  <c r="AA613" s="122"/>
      <c r="AB613" s="122"/>
    </row>
    <row r="614" spans="1:28" ht="15.75" customHeight="1" x14ac:dyDescent="0.2">
      <c r="A614" s="122"/>
      <c r="B614" s="122"/>
      <c r="C614" s="122"/>
      <c r="D614" s="122"/>
      <c r="E614" s="122"/>
      <c r="F614" s="122"/>
      <c r="G614" s="122"/>
      <c r="H614" s="122"/>
      <c r="I614" s="122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  <c r="AA614" s="122"/>
      <c r="AB614" s="122"/>
    </row>
    <row r="615" spans="1:28" ht="15.75" customHeight="1" x14ac:dyDescent="0.2">
      <c r="A615" s="122"/>
      <c r="B615" s="122"/>
      <c r="C615" s="122"/>
      <c r="D615" s="122"/>
      <c r="E615" s="122"/>
      <c r="F615" s="122"/>
      <c r="G615" s="122"/>
      <c r="H615" s="122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  <c r="AA615" s="122"/>
      <c r="AB615" s="122"/>
    </row>
    <row r="616" spans="1:28" ht="15.75" customHeight="1" x14ac:dyDescent="0.2">
      <c r="A616" s="122"/>
      <c r="B616" s="122"/>
      <c r="C616" s="122"/>
      <c r="D616" s="122"/>
      <c r="E616" s="122"/>
      <c r="F616" s="122"/>
      <c r="G616" s="122"/>
      <c r="H616" s="122"/>
      <c r="I616" s="122"/>
      <c r="J616" s="122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  <c r="AA616" s="122"/>
      <c r="AB616" s="122"/>
    </row>
    <row r="617" spans="1:28" ht="15.75" customHeight="1" x14ac:dyDescent="0.2">
      <c r="A617" s="122"/>
      <c r="B617" s="122"/>
      <c r="C617" s="122"/>
      <c r="D617" s="122"/>
      <c r="E617" s="122"/>
      <c r="F617" s="122"/>
      <c r="G617" s="122"/>
      <c r="H617" s="122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  <c r="AA617" s="122"/>
      <c r="AB617" s="122"/>
    </row>
    <row r="618" spans="1:28" ht="15.75" customHeight="1" x14ac:dyDescent="0.2">
      <c r="A618" s="122"/>
      <c r="B618" s="122"/>
      <c r="C618" s="122"/>
      <c r="D618" s="122"/>
      <c r="E618" s="122"/>
      <c r="F618" s="122"/>
      <c r="G618" s="122"/>
      <c r="H618" s="122"/>
      <c r="I618" s="122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  <c r="AA618" s="122"/>
      <c r="AB618" s="122"/>
    </row>
    <row r="619" spans="1:28" ht="15.75" customHeight="1" x14ac:dyDescent="0.2">
      <c r="A619" s="122"/>
      <c r="B619" s="122"/>
      <c r="C619" s="122"/>
      <c r="D619" s="122"/>
      <c r="E619" s="122"/>
      <c r="F619" s="122"/>
      <c r="G619" s="122"/>
      <c r="H619" s="122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  <c r="AA619" s="122"/>
      <c r="AB619" s="122"/>
    </row>
    <row r="620" spans="1:28" ht="15.75" customHeight="1" x14ac:dyDescent="0.2">
      <c r="A620" s="122"/>
      <c r="B620" s="122"/>
      <c r="C620" s="122"/>
      <c r="D620" s="122"/>
      <c r="E620" s="122"/>
      <c r="F620" s="122"/>
      <c r="G620" s="122"/>
      <c r="H620" s="122"/>
      <c r="I620" s="122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  <c r="AA620" s="122"/>
      <c r="AB620" s="122"/>
    </row>
    <row r="621" spans="1:28" ht="15.75" customHeight="1" x14ac:dyDescent="0.2">
      <c r="A621" s="122"/>
      <c r="B621" s="122"/>
      <c r="C621" s="122"/>
      <c r="D621" s="122"/>
      <c r="E621" s="122"/>
      <c r="F621" s="122"/>
      <c r="G621" s="122"/>
      <c r="H621" s="122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  <c r="AA621" s="122"/>
      <c r="AB621" s="122"/>
    </row>
    <row r="622" spans="1:28" ht="15.75" customHeight="1" x14ac:dyDescent="0.2">
      <c r="A622" s="122"/>
      <c r="B622" s="122"/>
      <c r="C622" s="122"/>
      <c r="D622" s="122"/>
      <c r="E622" s="122"/>
      <c r="F622" s="122"/>
      <c r="G622" s="122"/>
      <c r="H622" s="122"/>
      <c r="I622" s="122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  <c r="AA622" s="122"/>
      <c r="AB622" s="122"/>
    </row>
    <row r="623" spans="1:28" ht="15.75" customHeight="1" x14ac:dyDescent="0.2">
      <c r="A623" s="122"/>
      <c r="B623" s="122"/>
      <c r="C623" s="122"/>
      <c r="D623" s="122"/>
      <c r="E623" s="122"/>
      <c r="F623" s="122"/>
      <c r="G623" s="122"/>
      <c r="H623" s="122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  <c r="AA623" s="122"/>
      <c r="AB623" s="122"/>
    </row>
    <row r="624" spans="1:28" ht="15.75" customHeight="1" x14ac:dyDescent="0.2">
      <c r="A624" s="122"/>
      <c r="B624" s="122"/>
      <c r="C624" s="122"/>
      <c r="D624" s="122"/>
      <c r="E624" s="122"/>
      <c r="F624" s="122"/>
      <c r="G624" s="122"/>
      <c r="H624" s="122"/>
      <c r="I624" s="122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  <c r="AA624" s="122"/>
      <c r="AB624" s="122"/>
    </row>
    <row r="625" spans="1:28" ht="15.75" customHeight="1" x14ac:dyDescent="0.2">
      <c r="A625" s="122"/>
      <c r="B625" s="122"/>
      <c r="C625" s="122"/>
      <c r="D625" s="122"/>
      <c r="E625" s="122"/>
      <c r="F625" s="122"/>
      <c r="G625" s="122"/>
      <c r="H625" s="122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  <c r="AA625" s="122"/>
      <c r="AB625" s="122"/>
    </row>
    <row r="626" spans="1:28" ht="15.75" customHeight="1" x14ac:dyDescent="0.2">
      <c r="A626" s="122"/>
      <c r="B626" s="122"/>
      <c r="C626" s="122"/>
      <c r="D626" s="122"/>
      <c r="E626" s="122"/>
      <c r="F626" s="122"/>
      <c r="G626" s="122"/>
      <c r="H626" s="122"/>
      <c r="I626" s="122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  <c r="AA626" s="122"/>
      <c r="AB626" s="122"/>
    </row>
    <row r="627" spans="1:28" ht="15.75" customHeight="1" x14ac:dyDescent="0.2">
      <c r="A627" s="122"/>
      <c r="B627" s="122"/>
      <c r="C627" s="122"/>
      <c r="D627" s="122"/>
      <c r="E627" s="122"/>
      <c r="F627" s="122"/>
      <c r="G627" s="122"/>
      <c r="H627" s="122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  <c r="AA627" s="122"/>
      <c r="AB627" s="122"/>
    </row>
    <row r="628" spans="1:28" ht="15.75" customHeight="1" x14ac:dyDescent="0.2">
      <c r="A628" s="122"/>
      <c r="B628" s="122"/>
      <c r="C628" s="122"/>
      <c r="D628" s="122"/>
      <c r="E628" s="122"/>
      <c r="F628" s="122"/>
      <c r="G628" s="122"/>
      <c r="H628" s="122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  <c r="AA628" s="122"/>
      <c r="AB628" s="122"/>
    </row>
    <row r="629" spans="1:28" ht="15.75" customHeight="1" x14ac:dyDescent="0.2">
      <c r="A629" s="122"/>
      <c r="B629" s="122"/>
      <c r="C629" s="122"/>
      <c r="D629" s="122"/>
      <c r="E629" s="122"/>
      <c r="F629" s="122"/>
      <c r="G629" s="122"/>
      <c r="H629" s="122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  <c r="AA629" s="122"/>
      <c r="AB629" s="122"/>
    </row>
    <row r="630" spans="1:28" ht="15.75" customHeight="1" x14ac:dyDescent="0.2">
      <c r="A630" s="122"/>
      <c r="B630" s="122"/>
      <c r="C630" s="122"/>
      <c r="D630" s="122"/>
      <c r="E630" s="122"/>
      <c r="F630" s="122"/>
      <c r="G630" s="122"/>
      <c r="H630" s="122"/>
      <c r="I630" s="122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  <c r="AA630" s="122"/>
      <c r="AB630" s="122"/>
    </row>
    <row r="631" spans="1:28" ht="15.75" customHeight="1" x14ac:dyDescent="0.2">
      <c r="A631" s="122"/>
      <c r="B631" s="122"/>
      <c r="C631" s="122"/>
      <c r="D631" s="122"/>
      <c r="E631" s="122"/>
      <c r="F631" s="122"/>
      <c r="G631" s="122"/>
      <c r="H631" s="122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  <c r="AA631" s="122"/>
      <c r="AB631" s="122"/>
    </row>
    <row r="632" spans="1:28" ht="15.75" customHeight="1" x14ac:dyDescent="0.2">
      <c r="A632" s="122"/>
      <c r="B632" s="122"/>
      <c r="C632" s="122"/>
      <c r="D632" s="122"/>
      <c r="E632" s="122"/>
      <c r="F632" s="122"/>
      <c r="G632" s="122"/>
      <c r="H632" s="122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  <c r="AA632" s="122"/>
      <c r="AB632" s="122"/>
    </row>
    <row r="633" spans="1:28" ht="15.75" customHeight="1" x14ac:dyDescent="0.2">
      <c r="A633" s="122"/>
      <c r="B633" s="122"/>
      <c r="C633" s="122"/>
      <c r="D633" s="122"/>
      <c r="E633" s="122"/>
      <c r="F633" s="122"/>
      <c r="G633" s="122"/>
      <c r="H633" s="122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  <c r="AA633" s="122"/>
      <c r="AB633" s="122"/>
    </row>
    <row r="634" spans="1:28" ht="15.75" customHeight="1" x14ac:dyDescent="0.2">
      <c r="A634" s="122"/>
      <c r="B634" s="122"/>
      <c r="C634" s="122"/>
      <c r="D634" s="122"/>
      <c r="E634" s="122"/>
      <c r="F634" s="122"/>
      <c r="G634" s="122"/>
      <c r="H634" s="122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  <c r="AA634" s="122"/>
      <c r="AB634" s="122"/>
    </row>
    <row r="635" spans="1:28" ht="15.75" customHeight="1" x14ac:dyDescent="0.2">
      <c r="A635" s="122"/>
      <c r="B635" s="122"/>
      <c r="C635" s="122"/>
      <c r="D635" s="122"/>
      <c r="E635" s="122"/>
      <c r="F635" s="122"/>
      <c r="G635" s="122"/>
      <c r="H635" s="122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  <c r="AA635" s="122"/>
      <c r="AB635" s="122"/>
    </row>
    <row r="636" spans="1:28" ht="15.75" customHeight="1" x14ac:dyDescent="0.2">
      <c r="A636" s="122"/>
      <c r="B636" s="122"/>
      <c r="C636" s="122"/>
      <c r="D636" s="122"/>
      <c r="E636" s="122"/>
      <c r="F636" s="122"/>
      <c r="G636" s="122"/>
      <c r="H636" s="122"/>
      <c r="I636" s="122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  <c r="AA636" s="122"/>
      <c r="AB636" s="122"/>
    </row>
    <row r="637" spans="1:28" ht="15.75" customHeight="1" x14ac:dyDescent="0.2">
      <c r="A637" s="122"/>
      <c r="B637" s="122"/>
      <c r="C637" s="122"/>
      <c r="D637" s="122"/>
      <c r="E637" s="122"/>
      <c r="F637" s="122"/>
      <c r="G637" s="122"/>
      <c r="H637" s="122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  <c r="AA637" s="122"/>
      <c r="AB637" s="122"/>
    </row>
    <row r="638" spans="1:28" ht="15.75" customHeight="1" x14ac:dyDescent="0.2">
      <c r="A638" s="122"/>
      <c r="B638" s="122"/>
      <c r="C638" s="122"/>
      <c r="D638" s="122"/>
      <c r="E638" s="122"/>
      <c r="F638" s="122"/>
      <c r="G638" s="122"/>
      <c r="H638" s="122"/>
      <c r="I638" s="122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  <c r="AA638" s="122"/>
      <c r="AB638" s="122"/>
    </row>
    <row r="639" spans="1:28" ht="15.75" customHeight="1" x14ac:dyDescent="0.2">
      <c r="A639" s="122"/>
      <c r="B639" s="122"/>
      <c r="C639" s="122"/>
      <c r="D639" s="122"/>
      <c r="E639" s="122"/>
      <c r="F639" s="122"/>
      <c r="G639" s="122"/>
      <c r="H639" s="122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  <c r="AA639" s="122"/>
      <c r="AB639" s="122"/>
    </row>
    <row r="640" spans="1:28" ht="15.75" customHeight="1" x14ac:dyDescent="0.2">
      <c r="A640" s="122"/>
      <c r="B640" s="122"/>
      <c r="C640" s="122"/>
      <c r="D640" s="122"/>
      <c r="E640" s="122"/>
      <c r="F640" s="122"/>
      <c r="G640" s="122"/>
      <c r="H640" s="122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  <c r="AA640" s="122"/>
      <c r="AB640" s="122"/>
    </row>
    <row r="641" spans="1:28" ht="15.75" customHeight="1" x14ac:dyDescent="0.2">
      <c r="A641" s="122"/>
      <c r="B641" s="122"/>
      <c r="C641" s="122"/>
      <c r="D641" s="122"/>
      <c r="E641" s="122"/>
      <c r="F641" s="122"/>
      <c r="G641" s="122"/>
      <c r="H641" s="122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  <c r="AA641" s="122"/>
      <c r="AB641" s="122"/>
    </row>
    <row r="642" spans="1:28" ht="15.75" customHeight="1" x14ac:dyDescent="0.2">
      <c r="A642" s="122"/>
      <c r="B642" s="122"/>
      <c r="C642" s="122"/>
      <c r="D642" s="122"/>
      <c r="E642" s="122"/>
      <c r="F642" s="122"/>
      <c r="G642" s="122"/>
      <c r="H642" s="122"/>
      <c r="I642" s="122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  <c r="AA642" s="122"/>
      <c r="AB642" s="122"/>
    </row>
    <row r="643" spans="1:28" ht="15.75" customHeight="1" x14ac:dyDescent="0.2">
      <c r="A643" s="122"/>
      <c r="B643" s="122"/>
      <c r="C643" s="122"/>
      <c r="D643" s="122"/>
      <c r="E643" s="122"/>
      <c r="F643" s="122"/>
      <c r="G643" s="12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  <c r="AA643" s="122"/>
      <c r="AB643" s="122"/>
    </row>
    <row r="644" spans="1:28" ht="15.75" customHeight="1" x14ac:dyDescent="0.2">
      <c r="A644" s="122"/>
      <c r="B644" s="122"/>
      <c r="C644" s="122"/>
      <c r="D644" s="122"/>
      <c r="E644" s="122"/>
      <c r="F644" s="122"/>
      <c r="G644" s="122"/>
      <c r="H644" s="122"/>
      <c r="I644" s="122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  <c r="AA644" s="122"/>
      <c r="AB644" s="122"/>
    </row>
    <row r="645" spans="1:28" ht="15.75" customHeight="1" x14ac:dyDescent="0.2">
      <c r="A645" s="122"/>
      <c r="B645" s="122"/>
      <c r="C645" s="122"/>
      <c r="D645" s="122"/>
      <c r="E645" s="122"/>
      <c r="F645" s="122"/>
      <c r="G645" s="122"/>
      <c r="H645" s="122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  <c r="AA645" s="122"/>
      <c r="AB645" s="122"/>
    </row>
    <row r="646" spans="1:28" ht="15.75" customHeight="1" x14ac:dyDescent="0.2">
      <c r="A646" s="122"/>
      <c r="B646" s="122"/>
      <c r="C646" s="122"/>
      <c r="D646" s="122"/>
      <c r="E646" s="122"/>
      <c r="F646" s="122"/>
      <c r="G646" s="122"/>
      <c r="H646" s="122"/>
      <c r="I646" s="122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  <c r="AA646" s="122"/>
      <c r="AB646" s="122"/>
    </row>
    <row r="647" spans="1:28" ht="15.75" customHeight="1" x14ac:dyDescent="0.2">
      <c r="A647" s="122"/>
      <c r="B647" s="122"/>
      <c r="C647" s="122"/>
      <c r="D647" s="122"/>
      <c r="E647" s="122"/>
      <c r="F647" s="122"/>
      <c r="G647" s="122"/>
      <c r="H647" s="122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  <c r="AA647" s="122"/>
      <c r="AB647" s="122"/>
    </row>
    <row r="648" spans="1:28" ht="15.75" customHeight="1" x14ac:dyDescent="0.2">
      <c r="A648" s="122"/>
      <c r="B648" s="122"/>
      <c r="C648" s="122"/>
      <c r="D648" s="122"/>
      <c r="E648" s="122"/>
      <c r="F648" s="122"/>
      <c r="G648" s="122"/>
      <c r="H648" s="122"/>
      <c r="I648" s="122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  <c r="AA648" s="122"/>
      <c r="AB648" s="122"/>
    </row>
    <row r="649" spans="1:28" ht="15.75" customHeight="1" x14ac:dyDescent="0.2">
      <c r="A649" s="122"/>
      <c r="B649" s="122"/>
      <c r="C649" s="122"/>
      <c r="D649" s="122"/>
      <c r="E649" s="122"/>
      <c r="F649" s="122"/>
      <c r="G649" s="12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  <c r="AA649" s="122"/>
      <c r="AB649" s="122"/>
    </row>
    <row r="650" spans="1:28" ht="15.75" customHeight="1" x14ac:dyDescent="0.2">
      <c r="A650" s="122"/>
      <c r="B650" s="122"/>
      <c r="C650" s="122"/>
      <c r="D650" s="122"/>
      <c r="E650" s="122"/>
      <c r="F650" s="122"/>
      <c r="G650" s="122"/>
      <c r="H650" s="122"/>
      <c r="I650" s="122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  <c r="AA650" s="122"/>
      <c r="AB650" s="122"/>
    </row>
    <row r="651" spans="1:28" ht="15.75" customHeight="1" x14ac:dyDescent="0.2">
      <c r="A651" s="122"/>
      <c r="B651" s="122"/>
      <c r="C651" s="122"/>
      <c r="D651" s="122"/>
      <c r="E651" s="122"/>
      <c r="F651" s="122"/>
      <c r="G651" s="122"/>
      <c r="H651" s="122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  <c r="AA651" s="122"/>
      <c r="AB651" s="122"/>
    </row>
    <row r="652" spans="1:28" ht="15.75" customHeight="1" x14ac:dyDescent="0.2">
      <c r="A652" s="122"/>
      <c r="B652" s="122"/>
      <c r="C652" s="122"/>
      <c r="D652" s="122"/>
      <c r="E652" s="122"/>
      <c r="F652" s="122"/>
      <c r="G652" s="122"/>
      <c r="H652" s="122"/>
      <c r="I652" s="122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  <c r="AA652" s="122"/>
      <c r="AB652" s="122"/>
    </row>
    <row r="653" spans="1:28" ht="15.75" customHeight="1" x14ac:dyDescent="0.2">
      <c r="A653" s="122"/>
      <c r="B653" s="122"/>
      <c r="C653" s="122"/>
      <c r="D653" s="122"/>
      <c r="E653" s="122"/>
      <c r="F653" s="122"/>
      <c r="G653" s="12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  <c r="AA653" s="122"/>
      <c r="AB653" s="122"/>
    </row>
    <row r="654" spans="1:28" ht="15.75" customHeight="1" x14ac:dyDescent="0.2">
      <c r="A654" s="122"/>
      <c r="B654" s="122"/>
      <c r="C654" s="122"/>
      <c r="D654" s="122"/>
      <c r="E654" s="122"/>
      <c r="F654" s="122"/>
      <c r="G654" s="122"/>
      <c r="H654" s="122"/>
      <c r="I654" s="122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  <c r="AA654" s="122"/>
      <c r="AB654" s="122"/>
    </row>
    <row r="655" spans="1:28" ht="15.75" customHeight="1" x14ac:dyDescent="0.2">
      <c r="A655" s="122"/>
      <c r="B655" s="122"/>
      <c r="C655" s="122"/>
      <c r="D655" s="122"/>
      <c r="E655" s="122"/>
      <c r="F655" s="122"/>
      <c r="G655" s="122"/>
      <c r="H655" s="122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  <c r="AA655" s="122"/>
      <c r="AB655" s="122"/>
    </row>
    <row r="656" spans="1:28" ht="15.75" customHeight="1" x14ac:dyDescent="0.2">
      <c r="A656" s="122"/>
      <c r="B656" s="122"/>
      <c r="C656" s="122"/>
      <c r="D656" s="122"/>
      <c r="E656" s="122"/>
      <c r="F656" s="122"/>
      <c r="G656" s="122"/>
      <c r="H656" s="122"/>
      <c r="I656" s="122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  <c r="AA656" s="122"/>
      <c r="AB656" s="122"/>
    </row>
    <row r="657" spans="1:28" ht="15.75" customHeight="1" x14ac:dyDescent="0.2">
      <c r="A657" s="122"/>
      <c r="B657" s="122"/>
      <c r="C657" s="122"/>
      <c r="D657" s="122"/>
      <c r="E657" s="122"/>
      <c r="F657" s="122"/>
      <c r="G657" s="122"/>
      <c r="H657" s="122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  <c r="AA657" s="122"/>
      <c r="AB657" s="122"/>
    </row>
    <row r="658" spans="1:28" ht="15.75" customHeight="1" x14ac:dyDescent="0.2">
      <c r="A658" s="122"/>
      <c r="B658" s="122"/>
      <c r="C658" s="122"/>
      <c r="D658" s="122"/>
      <c r="E658" s="122"/>
      <c r="F658" s="122"/>
      <c r="G658" s="122"/>
      <c r="H658" s="122"/>
      <c r="I658" s="122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  <c r="AA658" s="122"/>
      <c r="AB658" s="122"/>
    </row>
    <row r="659" spans="1:28" ht="15.75" customHeight="1" x14ac:dyDescent="0.2">
      <c r="A659" s="122"/>
      <c r="B659" s="122"/>
      <c r="C659" s="122"/>
      <c r="D659" s="122"/>
      <c r="E659" s="122"/>
      <c r="F659" s="122"/>
      <c r="G659" s="122"/>
      <c r="H659" s="122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  <c r="AA659" s="122"/>
      <c r="AB659" s="122"/>
    </row>
    <row r="660" spans="1:28" ht="15.75" customHeight="1" x14ac:dyDescent="0.2">
      <c r="A660" s="122"/>
      <c r="B660" s="122"/>
      <c r="C660" s="122"/>
      <c r="D660" s="122"/>
      <c r="E660" s="122"/>
      <c r="F660" s="122"/>
      <c r="G660" s="122"/>
      <c r="H660" s="122"/>
      <c r="I660" s="122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  <c r="AA660" s="122"/>
      <c r="AB660" s="122"/>
    </row>
    <row r="661" spans="1:28" ht="15.75" customHeight="1" x14ac:dyDescent="0.2">
      <c r="A661" s="122"/>
      <c r="B661" s="122"/>
      <c r="C661" s="122"/>
      <c r="D661" s="122"/>
      <c r="E661" s="122"/>
      <c r="F661" s="122"/>
      <c r="G661" s="122"/>
      <c r="H661" s="122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  <c r="AA661" s="122"/>
      <c r="AB661" s="122"/>
    </row>
    <row r="662" spans="1:28" ht="15.75" customHeight="1" x14ac:dyDescent="0.2">
      <c r="A662" s="122"/>
      <c r="B662" s="122"/>
      <c r="C662" s="122"/>
      <c r="D662" s="122"/>
      <c r="E662" s="122"/>
      <c r="F662" s="122"/>
      <c r="G662" s="122"/>
      <c r="H662" s="122"/>
      <c r="I662" s="122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  <c r="AA662" s="122"/>
      <c r="AB662" s="122"/>
    </row>
    <row r="663" spans="1:28" ht="15.75" customHeight="1" x14ac:dyDescent="0.2">
      <c r="A663" s="122"/>
      <c r="B663" s="122"/>
      <c r="C663" s="122"/>
      <c r="D663" s="122"/>
      <c r="E663" s="122"/>
      <c r="F663" s="122"/>
      <c r="G663" s="122"/>
      <c r="H663" s="122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  <c r="AA663" s="122"/>
      <c r="AB663" s="122"/>
    </row>
    <row r="664" spans="1:28" ht="15.75" customHeight="1" x14ac:dyDescent="0.2">
      <c r="A664" s="122"/>
      <c r="B664" s="122"/>
      <c r="C664" s="122"/>
      <c r="D664" s="122"/>
      <c r="E664" s="122"/>
      <c r="F664" s="122"/>
      <c r="G664" s="122"/>
      <c r="H664" s="122"/>
      <c r="I664" s="122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  <c r="AA664" s="122"/>
      <c r="AB664" s="122"/>
    </row>
    <row r="665" spans="1:28" ht="15.75" customHeight="1" x14ac:dyDescent="0.2">
      <c r="A665" s="122"/>
      <c r="B665" s="122"/>
      <c r="C665" s="122"/>
      <c r="D665" s="122"/>
      <c r="E665" s="122"/>
      <c r="F665" s="122"/>
      <c r="G665" s="122"/>
      <c r="H665" s="122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  <c r="AA665" s="122"/>
      <c r="AB665" s="122"/>
    </row>
    <row r="666" spans="1:28" ht="15.75" customHeight="1" x14ac:dyDescent="0.2">
      <c r="A666" s="122"/>
      <c r="B666" s="122"/>
      <c r="C666" s="122"/>
      <c r="D666" s="122"/>
      <c r="E666" s="122"/>
      <c r="F666" s="122"/>
      <c r="G666" s="122"/>
      <c r="H666" s="122"/>
      <c r="I666" s="122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  <c r="AA666" s="122"/>
      <c r="AB666" s="122"/>
    </row>
    <row r="667" spans="1:28" ht="15.75" customHeight="1" x14ac:dyDescent="0.2">
      <c r="A667" s="122"/>
      <c r="B667" s="122"/>
      <c r="C667" s="122"/>
      <c r="D667" s="122"/>
      <c r="E667" s="122"/>
      <c r="F667" s="122"/>
      <c r="G667" s="122"/>
      <c r="H667" s="122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  <c r="AA667" s="122"/>
      <c r="AB667" s="122"/>
    </row>
    <row r="668" spans="1:28" ht="15.75" customHeight="1" x14ac:dyDescent="0.2">
      <c r="A668" s="122"/>
      <c r="B668" s="122"/>
      <c r="C668" s="122"/>
      <c r="D668" s="122"/>
      <c r="E668" s="122"/>
      <c r="F668" s="122"/>
      <c r="G668" s="122"/>
      <c r="H668" s="122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  <c r="AA668" s="122"/>
      <c r="AB668" s="122"/>
    </row>
    <row r="669" spans="1:28" ht="15.75" customHeight="1" x14ac:dyDescent="0.2">
      <c r="A669" s="122"/>
      <c r="B669" s="122"/>
      <c r="C669" s="122"/>
      <c r="D669" s="122"/>
      <c r="E669" s="122"/>
      <c r="F669" s="122"/>
      <c r="G669" s="122"/>
      <c r="H669" s="122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  <c r="AA669" s="122"/>
      <c r="AB669" s="122"/>
    </row>
    <row r="670" spans="1:28" ht="15.75" customHeight="1" x14ac:dyDescent="0.2">
      <c r="A670" s="122"/>
      <c r="B670" s="122"/>
      <c r="C670" s="122"/>
      <c r="D670" s="122"/>
      <c r="E670" s="122"/>
      <c r="F670" s="122"/>
      <c r="G670" s="122"/>
      <c r="H670" s="122"/>
      <c r="I670" s="122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  <c r="AA670" s="122"/>
      <c r="AB670" s="122"/>
    </row>
    <row r="671" spans="1:28" ht="15.75" customHeight="1" x14ac:dyDescent="0.2">
      <c r="A671" s="122"/>
      <c r="B671" s="122"/>
      <c r="C671" s="122"/>
      <c r="D671" s="122"/>
      <c r="E671" s="122"/>
      <c r="F671" s="122"/>
      <c r="G671" s="122"/>
      <c r="H671" s="122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  <c r="AA671" s="122"/>
      <c r="AB671" s="122"/>
    </row>
    <row r="672" spans="1:28" ht="15.75" customHeight="1" x14ac:dyDescent="0.2">
      <c r="A672" s="122"/>
      <c r="B672" s="122"/>
      <c r="C672" s="122"/>
      <c r="D672" s="122"/>
      <c r="E672" s="122"/>
      <c r="F672" s="122"/>
      <c r="G672" s="122"/>
      <c r="H672" s="122"/>
      <c r="I672" s="122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  <c r="AA672" s="122"/>
      <c r="AB672" s="122"/>
    </row>
    <row r="673" spans="1:28" ht="15.75" customHeight="1" x14ac:dyDescent="0.2">
      <c r="A673" s="122"/>
      <c r="B673" s="122"/>
      <c r="C673" s="122"/>
      <c r="D673" s="122"/>
      <c r="E673" s="122"/>
      <c r="F673" s="122"/>
      <c r="G673" s="122"/>
      <c r="H673" s="122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  <c r="AA673" s="122"/>
      <c r="AB673" s="122"/>
    </row>
    <row r="674" spans="1:28" ht="15.75" customHeight="1" x14ac:dyDescent="0.2">
      <c r="A674" s="122"/>
      <c r="B674" s="122"/>
      <c r="C674" s="122"/>
      <c r="D674" s="122"/>
      <c r="E674" s="122"/>
      <c r="F674" s="122"/>
      <c r="G674" s="122"/>
      <c r="H674" s="122"/>
      <c r="I674" s="122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  <c r="AA674" s="122"/>
      <c r="AB674" s="122"/>
    </row>
    <row r="675" spans="1:28" ht="15.75" customHeight="1" x14ac:dyDescent="0.2">
      <c r="A675" s="122"/>
      <c r="B675" s="122"/>
      <c r="C675" s="122"/>
      <c r="D675" s="122"/>
      <c r="E675" s="122"/>
      <c r="F675" s="122"/>
      <c r="G675" s="122"/>
      <c r="H675" s="122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  <c r="AA675" s="122"/>
      <c r="AB675" s="122"/>
    </row>
    <row r="676" spans="1:28" ht="15.75" customHeight="1" x14ac:dyDescent="0.2">
      <c r="A676" s="122"/>
      <c r="B676" s="122"/>
      <c r="C676" s="122"/>
      <c r="D676" s="122"/>
      <c r="E676" s="122"/>
      <c r="F676" s="122"/>
      <c r="G676" s="122"/>
      <c r="H676" s="122"/>
      <c r="I676" s="122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  <c r="AA676" s="122"/>
      <c r="AB676" s="122"/>
    </row>
    <row r="677" spans="1:28" ht="15.75" customHeight="1" x14ac:dyDescent="0.2">
      <c r="A677" s="122"/>
      <c r="B677" s="122"/>
      <c r="C677" s="122"/>
      <c r="D677" s="122"/>
      <c r="E677" s="122"/>
      <c r="F677" s="122"/>
      <c r="G677" s="122"/>
      <c r="H677" s="122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  <c r="AA677" s="122"/>
      <c r="AB677" s="122"/>
    </row>
    <row r="678" spans="1:28" ht="15.75" customHeight="1" x14ac:dyDescent="0.2">
      <c r="A678" s="122"/>
      <c r="B678" s="122"/>
      <c r="C678" s="122"/>
      <c r="D678" s="122"/>
      <c r="E678" s="122"/>
      <c r="F678" s="122"/>
      <c r="G678" s="122"/>
      <c r="H678" s="122"/>
      <c r="I678" s="122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  <c r="AA678" s="122"/>
      <c r="AB678" s="122"/>
    </row>
    <row r="679" spans="1:28" ht="15.75" customHeight="1" x14ac:dyDescent="0.2">
      <c r="A679" s="122"/>
      <c r="B679" s="122"/>
      <c r="C679" s="122"/>
      <c r="D679" s="122"/>
      <c r="E679" s="122"/>
      <c r="F679" s="122"/>
      <c r="G679" s="122"/>
      <c r="H679" s="122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  <c r="AA679" s="122"/>
      <c r="AB679" s="122"/>
    </row>
    <row r="680" spans="1:28" ht="15.75" customHeight="1" x14ac:dyDescent="0.2">
      <c r="A680" s="122"/>
      <c r="B680" s="122"/>
      <c r="C680" s="122"/>
      <c r="D680" s="122"/>
      <c r="E680" s="122"/>
      <c r="F680" s="122"/>
      <c r="G680" s="122"/>
      <c r="H680" s="122"/>
      <c r="I680" s="122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  <c r="AA680" s="122"/>
      <c r="AB680" s="122"/>
    </row>
    <row r="681" spans="1:28" ht="15.75" customHeight="1" x14ac:dyDescent="0.2">
      <c r="A681" s="122"/>
      <c r="B681" s="122"/>
      <c r="C681" s="122"/>
      <c r="D681" s="122"/>
      <c r="E681" s="122"/>
      <c r="F681" s="122"/>
      <c r="G681" s="122"/>
      <c r="H681" s="122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  <c r="AA681" s="122"/>
      <c r="AB681" s="122"/>
    </row>
    <row r="682" spans="1:28" ht="15.75" customHeight="1" x14ac:dyDescent="0.2">
      <c r="A682" s="122"/>
      <c r="B682" s="122"/>
      <c r="C682" s="122"/>
      <c r="D682" s="122"/>
      <c r="E682" s="122"/>
      <c r="F682" s="122"/>
      <c r="G682" s="122"/>
      <c r="H682" s="122"/>
      <c r="I682" s="122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  <c r="AA682" s="122"/>
      <c r="AB682" s="122"/>
    </row>
    <row r="683" spans="1:28" ht="15.75" customHeight="1" x14ac:dyDescent="0.2">
      <c r="A683" s="122"/>
      <c r="B683" s="122"/>
      <c r="C683" s="122"/>
      <c r="D683" s="122"/>
      <c r="E683" s="122"/>
      <c r="F683" s="122"/>
      <c r="G683" s="122"/>
      <c r="H683" s="122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  <c r="AA683" s="122"/>
      <c r="AB683" s="122"/>
    </row>
    <row r="684" spans="1:28" ht="15.75" customHeight="1" x14ac:dyDescent="0.2">
      <c r="A684" s="122"/>
      <c r="B684" s="122"/>
      <c r="C684" s="122"/>
      <c r="D684" s="122"/>
      <c r="E684" s="122"/>
      <c r="F684" s="122"/>
      <c r="G684" s="122"/>
      <c r="H684" s="122"/>
      <c r="I684" s="122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  <c r="AA684" s="122"/>
      <c r="AB684" s="122"/>
    </row>
    <row r="685" spans="1:28" ht="15.75" customHeight="1" x14ac:dyDescent="0.2">
      <c r="A685" s="122"/>
      <c r="B685" s="122"/>
      <c r="C685" s="122"/>
      <c r="D685" s="122"/>
      <c r="E685" s="122"/>
      <c r="F685" s="122"/>
      <c r="G685" s="122"/>
      <c r="H685" s="122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  <c r="AA685" s="122"/>
      <c r="AB685" s="122"/>
    </row>
    <row r="686" spans="1:28" ht="15.75" customHeight="1" x14ac:dyDescent="0.2">
      <c r="A686" s="122"/>
      <c r="B686" s="122"/>
      <c r="C686" s="122"/>
      <c r="D686" s="122"/>
      <c r="E686" s="122"/>
      <c r="F686" s="122"/>
      <c r="G686" s="122"/>
      <c r="H686" s="122"/>
      <c r="I686" s="122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  <c r="AA686" s="122"/>
      <c r="AB686" s="122"/>
    </row>
    <row r="687" spans="1:28" ht="15.75" customHeight="1" x14ac:dyDescent="0.2">
      <c r="A687" s="122"/>
      <c r="B687" s="122"/>
      <c r="C687" s="122"/>
      <c r="D687" s="122"/>
      <c r="E687" s="122"/>
      <c r="F687" s="122"/>
      <c r="G687" s="122"/>
      <c r="H687" s="122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  <c r="AA687" s="122"/>
      <c r="AB687" s="122"/>
    </row>
    <row r="688" spans="1:28" ht="15.75" customHeight="1" x14ac:dyDescent="0.2">
      <c r="A688" s="122"/>
      <c r="B688" s="122"/>
      <c r="C688" s="122"/>
      <c r="D688" s="122"/>
      <c r="E688" s="122"/>
      <c r="F688" s="122"/>
      <c r="G688" s="122"/>
      <c r="H688" s="122"/>
      <c r="I688" s="122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  <c r="AA688" s="122"/>
      <c r="AB688" s="122"/>
    </row>
    <row r="689" spans="1:28" ht="15.75" customHeight="1" x14ac:dyDescent="0.2">
      <c r="A689" s="122"/>
      <c r="B689" s="122"/>
      <c r="C689" s="122"/>
      <c r="D689" s="122"/>
      <c r="E689" s="122"/>
      <c r="F689" s="122"/>
      <c r="G689" s="122"/>
      <c r="H689" s="122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  <c r="AA689" s="122"/>
      <c r="AB689" s="122"/>
    </row>
    <row r="690" spans="1:28" ht="15.75" customHeight="1" x14ac:dyDescent="0.2">
      <c r="A690" s="122"/>
      <c r="B690" s="122"/>
      <c r="C690" s="122"/>
      <c r="D690" s="122"/>
      <c r="E690" s="122"/>
      <c r="F690" s="122"/>
      <c r="G690" s="122"/>
      <c r="H690" s="122"/>
      <c r="I690" s="122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  <c r="AA690" s="122"/>
      <c r="AB690" s="122"/>
    </row>
    <row r="691" spans="1:28" ht="15.75" customHeight="1" x14ac:dyDescent="0.2">
      <c r="A691" s="122"/>
      <c r="B691" s="122"/>
      <c r="C691" s="122"/>
      <c r="D691" s="122"/>
      <c r="E691" s="122"/>
      <c r="F691" s="122"/>
      <c r="G691" s="122"/>
      <c r="H691" s="122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  <c r="AA691" s="122"/>
      <c r="AB691" s="122"/>
    </row>
    <row r="692" spans="1:28" ht="15.75" customHeight="1" x14ac:dyDescent="0.2">
      <c r="A692" s="122"/>
      <c r="B692" s="122"/>
      <c r="C692" s="122"/>
      <c r="D692" s="122"/>
      <c r="E692" s="122"/>
      <c r="F692" s="122"/>
      <c r="G692" s="122"/>
      <c r="H692" s="122"/>
      <c r="I692" s="122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  <c r="AA692" s="122"/>
      <c r="AB692" s="122"/>
    </row>
    <row r="693" spans="1:28" ht="15.75" customHeight="1" x14ac:dyDescent="0.2">
      <c r="A693" s="122"/>
      <c r="B693" s="122"/>
      <c r="C693" s="122"/>
      <c r="D693" s="122"/>
      <c r="E693" s="122"/>
      <c r="F693" s="122"/>
      <c r="G693" s="122"/>
      <c r="H693" s="122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  <c r="AA693" s="122"/>
      <c r="AB693" s="122"/>
    </row>
    <row r="694" spans="1:28" ht="15.75" customHeight="1" x14ac:dyDescent="0.2">
      <c r="A694" s="122"/>
      <c r="B694" s="122"/>
      <c r="C694" s="122"/>
      <c r="D694" s="122"/>
      <c r="E694" s="122"/>
      <c r="F694" s="122"/>
      <c r="G694" s="122"/>
      <c r="H694" s="122"/>
      <c r="I694" s="122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  <c r="AA694" s="122"/>
      <c r="AB694" s="122"/>
    </row>
    <row r="695" spans="1:28" ht="15.75" customHeight="1" x14ac:dyDescent="0.2">
      <c r="A695" s="122"/>
      <c r="B695" s="122"/>
      <c r="C695" s="122"/>
      <c r="D695" s="122"/>
      <c r="E695" s="122"/>
      <c r="F695" s="122"/>
      <c r="G695" s="122"/>
      <c r="H695" s="122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  <c r="AA695" s="122"/>
      <c r="AB695" s="122"/>
    </row>
    <row r="696" spans="1:28" ht="15.75" customHeight="1" x14ac:dyDescent="0.2">
      <c r="A696" s="122"/>
      <c r="B696" s="122"/>
      <c r="C696" s="122"/>
      <c r="D696" s="122"/>
      <c r="E696" s="122"/>
      <c r="F696" s="122"/>
      <c r="G696" s="122"/>
      <c r="H696" s="122"/>
      <c r="I696" s="122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  <c r="AA696" s="122"/>
      <c r="AB696" s="122"/>
    </row>
    <row r="697" spans="1:28" ht="15.75" customHeight="1" x14ac:dyDescent="0.2">
      <c r="A697" s="122"/>
      <c r="B697" s="122"/>
      <c r="C697" s="122"/>
      <c r="D697" s="122"/>
      <c r="E697" s="122"/>
      <c r="F697" s="122"/>
      <c r="G697" s="122"/>
      <c r="H697" s="122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  <c r="AA697" s="122"/>
      <c r="AB697" s="122"/>
    </row>
    <row r="698" spans="1:28" ht="15.75" customHeight="1" x14ac:dyDescent="0.2">
      <c r="A698" s="122"/>
      <c r="B698" s="122"/>
      <c r="C698" s="122"/>
      <c r="D698" s="122"/>
      <c r="E698" s="122"/>
      <c r="F698" s="122"/>
      <c r="G698" s="122"/>
      <c r="H698" s="122"/>
      <c r="I698" s="122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  <c r="AA698" s="122"/>
      <c r="AB698" s="122"/>
    </row>
    <row r="699" spans="1:28" ht="15.75" customHeight="1" x14ac:dyDescent="0.2">
      <c r="A699" s="122"/>
      <c r="B699" s="122"/>
      <c r="C699" s="122"/>
      <c r="D699" s="122"/>
      <c r="E699" s="122"/>
      <c r="F699" s="122"/>
      <c r="G699" s="122"/>
      <c r="H699" s="122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  <c r="AA699" s="122"/>
      <c r="AB699" s="122"/>
    </row>
    <row r="700" spans="1:28" ht="15.75" customHeight="1" x14ac:dyDescent="0.2">
      <c r="A700" s="122"/>
      <c r="B700" s="122"/>
      <c r="C700" s="122"/>
      <c r="D700" s="122"/>
      <c r="E700" s="122"/>
      <c r="F700" s="122"/>
      <c r="G700" s="122"/>
      <c r="H700" s="122"/>
      <c r="I700" s="122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  <c r="AA700" s="122"/>
      <c r="AB700" s="122"/>
    </row>
    <row r="701" spans="1:28" ht="15.75" customHeight="1" x14ac:dyDescent="0.2">
      <c r="A701" s="122"/>
      <c r="B701" s="122"/>
      <c r="C701" s="122"/>
      <c r="D701" s="122"/>
      <c r="E701" s="122"/>
      <c r="F701" s="122"/>
      <c r="G701" s="122"/>
      <c r="H701" s="122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  <c r="AA701" s="122"/>
      <c r="AB701" s="122"/>
    </row>
    <row r="702" spans="1:28" ht="15.75" customHeight="1" x14ac:dyDescent="0.2">
      <c r="A702" s="122"/>
      <c r="B702" s="122"/>
      <c r="C702" s="122"/>
      <c r="D702" s="122"/>
      <c r="E702" s="122"/>
      <c r="F702" s="122"/>
      <c r="G702" s="122"/>
      <c r="H702" s="122"/>
      <c r="I702" s="122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  <c r="AA702" s="122"/>
      <c r="AB702" s="122"/>
    </row>
    <row r="703" spans="1:28" ht="15.75" customHeight="1" x14ac:dyDescent="0.2">
      <c r="A703" s="122"/>
      <c r="B703" s="122"/>
      <c r="C703" s="122"/>
      <c r="D703" s="122"/>
      <c r="E703" s="122"/>
      <c r="F703" s="122"/>
      <c r="G703" s="122"/>
      <c r="H703" s="122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  <c r="AA703" s="122"/>
      <c r="AB703" s="122"/>
    </row>
    <row r="704" spans="1:28" ht="15.75" customHeight="1" x14ac:dyDescent="0.2">
      <c r="A704" s="122"/>
      <c r="B704" s="122"/>
      <c r="C704" s="122"/>
      <c r="D704" s="122"/>
      <c r="E704" s="122"/>
      <c r="F704" s="122"/>
      <c r="G704" s="122"/>
      <c r="H704" s="122"/>
      <c r="I704" s="122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  <c r="AA704" s="122"/>
      <c r="AB704" s="122"/>
    </row>
    <row r="705" spans="1:28" ht="15.75" customHeight="1" x14ac:dyDescent="0.2">
      <c r="A705" s="122"/>
      <c r="B705" s="122"/>
      <c r="C705" s="122"/>
      <c r="D705" s="122"/>
      <c r="E705" s="122"/>
      <c r="F705" s="122"/>
      <c r="G705" s="122"/>
      <c r="H705" s="122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  <c r="AA705" s="122"/>
      <c r="AB705" s="122"/>
    </row>
    <row r="706" spans="1:28" ht="15.75" customHeight="1" x14ac:dyDescent="0.2">
      <c r="A706" s="122"/>
      <c r="B706" s="122"/>
      <c r="C706" s="122"/>
      <c r="D706" s="122"/>
      <c r="E706" s="122"/>
      <c r="F706" s="122"/>
      <c r="G706" s="122"/>
      <c r="H706" s="122"/>
      <c r="I706" s="122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  <c r="AA706" s="122"/>
      <c r="AB706" s="122"/>
    </row>
    <row r="707" spans="1:28" ht="15.75" customHeight="1" x14ac:dyDescent="0.2">
      <c r="A707" s="122"/>
      <c r="B707" s="122"/>
      <c r="C707" s="122"/>
      <c r="D707" s="122"/>
      <c r="E707" s="122"/>
      <c r="F707" s="122"/>
      <c r="G707" s="122"/>
      <c r="H707" s="122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  <c r="AA707" s="122"/>
      <c r="AB707" s="122"/>
    </row>
    <row r="708" spans="1:28" ht="15.75" customHeight="1" x14ac:dyDescent="0.2">
      <c r="A708" s="122"/>
      <c r="B708" s="122"/>
      <c r="C708" s="122"/>
      <c r="D708" s="122"/>
      <c r="E708" s="122"/>
      <c r="F708" s="122"/>
      <c r="G708" s="122"/>
      <c r="H708" s="122"/>
      <c r="I708" s="122"/>
      <c r="J708" s="122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  <c r="AA708" s="122"/>
      <c r="AB708" s="122"/>
    </row>
    <row r="709" spans="1:28" ht="15.75" customHeight="1" x14ac:dyDescent="0.2">
      <c r="A709" s="122"/>
      <c r="B709" s="122"/>
      <c r="C709" s="122"/>
      <c r="D709" s="122"/>
      <c r="E709" s="122"/>
      <c r="F709" s="122"/>
      <c r="G709" s="122"/>
      <c r="H709" s="122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  <c r="AA709" s="122"/>
      <c r="AB709" s="122"/>
    </row>
    <row r="710" spans="1:28" ht="15.75" customHeight="1" x14ac:dyDescent="0.2">
      <c r="A710" s="122"/>
      <c r="B710" s="122"/>
      <c r="C710" s="122"/>
      <c r="D710" s="122"/>
      <c r="E710" s="122"/>
      <c r="F710" s="122"/>
      <c r="G710" s="122"/>
      <c r="H710" s="122"/>
      <c r="I710" s="122"/>
      <c r="J710" s="122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  <c r="AA710" s="122"/>
      <c r="AB710" s="122"/>
    </row>
    <row r="711" spans="1:28" ht="15.75" customHeight="1" x14ac:dyDescent="0.2">
      <c r="A711" s="122"/>
      <c r="B711" s="122"/>
      <c r="C711" s="122"/>
      <c r="D711" s="122"/>
      <c r="E711" s="122"/>
      <c r="F711" s="122"/>
      <c r="G711" s="122"/>
      <c r="H711" s="122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  <c r="AA711" s="122"/>
      <c r="AB711" s="122"/>
    </row>
    <row r="712" spans="1:28" ht="15.75" customHeight="1" x14ac:dyDescent="0.2">
      <c r="A712" s="122"/>
      <c r="B712" s="122"/>
      <c r="C712" s="122"/>
      <c r="D712" s="122"/>
      <c r="E712" s="122"/>
      <c r="F712" s="122"/>
      <c r="G712" s="122"/>
      <c r="H712" s="122"/>
      <c r="I712" s="122"/>
      <c r="J712" s="122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  <c r="AA712" s="122"/>
      <c r="AB712" s="122"/>
    </row>
    <row r="713" spans="1:28" ht="15.75" customHeight="1" x14ac:dyDescent="0.2">
      <c r="A713" s="122"/>
      <c r="B713" s="122"/>
      <c r="C713" s="122"/>
      <c r="D713" s="122"/>
      <c r="E713" s="122"/>
      <c r="F713" s="122"/>
      <c r="G713" s="122"/>
      <c r="H713" s="122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  <c r="AA713" s="122"/>
      <c r="AB713" s="122"/>
    </row>
    <row r="714" spans="1:28" ht="15.75" customHeight="1" x14ac:dyDescent="0.2">
      <c r="A714" s="122"/>
      <c r="B714" s="122"/>
      <c r="C714" s="122"/>
      <c r="D714" s="122"/>
      <c r="E714" s="122"/>
      <c r="F714" s="122"/>
      <c r="G714" s="122"/>
      <c r="H714" s="122"/>
      <c r="I714" s="122"/>
      <c r="J714" s="122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  <c r="AA714" s="122"/>
      <c r="AB714" s="122"/>
    </row>
    <row r="715" spans="1:28" ht="15.75" customHeight="1" x14ac:dyDescent="0.2">
      <c r="A715" s="122"/>
      <c r="B715" s="122"/>
      <c r="C715" s="122"/>
      <c r="D715" s="122"/>
      <c r="E715" s="122"/>
      <c r="F715" s="122"/>
      <c r="G715" s="122"/>
      <c r="H715" s="122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  <c r="AA715" s="122"/>
      <c r="AB715" s="122"/>
    </row>
    <row r="716" spans="1:28" ht="15.75" customHeight="1" x14ac:dyDescent="0.2">
      <c r="A716" s="122"/>
      <c r="B716" s="122"/>
      <c r="C716" s="122"/>
      <c r="D716" s="122"/>
      <c r="E716" s="122"/>
      <c r="F716" s="122"/>
      <c r="G716" s="122"/>
      <c r="H716" s="122"/>
      <c r="I716" s="122"/>
      <c r="J716" s="122"/>
      <c r="K716" s="122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  <c r="AA716" s="122"/>
      <c r="AB716" s="122"/>
    </row>
    <row r="717" spans="1:28" ht="15.75" customHeight="1" x14ac:dyDescent="0.2">
      <c r="A717" s="122"/>
      <c r="B717" s="122"/>
      <c r="C717" s="122"/>
      <c r="D717" s="122"/>
      <c r="E717" s="122"/>
      <c r="F717" s="122"/>
      <c r="G717" s="122"/>
      <c r="H717" s="122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  <c r="AA717" s="122"/>
      <c r="AB717" s="122"/>
    </row>
    <row r="718" spans="1:28" ht="15.75" customHeight="1" x14ac:dyDescent="0.2">
      <c r="A718" s="122"/>
      <c r="B718" s="122"/>
      <c r="C718" s="122"/>
      <c r="D718" s="122"/>
      <c r="E718" s="122"/>
      <c r="F718" s="122"/>
      <c r="G718" s="122"/>
      <c r="H718" s="122"/>
      <c r="I718" s="122"/>
      <c r="J718" s="122"/>
      <c r="K718" s="122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  <c r="AA718" s="122"/>
      <c r="AB718" s="122"/>
    </row>
    <row r="719" spans="1:28" ht="15.75" customHeight="1" x14ac:dyDescent="0.2">
      <c r="A719" s="122"/>
      <c r="B719" s="122"/>
      <c r="C719" s="122"/>
      <c r="D719" s="122"/>
      <c r="E719" s="122"/>
      <c r="F719" s="122"/>
      <c r="G719" s="122"/>
      <c r="H719" s="122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  <c r="AA719" s="122"/>
      <c r="AB719" s="122"/>
    </row>
    <row r="720" spans="1:28" ht="15.75" customHeight="1" x14ac:dyDescent="0.2">
      <c r="A720" s="122"/>
      <c r="B720" s="122"/>
      <c r="C720" s="122"/>
      <c r="D720" s="122"/>
      <c r="E720" s="122"/>
      <c r="F720" s="122"/>
      <c r="G720" s="122"/>
      <c r="H720" s="122"/>
      <c r="I720" s="122"/>
      <c r="J720" s="122"/>
      <c r="K720" s="122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  <c r="AA720" s="122"/>
      <c r="AB720" s="122"/>
    </row>
    <row r="721" spans="1:28" ht="15.75" customHeight="1" x14ac:dyDescent="0.2">
      <c r="A721" s="122"/>
      <c r="B721" s="122"/>
      <c r="C721" s="122"/>
      <c r="D721" s="122"/>
      <c r="E721" s="122"/>
      <c r="F721" s="122"/>
      <c r="G721" s="122"/>
      <c r="H721" s="122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  <c r="AA721" s="122"/>
      <c r="AB721" s="122"/>
    </row>
    <row r="722" spans="1:28" ht="15.75" customHeight="1" x14ac:dyDescent="0.2">
      <c r="A722" s="122"/>
      <c r="B722" s="122"/>
      <c r="C722" s="122"/>
      <c r="D722" s="122"/>
      <c r="E722" s="122"/>
      <c r="F722" s="122"/>
      <c r="G722" s="122"/>
      <c r="H722" s="122"/>
      <c r="I722" s="122"/>
      <c r="J722" s="122"/>
      <c r="K722" s="122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  <c r="AA722" s="122"/>
      <c r="AB722" s="122"/>
    </row>
    <row r="723" spans="1:28" ht="15.75" customHeight="1" x14ac:dyDescent="0.2">
      <c r="A723" s="122"/>
      <c r="B723" s="122"/>
      <c r="C723" s="122"/>
      <c r="D723" s="122"/>
      <c r="E723" s="122"/>
      <c r="F723" s="122"/>
      <c r="G723" s="122"/>
      <c r="H723" s="122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  <c r="AA723" s="122"/>
      <c r="AB723" s="122"/>
    </row>
    <row r="724" spans="1:28" ht="15.75" customHeight="1" x14ac:dyDescent="0.2">
      <c r="A724" s="122"/>
      <c r="B724" s="122"/>
      <c r="C724" s="122"/>
      <c r="D724" s="122"/>
      <c r="E724" s="122"/>
      <c r="F724" s="122"/>
      <c r="G724" s="122"/>
      <c r="H724" s="122"/>
      <c r="I724" s="122"/>
      <c r="J724" s="122"/>
      <c r="K724" s="122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  <c r="AA724" s="122"/>
      <c r="AB724" s="122"/>
    </row>
    <row r="725" spans="1:28" ht="15.75" customHeight="1" x14ac:dyDescent="0.2">
      <c r="A725" s="122"/>
      <c r="B725" s="122"/>
      <c r="C725" s="122"/>
      <c r="D725" s="122"/>
      <c r="E725" s="122"/>
      <c r="F725" s="122"/>
      <c r="G725" s="122"/>
      <c r="H725" s="122"/>
      <c r="I725" s="122"/>
      <c r="J725" s="122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  <c r="AA725" s="122"/>
      <c r="AB725" s="122"/>
    </row>
    <row r="726" spans="1:28" ht="15.75" customHeight="1" x14ac:dyDescent="0.2">
      <c r="A726" s="122"/>
      <c r="B726" s="122"/>
      <c r="C726" s="122"/>
      <c r="D726" s="122"/>
      <c r="E726" s="122"/>
      <c r="F726" s="122"/>
      <c r="G726" s="122"/>
      <c r="H726" s="122"/>
      <c r="I726" s="122"/>
      <c r="J726" s="122"/>
      <c r="K726" s="122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  <c r="AA726" s="122"/>
      <c r="AB726" s="122"/>
    </row>
    <row r="727" spans="1:28" ht="15.75" customHeight="1" x14ac:dyDescent="0.2">
      <c r="A727" s="122"/>
      <c r="B727" s="122"/>
      <c r="C727" s="122"/>
      <c r="D727" s="122"/>
      <c r="E727" s="122"/>
      <c r="F727" s="122"/>
      <c r="G727" s="122"/>
      <c r="H727" s="122"/>
      <c r="I727" s="122"/>
      <c r="J727" s="122"/>
      <c r="K727" s="122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  <c r="AA727" s="122"/>
      <c r="AB727" s="122"/>
    </row>
    <row r="728" spans="1:28" ht="15.75" customHeight="1" x14ac:dyDescent="0.2">
      <c r="A728" s="122"/>
      <c r="B728" s="122"/>
      <c r="C728" s="122"/>
      <c r="D728" s="122"/>
      <c r="E728" s="122"/>
      <c r="F728" s="122"/>
      <c r="G728" s="122"/>
      <c r="H728" s="122"/>
      <c r="I728" s="122"/>
      <c r="J728" s="122"/>
      <c r="K728" s="122"/>
      <c r="L728" s="122"/>
      <c r="M728" s="122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  <c r="AA728" s="122"/>
      <c r="AB728" s="122"/>
    </row>
    <row r="729" spans="1:28" ht="15.75" customHeight="1" x14ac:dyDescent="0.2">
      <c r="A729" s="122"/>
      <c r="B729" s="122"/>
      <c r="C729" s="122"/>
      <c r="D729" s="122"/>
      <c r="E729" s="122"/>
      <c r="F729" s="122"/>
      <c r="G729" s="122"/>
      <c r="H729" s="122"/>
      <c r="I729" s="122"/>
      <c r="J729" s="122"/>
      <c r="K729" s="122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  <c r="AA729" s="122"/>
      <c r="AB729" s="122"/>
    </row>
    <row r="730" spans="1:28" ht="15.75" customHeight="1" x14ac:dyDescent="0.2">
      <c r="A730" s="122"/>
      <c r="B730" s="122"/>
      <c r="C730" s="122"/>
      <c r="D730" s="122"/>
      <c r="E730" s="122"/>
      <c r="F730" s="122"/>
      <c r="G730" s="122"/>
      <c r="H730" s="122"/>
      <c r="I730" s="122"/>
      <c r="J730" s="122"/>
      <c r="K730" s="122"/>
      <c r="L730" s="122"/>
      <c r="M730" s="122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  <c r="AA730" s="122"/>
      <c r="AB730" s="122"/>
    </row>
    <row r="731" spans="1:28" ht="15.75" customHeight="1" x14ac:dyDescent="0.2">
      <c r="A731" s="122"/>
      <c r="B731" s="122"/>
      <c r="C731" s="122"/>
      <c r="D731" s="122"/>
      <c r="E731" s="122"/>
      <c r="F731" s="122"/>
      <c r="G731" s="122"/>
      <c r="H731" s="122"/>
      <c r="I731" s="122"/>
      <c r="J731" s="122"/>
      <c r="K731" s="122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  <c r="AA731" s="122"/>
      <c r="AB731" s="122"/>
    </row>
    <row r="732" spans="1:28" ht="15.75" customHeight="1" x14ac:dyDescent="0.2">
      <c r="A732" s="122"/>
      <c r="B732" s="122"/>
      <c r="C732" s="122"/>
      <c r="D732" s="122"/>
      <c r="E732" s="122"/>
      <c r="F732" s="122"/>
      <c r="G732" s="122"/>
      <c r="H732" s="122"/>
      <c r="I732" s="122"/>
      <c r="J732" s="122"/>
      <c r="K732" s="122"/>
      <c r="L732" s="122"/>
      <c r="M732" s="122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  <c r="AA732" s="122"/>
      <c r="AB732" s="122"/>
    </row>
    <row r="733" spans="1:28" ht="15.75" customHeight="1" x14ac:dyDescent="0.2">
      <c r="A733" s="122"/>
      <c r="B733" s="122"/>
      <c r="C733" s="122"/>
      <c r="D733" s="122"/>
      <c r="E733" s="122"/>
      <c r="F733" s="122"/>
      <c r="G733" s="122"/>
      <c r="H733" s="122"/>
      <c r="I733" s="122"/>
      <c r="J733" s="122"/>
      <c r="K733" s="122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  <c r="AA733" s="122"/>
      <c r="AB733" s="122"/>
    </row>
    <row r="734" spans="1:28" ht="15.75" customHeight="1" x14ac:dyDescent="0.2">
      <c r="A734" s="122"/>
      <c r="B734" s="122"/>
      <c r="C734" s="122"/>
      <c r="D734" s="122"/>
      <c r="E734" s="122"/>
      <c r="F734" s="122"/>
      <c r="G734" s="122"/>
      <c r="H734" s="122"/>
      <c r="I734" s="122"/>
      <c r="J734" s="122"/>
      <c r="K734" s="122"/>
      <c r="L734" s="122"/>
      <c r="M734" s="122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  <c r="AA734" s="122"/>
      <c r="AB734" s="122"/>
    </row>
    <row r="735" spans="1:28" ht="15.75" customHeight="1" x14ac:dyDescent="0.2">
      <c r="A735" s="122"/>
      <c r="B735" s="122"/>
      <c r="C735" s="122"/>
      <c r="D735" s="122"/>
      <c r="E735" s="122"/>
      <c r="F735" s="122"/>
      <c r="G735" s="122"/>
      <c r="H735" s="122"/>
      <c r="I735" s="122"/>
      <c r="J735" s="122"/>
      <c r="K735" s="122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  <c r="AA735" s="122"/>
      <c r="AB735" s="122"/>
    </row>
    <row r="736" spans="1:28" ht="15.75" customHeight="1" x14ac:dyDescent="0.2">
      <c r="A736" s="122"/>
      <c r="B736" s="122"/>
      <c r="C736" s="122"/>
      <c r="D736" s="122"/>
      <c r="E736" s="122"/>
      <c r="F736" s="122"/>
      <c r="G736" s="122"/>
      <c r="H736" s="122"/>
      <c r="I736" s="122"/>
      <c r="J736" s="122"/>
      <c r="K736" s="122"/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  <c r="AA736" s="122"/>
      <c r="AB736" s="122"/>
    </row>
    <row r="737" spans="1:28" ht="15.75" customHeight="1" x14ac:dyDescent="0.2">
      <c r="A737" s="122"/>
      <c r="B737" s="122"/>
      <c r="C737" s="122"/>
      <c r="D737" s="122"/>
      <c r="E737" s="122"/>
      <c r="F737" s="122"/>
      <c r="G737" s="122"/>
      <c r="H737" s="122"/>
      <c r="I737" s="122"/>
      <c r="J737" s="122"/>
      <c r="K737" s="122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  <c r="AA737" s="122"/>
      <c r="AB737" s="122"/>
    </row>
    <row r="738" spans="1:28" ht="15.75" customHeight="1" x14ac:dyDescent="0.2">
      <c r="A738" s="122"/>
      <c r="B738" s="122"/>
      <c r="C738" s="122"/>
      <c r="D738" s="122"/>
      <c r="E738" s="122"/>
      <c r="F738" s="122"/>
      <c r="G738" s="122"/>
      <c r="H738" s="122"/>
      <c r="I738" s="122"/>
      <c r="J738" s="122"/>
      <c r="K738" s="122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  <c r="AA738" s="122"/>
      <c r="AB738" s="122"/>
    </row>
    <row r="739" spans="1:28" ht="15.75" customHeight="1" x14ac:dyDescent="0.2">
      <c r="A739" s="122"/>
      <c r="B739" s="122"/>
      <c r="C739" s="122"/>
      <c r="D739" s="122"/>
      <c r="E739" s="122"/>
      <c r="F739" s="122"/>
      <c r="G739" s="122"/>
      <c r="H739" s="122"/>
      <c r="I739" s="122"/>
      <c r="J739" s="122"/>
      <c r="K739" s="122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  <c r="AA739" s="122"/>
      <c r="AB739" s="122"/>
    </row>
    <row r="740" spans="1:28" ht="15.75" customHeight="1" x14ac:dyDescent="0.2">
      <c r="A740" s="122"/>
      <c r="B740" s="122"/>
      <c r="C740" s="122"/>
      <c r="D740" s="122"/>
      <c r="E740" s="122"/>
      <c r="F740" s="122"/>
      <c r="G740" s="122"/>
      <c r="H740" s="122"/>
      <c r="I740" s="122"/>
      <c r="J740" s="122"/>
      <c r="K740" s="122"/>
      <c r="L740" s="122"/>
      <c r="M740" s="122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  <c r="AA740" s="122"/>
      <c r="AB740" s="122"/>
    </row>
    <row r="741" spans="1:28" ht="15.75" customHeight="1" x14ac:dyDescent="0.2">
      <c r="A741" s="122"/>
      <c r="B741" s="122"/>
      <c r="C741" s="122"/>
      <c r="D741" s="122"/>
      <c r="E741" s="122"/>
      <c r="F741" s="122"/>
      <c r="G741" s="122"/>
      <c r="H741" s="122"/>
      <c r="I741" s="122"/>
      <c r="J741" s="122"/>
      <c r="K741" s="122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  <c r="AA741" s="122"/>
      <c r="AB741" s="122"/>
    </row>
    <row r="742" spans="1:28" ht="15.75" customHeight="1" x14ac:dyDescent="0.2">
      <c r="A742" s="122"/>
      <c r="B742" s="122"/>
      <c r="C742" s="122"/>
      <c r="D742" s="122"/>
      <c r="E742" s="122"/>
      <c r="F742" s="122"/>
      <c r="G742" s="122"/>
      <c r="H742" s="122"/>
      <c r="I742" s="122"/>
      <c r="J742" s="122"/>
      <c r="K742" s="122"/>
      <c r="L742" s="122"/>
      <c r="M742" s="122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  <c r="AA742" s="122"/>
      <c r="AB742" s="122"/>
    </row>
    <row r="743" spans="1:28" ht="15.75" customHeight="1" x14ac:dyDescent="0.2">
      <c r="A743" s="122"/>
      <c r="B743" s="122"/>
      <c r="C743" s="122"/>
      <c r="D743" s="122"/>
      <c r="E743" s="122"/>
      <c r="F743" s="122"/>
      <c r="G743" s="122"/>
      <c r="H743" s="122"/>
      <c r="I743" s="122"/>
      <c r="J743" s="122"/>
      <c r="K743" s="122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  <c r="AA743" s="122"/>
      <c r="AB743" s="122"/>
    </row>
    <row r="744" spans="1:28" ht="15.75" customHeight="1" x14ac:dyDescent="0.2">
      <c r="A744" s="122"/>
      <c r="B744" s="122"/>
      <c r="C744" s="122"/>
      <c r="D744" s="122"/>
      <c r="E744" s="122"/>
      <c r="F744" s="122"/>
      <c r="G744" s="122"/>
      <c r="H744" s="122"/>
      <c r="I744" s="122"/>
      <c r="J744" s="122"/>
      <c r="K744" s="122"/>
      <c r="L744" s="122"/>
      <c r="M744" s="122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  <c r="AA744" s="122"/>
      <c r="AB744" s="122"/>
    </row>
    <row r="745" spans="1:28" ht="15.75" customHeight="1" x14ac:dyDescent="0.2">
      <c r="A745" s="122"/>
      <c r="B745" s="122"/>
      <c r="C745" s="122"/>
      <c r="D745" s="122"/>
      <c r="E745" s="122"/>
      <c r="F745" s="122"/>
      <c r="G745" s="122"/>
      <c r="H745" s="122"/>
      <c r="I745" s="122"/>
      <c r="J745" s="122"/>
      <c r="K745" s="122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  <c r="AA745" s="122"/>
      <c r="AB745" s="122"/>
    </row>
    <row r="746" spans="1:28" ht="15.75" customHeight="1" x14ac:dyDescent="0.2">
      <c r="A746" s="122"/>
      <c r="B746" s="122"/>
      <c r="C746" s="122"/>
      <c r="D746" s="122"/>
      <c r="E746" s="122"/>
      <c r="F746" s="122"/>
      <c r="G746" s="122"/>
      <c r="H746" s="122"/>
      <c r="I746" s="122"/>
      <c r="J746" s="122"/>
      <c r="K746" s="122"/>
      <c r="L746" s="122"/>
      <c r="M746" s="122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  <c r="AA746" s="122"/>
      <c r="AB746" s="122"/>
    </row>
    <row r="747" spans="1:28" ht="15.75" customHeight="1" x14ac:dyDescent="0.2">
      <c r="A747" s="122"/>
      <c r="B747" s="122"/>
      <c r="C747" s="122"/>
      <c r="D747" s="122"/>
      <c r="E747" s="122"/>
      <c r="F747" s="122"/>
      <c r="G747" s="122"/>
      <c r="H747" s="122"/>
      <c r="I747" s="122"/>
      <c r="J747" s="122"/>
      <c r="K747" s="122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  <c r="AA747" s="122"/>
      <c r="AB747" s="122"/>
    </row>
    <row r="748" spans="1:28" ht="15.75" customHeight="1" x14ac:dyDescent="0.2">
      <c r="A748" s="122"/>
      <c r="B748" s="122"/>
      <c r="C748" s="122"/>
      <c r="D748" s="122"/>
      <c r="E748" s="122"/>
      <c r="F748" s="122"/>
      <c r="G748" s="122"/>
      <c r="H748" s="122"/>
      <c r="I748" s="122"/>
      <c r="J748" s="122"/>
      <c r="K748" s="122"/>
      <c r="L748" s="122"/>
      <c r="M748" s="122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  <c r="AA748" s="122"/>
      <c r="AB748" s="122"/>
    </row>
    <row r="749" spans="1:28" ht="15.75" customHeight="1" x14ac:dyDescent="0.2">
      <c r="A749" s="122"/>
      <c r="B749" s="122"/>
      <c r="C749" s="122"/>
      <c r="D749" s="122"/>
      <c r="E749" s="122"/>
      <c r="F749" s="122"/>
      <c r="G749" s="122"/>
      <c r="H749" s="122"/>
      <c r="I749" s="122"/>
      <c r="J749" s="122"/>
      <c r="K749" s="122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  <c r="AA749" s="122"/>
      <c r="AB749" s="122"/>
    </row>
    <row r="750" spans="1:28" ht="15.75" customHeight="1" x14ac:dyDescent="0.2">
      <c r="A750" s="122"/>
      <c r="B750" s="122"/>
      <c r="C750" s="122"/>
      <c r="D750" s="122"/>
      <c r="E750" s="122"/>
      <c r="F750" s="122"/>
      <c r="G750" s="122"/>
      <c r="H750" s="122"/>
      <c r="I750" s="122"/>
      <c r="J750" s="122"/>
      <c r="K750" s="122"/>
      <c r="L750" s="122"/>
      <c r="M750" s="122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  <c r="AA750" s="122"/>
      <c r="AB750" s="122"/>
    </row>
    <row r="751" spans="1:28" ht="15.75" customHeight="1" x14ac:dyDescent="0.2">
      <c r="A751" s="122"/>
      <c r="B751" s="122"/>
      <c r="C751" s="122"/>
      <c r="D751" s="122"/>
      <c r="E751" s="122"/>
      <c r="F751" s="122"/>
      <c r="G751" s="122"/>
      <c r="H751" s="122"/>
      <c r="I751" s="122"/>
      <c r="J751" s="122"/>
      <c r="K751" s="122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  <c r="AA751" s="122"/>
      <c r="AB751" s="122"/>
    </row>
    <row r="752" spans="1:28" ht="15.75" customHeight="1" x14ac:dyDescent="0.2">
      <c r="A752" s="122"/>
      <c r="B752" s="122"/>
      <c r="C752" s="122"/>
      <c r="D752" s="122"/>
      <c r="E752" s="122"/>
      <c r="F752" s="122"/>
      <c r="G752" s="122"/>
      <c r="H752" s="122"/>
      <c r="I752" s="122"/>
      <c r="J752" s="122"/>
      <c r="K752" s="122"/>
      <c r="L752" s="122"/>
      <c r="M752" s="122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  <c r="AA752" s="122"/>
      <c r="AB752" s="122"/>
    </row>
    <row r="753" spans="1:28" ht="15.75" customHeight="1" x14ac:dyDescent="0.2">
      <c r="A753" s="122"/>
      <c r="B753" s="122"/>
      <c r="C753" s="122"/>
      <c r="D753" s="122"/>
      <c r="E753" s="122"/>
      <c r="F753" s="122"/>
      <c r="G753" s="122"/>
      <c r="H753" s="122"/>
      <c r="I753" s="122"/>
      <c r="J753" s="122"/>
      <c r="K753" s="122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  <c r="AA753" s="122"/>
      <c r="AB753" s="122"/>
    </row>
    <row r="754" spans="1:28" ht="15.75" customHeight="1" x14ac:dyDescent="0.2">
      <c r="A754" s="122"/>
      <c r="B754" s="122"/>
      <c r="C754" s="122"/>
      <c r="D754" s="122"/>
      <c r="E754" s="122"/>
      <c r="F754" s="122"/>
      <c r="G754" s="122"/>
      <c r="H754" s="122"/>
      <c r="I754" s="122"/>
      <c r="J754" s="122"/>
      <c r="K754" s="122"/>
      <c r="L754" s="122"/>
      <c r="M754" s="122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  <c r="AA754" s="122"/>
      <c r="AB754" s="122"/>
    </row>
    <row r="755" spans="1:28" ht="15.75" customHeight="1" x14ac:dyDescent="0.2">
      <c r="A755" s="122"/>
      <c r="B755" s="122"/>
      <c r="C755" s="122"/>
      <c r="D755" s="122"/>
      <c r="E755" s="122"/>
      <c r="F755" s="122"/>
      <c r="G755" s="122"/>
      <c r="H755" s="122"/>
      <c r="I755" s="122"/>
      <c r="J755" s="122"/>
      <c r="K755" s="122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  <c r="AA755" s="122"/>
      <c r="AB755" s="122"/>
    </row>
    <row r="756" spans="1:28" ht="15.75" customHeight="1" x14ac:dyDescent="0.2">
      <c r="A756" s="122"/>
      <c r="B756" s="122"/>
      <c r="C756" s="122"/>
      <c r="D756" s="122"/>
      <c r="E756" s="122"/>
      <c r="F756" s="122"/>
      <c r="G756" s="122"/>
      <c r="H756" s="122"/>
      <c r="I756" s="122"/>
      <c r="J756" s="122"/>
      <c r="K756" s="122"/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  <c r="AA756" s="122"/>
      <c r="AB756" s="122"/>
    </row>
    <row r="757" spans="1:28" ht="15.75" customHeight="1" x14ac:dyDescent="0.2">
      <c r="A757" s="122"/>
      <c r="B757" s="122"/>
      <c r="C757" s="122"/>
      <c r="D757" s="122"/>
      <c r="E757" s="122"/>
      <c r="F757" s="122"/>
      <c r="G757" s="122"/>
      <c r="H757" s="122"/>
      <c r="I757" s="122"/>
      <c r="J757" s="122"/>
      <c r="K757" s="122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  <c r="AA757" s="122"/>
      <c r="AB757" s="122"/>
    </row>
    <row r="758" spans="1:28" ht="15.75" customHeight="1" x14ac:dyDescent="0.2">
      <c r="A758" s="122"/>
      <c r="B758" s="122"/>
      <c r="C758" s="122"/>
      <c r="D758" s="122"/>
      <c r="E758" s="122"/>
      <c r="F758" s="122"/>
      <c r="G758" s="122"/>
      <c r="H758" s="122"/>
      <c r="I758" s="122"/>
      <c r="J758" s="122"/>
      <c r="K758" s="122"/>
      <c r="L758" s="122"/>
      <c r="M758" s="122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  <c r="AA758" s="122"/>
      <c r="AB758" s="122"/>
    </row>
    <row r="759" spans="1:28" ht="15.75" customHeight="1" x14ac:dyDescent="0.2">
      <c r="A759" s="122"/>
      <c r="B759" s="122"/>
      <c r="C759" s="122"/>
      <c r="D759" s="122"/>
      <c r="E759" s="122"/>
      <c r="F759" s="122"/>
      <c r="G759" s="122"/>
      <c r="H759" s="122"/>
      <c r="I759" s="122"/>
      <c r="J759" s="122"/>
      <c r="K759" s="122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  <c r="AA759" s="122"/>
      <c r="AB759" s="122"/>
    </row>
    <row r="760" spans="1:28" ht="15.75" customHeight="1" x14ac:dyDescent="0.2">
      <c r="A760" s="122"/>
      <c r="B760" s="122"/>
      <c r="C760" s="122"/>
      <c r="D760" s="122"/>
      <c r="E760" s="122"/>
      <c r="F760" s="122"/>
      <c r="G760" s="122"/>
      <c r="H760" s="122"/>
      <c r="I760" s="122"/>
      <c r="J760" s="122"/>
      <c r="K760" s="122"/>
      <c r="L760" s="122"/>
      <c r="M760" s="122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  <c r="AA760" s="122"/>
      <c r="AB760" s="122"/>
    </row>
    <row r="761" spans="1:28" ht="15.75" customHeight="1" x14ac:dyDescent="0.2">
      <c r="A761" s="122"/>
      <c r="B761" s="122"/>
      <c r="C761" s="122"/>
      <c r="D761" s="122"/>
      <c r="E761" s="122"/>
      <c r="F761" s="122"/>
      <c r="G761" s="122"/>
      <c r="H761" s="122"/>
      <c r="I761" s="122"/>
      <c r="J761" s="122"/>
      <c r="K761" s="122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  <c r="AA761" s="122"/>
      <c r="AB761" s="122"/>
    </row>
    <row r="762" spans="1:28" ht="15.75" customHeight="1" x14ac:dyDescent="0.2">
      <c r="A762" s="122"/>
      <c r="B762" s="122"/>
      <c r="C762" s="122"/>
      <c r="D762" s="122"/>
      <c r="E762" s="122"/>
      <c r="F762" s="122"/>
      <c r="G762" s="122"/>
      <c r="H762" s="122"/>
      <c r="I762" s="122"/>
      <c r="J762" s="122"/>
      <c r="K762" s="122"/>
      <c r="L762" s="122"/>
      <c r="M762" s="122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  <c r="AA762" s="122"/>
      <c r="AB762" s="122"/>
    </row>
    <row r="763" spans="1:28" ht="15.75" customHeight="1" x14ac:dyDescent="0.2">
      <c r="A763" s="122"/>
      <c r="B763" s="122"/>
      <c r="C763" s="122"/>
      <c r="D763" s="122"/>
      <c r="E763" s="122"/>
      <c r="F763" s="122"/>
      <c r="G763" s="122"/>
      <c r="H763" s="122"/>
      <c r="I763" s="122"/>
      <c r="J763" s="122"/>
      <c r="K763" s="122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  <c r="AA763" s="122"/>
      <c r="AB763" s="122"/>
    </row>
    <row r="764" spans="1:28" ht="15.75" customHeight="1" x14ac:dyDescent="0.2">
      <c r="A764" s="122"/>
      <c r="B764" s="122"/>
      <c r="C764" s="122"/>
      <c r="D764" s="122"/>
      <c r="E764" s="122"/>
      <c r="F764" s="122"/>
      <c r="G764" s="122"/>
      <c r="H764" s="122"/>
      <c r="I764" s="122"/>
      <c r="J764" s="122"/>
      <c r="K764" s="122"/>
      <c r="L764" s="122"/>
      <c r="M764" s="122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  <c r="AA764" s="122"/>
      <c r="AB764" s="122"/>
    </row>
    <row r="765" spans="1:28" ht="15.75" customHeight="1" x14ac:dyDescent="0.2">
      <c r="A765" s="122"/>
      <c r="B765" s="122"/>
      <c r="C765" s="122"/>
      <c r="D765" s="122"/>
      <c r="E765" s="122"/>
      <c r="F765" s="122"/>
      <c r="G765" s="122"/>
      <c r="H765" s="122"/>
      <c r="I765" s="122"/>
      <c r="J765" s="122"/>
      <c r="K765" s="122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  <c r="AA765" s="122"/>
      <c r="AB765" s="122"/>
    </row>
    <row r="766" spans="1:28" ht="15.75" customHeight="1" x14ac:dyDescent="0.2">
      <c r="A766" s="122"/>
      <c r="B766" s="122"/>
      <c r="C766" s="122"/>
      <c r="D766" s="122"/>
      <c r="E766" s="122"/>
      <c r="F766" s="122"/>
      <c r="G766" s="122"/>
      <c r="H766" s="122"/>
      <c r="I766" s="122"/>
      <c r="J766" s="122"/>
      <c r="K766" s="122"/>
      <c r="L766" s="122"/>
      <c r="M766" s="122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  <c r="AA766" s="122"/>
      <c r="AB766" s="122"/>
    </row>
    <row r="767" spans="1:28" ht="15.75" customHeight="1" x14ac:dyDescent="0.2">
      <c r="A767" s="122"/>
      <c r="B767" s="122"/>
      <c r="C767" s="122"/>
      <c r="D767" s="122"/>
      <c r="E767" s="122"/>
      <c r="F767" s="122"/>
      <c r="G767" s="122"/>
      <c r="H767" s="122"/>
      <c r="I767" s="122"/>
      <c r="J767" s="122"/>
      <c r="K767" s="122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  <c r="AA767" s="122"/>
      <c r="AB767" s="122"/>
    </row>
    <row r="768" spans="1:28" ht="15.75" customHeight="1" x14ac:dyDescent="0.2">
      <c r="A768" s="122"/>
      <c r="B768" s="122"/>
      <c r="C768" s="122"/>
      <c r="D768" s="122"/>
      <c r="E768" s="122"/>
      <c r="F768" s="122"/>
      <c r="G768" s="122"/>
      <c r="H768" s="122"/>
      <c r="I768" s="122"/>
      <c r="J768" s="122"/>
      <c r="K768" s="122"/>
      <c r="L768" s="122"/>
      <c r="M768" s="122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  <c r="AA768" s="122"/>
      <c r="AB768" s="122"/>
    </row>
    <row r="769" spans="1:28" ht="15.75" customHeight="1" x14ac:dyDescent="0.2">
      <c r="A769" s="122"/>
      <c r="B769" s="122"/>
      <c r="C769" s="122"/>
      <c r="D769" s="122"/>
      <c r="E769" s="122"/>
      <c r="F769" s="122"/>
      <c r="G769" s="122"/>
      <c r="H769" s="122"/>
      <c r="I769" s="122"/>
      <c r="J769" s="122"/>
      <c r="K769" s="122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  <c r="AA769" s="122"/>
      <c r="AB769" s="122"/>
    </row>
    <row r="770" spans="1:28" ht="15.75" customHeight="1" x14ac:dyDescent="0.2">
      <c r="A770" s="122"/>
      <c r="B770" s="122"/>
      <c r="C770" s="122"/>
      <c r="D770" s="122"/>
      <c r="E770" s="122"/>
      <c r="F770" s="122"/>
      <c r="G770" s="122"/>
      <c r="H770" s="122"/>
      <c r="I770" s="122"/>
      <c r="J770" s="122"/>
      <c r="K770" s="122"/>
      <c r="L770" s="122"/>
      <c r="M770" s="122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  <c r="AA770" s="122"/>
      <c r="AB770" s="122"/>
    </row>
    <row r="771" spans="1:28" ht="15.75" customHeight="1" x14ac:dyDescent="0.2">
      <c r="A771" s="122"/>
      <c r="B771" s="122"/>
      <c r="C771" s="122"/>
      <c r="D771" s="122"/>
      <c r="E771" s="122"/>
      <c r="F771" s="122"/>
      <c r="G771" s="122"/>
      <c r="H771" s="122"/>
      <c r="I771" s="122"/>
      <c r="J771" s="122"/>
      <c r="K771" s="122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  <c r="AA771" s="122"/>
      <c r="AB771" s="122"/>
    </row>
    <row r="772" spans="1:28" ht="15.75" customHeight="1" x14ac:dyDescent="0.2">
      <c r="A772" s="122"/>
      <c r="B772" s="122"/>
      <c r="C772" s="122"/>
      <c r="D772" s="122"/>
      <c r="E772" s="122"/>
      <c r="F772" s="122"/>
      <c r="G772" s="122"/>
      <c r="H772" s="122"/>
      <c r="I772" s="122"/>
      <c r="J772" s="122"/>
      <c r="K772" s="122"/>
      <c r="L772" s="122"/>
      <c r="M772" s="122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  <c r="AA772" s="122"/>
      <c r="AB772" s="122"/>
    </row>
    <row r="773" spans="1:28" ht="15.75" customHeight="1" x14ac:dyDescent="0.2">
      <c r="A773" s="122"/>
      <c r="B773" s="122"/>
      <c r="C773" s="122"/>
      <c r="D773" s="122"/>
      <c r="E773" s="122"/>
      <c r="F773" s="122"/>
      <c r="G773" s="122"/>
      <c r="H773" s="122"/>
      <c r="I773" s="122"/>
      <c r="J773" s="122"/>
      <c r="K773" s="122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  <c r="AA773" s="122"/>
      <c r="AB773" s="122"/>
    </row>
    <row r="774" spans="1:28" ht="15.75" customHeight="1" x14ac:dyDescent="0.2">
      <c r="A774" s="122"/>
      <c r="B774" s="122"/>
      <c r="C774" s="122"/>
      <c r="D774" s="122"/>
      <c r="E774" s="122"/>
      <c r="F774" s="122"/>
      <c r="G774" s="122"/>
      <c r="H774" s="122"/>
      <c r="I774" s="122"/>
      <c r="J774" s="122"/>
      <c r="K774" s="122"/>
      <c r="L774" s="122"/>
      <c r="M774" s="122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  <c r="AA774" s="122"/>
      <c r="AB774" s="122"/>
    </row>
    <row r="775" spans="1:28" ht="15.75" customHeight="1" x14ac:dyDescent="0.2">
      <c r="A775" s="122"/>
      <c r="B775" s="122"/>
      <c r="C775" s="122"/>
      <c r="D775" s="122"/>
      <c r="E775" s="122"/>
      <c r="F775" s="122"/>
      <c r="G775" s="122"/>
      <c r="H775" s="122"/>
      <c r="I775" s="122"/>
      <c r="J775" s="122"/>
      <c r="K775" s="122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  <c r="AA775" s="122"/>
      <c r="AB775" s="122"/>
    </row>
    <row r="776" spans="1:28" ht="15.75" customHeight="1" x14ac:dyDescent="0.2">
      <c r="A776" s="122"/>
      <c r="B776" s="122"/>
      <c r="C776" s="122"/>
      <c r="D776" s="122"/>
      <c r="E776" s="122"/>
      <c r="F776" s="122"/>
      <c r="G776" s="122"/>
      <c r="H776" s="122"/>
      <c r="I776" s="122"/>
      <c r="J776" s="122"/>
      <c r="K776" s="122"/>
      <c r="L776" s="122"/>
      <c r="M776" s="122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  <c r="AA776" s="122"/>
      <c r="AB776" s="122"/>
    </row>
    <row r="777" spans="1:28" ht="15.75" customHeight="1" x14ac:dyDescent="0.2">
      <c r="A777" s="122"/>
      <c r="B777" s="122"/>
      <c r="C777" s="122"/>
      <c r="D777" s="122"/>
      <c r="E777" s="122"/>
      <c r="F777" s="122"/>
      <c r="G777" s="122"/>
      <c r="H777" s="122"/>
      <c r="I777" s="122"/>
      <c r="J777" s="122"/>
      <c r="K777" s="122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  <c r="AA777" s="122"/>
      <c r="AB777" s="122"/>
    </row>
    <row r="778" spans="1:28" ht="15.75" customHeight="1" x14ac:dyDescent="0.2">
      <c r="A778" s="122"/>
      <c r="B778" s="122"/>
      <c r="C778" s="122"/>
      <c r="D778" s="122"/>
      <c r="E778" s="122"/>
      <c r="F778" s="122"/>
      <c r="G778" s="122"/>
      <c r="H778" s="122"/>
      <c r="I778" s="122"/>
      <c r="J778" s="122"/>
      <c r="K778" s="122"/>
      <c r="L778" s="122"/>
      <c r="M778" s="122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  <c r="AA778" s="122"/>
      <c r="AB778" s="122"/>
    </row>
    <row r="779" spans="1:28" ht="15.75" customHeight="1" x14ac:dyDescent="0.2">
      <c r="A779" s="122"/>
      <c r="B779" s="122"/>
      <c r="C779" s="122"/>
      <c r="D779" s="122"/>
      <c r="E779" s="122"/>
      <c r="F779" s="122"/>
      <c r="G779" s="122"/>
      <c r="H779" s="122"/>
      <c r="I779" s="122"/>
      <c r="J779" s="122"/>
      <c r="K779" s="122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  <c r="AA779" s="122"/>
      <c r="AB779" s="122"/>
    </row>
    <row r="780" spans="1:28" ht="15.75" customHeight="1" x14ac:dyDescent="0.2">
      <c r="A780" s="122"/>
      <c r="B780" s="122"/>
      <c r="C780" s="122"/>
      <c r="D780" s="122"/>
      <c r="E780" s="122"/>
      <c r="F780" s="122"/>
      <c r="G780" s="122"/>
      <c r="H780" s="122"/>
      <c r="I780" s="122"/>
      <c r="J780" s="122"/>
      <c r="K780" s="122"/>
      <c r="L780" s="122"/>
      <c r="M780" s="122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  <c r="AA780" s="122"/>
      <c r="AB780" s="122"/>
    </row>
    <row r="781" spans="1:28" ht="15.75" customHeight="1" x14ac:dyDescent="0.2">
      <c r="A781" s="122"/>
      <c r="B781" s="122"/>
      <c r="C781" s="122"/>
      <c r="D781" s="122"/>
      <c r="E781" s="122"/>
      <c r="F781" s="122"/>
      <c r="G781" s="122"/>
      <c r="H781" s="122"/>
      <c r="I781" s="122"/>
      <c r="J781" s="122"/>
      <c r="K781" s="122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  <c r="AA781" s="122"/>
      <c r="AB781" s="122"/>
    </row>
    <row r="782" spans="1:28" ht="15.75" customHeight="1" x14ac:dyDescent="0.2">
      <c r="A782" s="122"/>
      <c r="B782" s="122"/>
      <c r="C782" s="122"/>
      <c r="D782" s="122"/>
      <c r="E782" s="122"/>
      <c r="F782" s="122"/>
      <c r="G782" s="122"/>
      <c r="H782" s="122"/>
      <c r="I782" s="122"/>
      <c r="J782" s="122"/>
      <c r="K782" s="122"/>
      <c r="L782" s="122"/>
      <c r="M782" s="122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  <c r="AA782" s="122"/>
      <c r="AB782" s="122"/>
    </row>
    <row r="783" spans="1:28" ht="15.75" customHeight="1" x14ac:dyDescent="0.2">
      <c r="A783" s="122"/>
      <c r="B783" s="122"/>
      <c r="C783" s="122"/>
      <c r="D783" s="122"/>
      <c r="E783" s="122"/>
      <c r="F783" s="122"/>
      <c r="G783" s="122"/>
      <c r="H783" s="122"/>
      <c r="I783" s="122"/>
      <c r="J783" s="122"/>
      <c r="K783" s="122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  <c r="AA783" s="122"/>
      <c r="AB783" s="122"/>
    </row>
    <row r="784" spans="1:28" ht="15.75" customHeight="1" x14ac:dyDescent="0.2">
      <c r="A784" s="122"/>
      <c r="B784" s="122"/>
      <c r="C784" s="122"/>
      <c r="D784" s="122"/>
      <c r="E784" s="122"/>
      <c r="F784" s="122"/>
      <c r="G784" s="122"/>
      <c r="H784" s="122"/>
      <c r="I784" s="122"/>
      <c r="J784" s="122"/>
      <c r="K784" s="122"/>
      <c r="L784" s="122"/>
      <c r="M784" s="122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  <c r="AA784" s="122"/>
      <c r="AB784" s="122"/>
    </row>
    <row r="785" spans="1:28" ht="15.75" customHeight="1" x14ac:dyDescent="0.2">
      <c r="A785" s="122"/>
      <c r="B785" s="122"/>
      <c r="C785" s="122"/>
      <c r="D785" s="122"/>
      <c r="E785" s="122"/>
      <c r="F785" s="122"/>
      <c r="G785" s="122"/>
      <c r="H785" s="122"/>
      <c r="I785" s="122"/>
      <c r="J785" s="122"/>
      <c r="K785" s="122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  <c r="AA785" s="122"/>
      <c r="AB785" s="122"/>
    </row>
    <row r="786" spans="1:28" ht="15.75" customHeight="1" x14ac:dyDescent="0.2">
      <c r="A786" s="122"/>
      <c r="B786" s="122"/>
      <c r="C786" s="122"/>
      <c r="D786" s="122"/>
      <c r="E786" s="122"/>
      <c r="F786" s="122"/>
      <c r="G786" s="122"/>
      <c r="H786" s="122"/>
      <c r="I786" s="122"/>
      <c r="J786" s="122"/>
      <c r="K786" s="122"/>
      <c r="L786" s="122"/>
      <c r="M786" s="122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  <c r="AA786" s="122"/>
      <c r="AB786" s="122"/>
    </row>
    <row r="787" spans="1:28" ht="15.75" customHeight="1" x14ac:dyDescent="0.2">
      <c r="A787" s="122"/>
      <c r="B787" s="122"/>
      <c r="C787" s="122"/>
      <c r="D787" s="122"/>
      <c r="E787" s="122"/>
      <c r="F787" s="122"/>
      <c r="G787" s="122"/>
      <c r="H787" s="122"/>
      <c r="I787" s="122"/>
      <c r="J787" s="122"/>
      <c r="K787" s="122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  <c r="AA787" s="122"/>
      <c r="AB787" s="122"/>
    </row>
    <row r="788" spans="1:28" ht="15.75" customHeight="1" x14ac:dyDescent="0.2">
      <c r="A788" s="122"/>
      <c r="B788" s="122"/>
      <c r="C788" s="122"/>
      <c r="D788" s="122"/>
      <c r="E788" s="122"/>
      <c r="F788" s="122"/>
      <c r="G788" s="122"/>
      <c r="H788" s="122"/>
      <c r="I788" s="122"/>
      <c r="J788" s="122"/>
      <c r="K788" s="122"/>
      <c r="L788" s="122"/>
      <c r="M788" s="122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  <c r="AA788" s="122"/>
      <c r="AB788" s="122"/>
    </row>
    <row r="789" spans="1:28" ht="15.75" customHeight="1" x14ac:dyDescent="0.2">
      <c r="A789" s="122"/>
      <c r="B789" s="122"/>
      <c r="C789" s="122"/>
      <c r="D789" s="122"/>
      <c r="E789" s="122"/>
      <c r="F789" s="122"/>
      <c r="G789" s="122"/>
      <c r="H789" s="122"/>
      <c r="I789" s="122"/>
      <c r="J789" s="122"/>
      <c r="K789" s="122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  <c r="AA789" s="122"/>
      <c r="AB789" s="122"/>
    </row>
    <row r="790" spans="1:28" ht="15.75" customHeight="1" x14ac:dyDescent="0.2">
      <c r="A790" s="122"/>
      <c r="B790" s="122"/>
      <c r="C790" s="122"/>
      <c r="D790" s="122"/>
      <c r="E790" s="122"/>
      <c r="F790" s="122"/>
      <c r="G790" s="122"/>
      <c r="H790" s="122"/>
      <c r="I790" s="122"/>
      <c r="J790" s="122"/>
      <c r="K790" s="122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  <c r="AA790" s="122"/>
      <c r="AB790" s="122"/>
    </row>
    <row r="791" spans="1:28" ht="15.75" customHeight="1" x14ac:dyDescent="0.2">
      <c r="A791" s="122"/>
      <c r="B791" s="122"/>
      <c r="C791" s="122"/>
      <c r="D791" s="122"/>
      <c r="E791" s="122"/>
      <c r="F791" s="122"/>
      <c r="G791" s="122"/>
      <c r="H791" s="122"/>
      <c r="I791" s="122"/>
      <c r="J791" s="122"/>
      <c r="K791" s="122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  <c r="AA791" s="122"/>
      <c r="AB791" s="122"/>
    </row>
    <row r="792" spans="1:28" ht="15.75" customHeight="1" x14ac:dyDescent="0.2">
      <c r="A792" s="122"/>
      <c r="B792" s="122"/>
      <c r="C792" s="122"/>
      <c r="D792" s="122"/>
      <c r="E792" s="122"/>
      <c r="F792" s="122"/>
      <c r="G792" s="122"/>
      <c r="H792" s="122"/>
      <c r="I792" s="122"/>
      <c r="J792" s="122"/>
      <c r="K792" s="122"/>
      <c r="L792" s="122"/>
      <c r="M792" s="122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  <c r="AA792" s="122"/>
      <c r="AB792" s="122"/>
    </row>
    <row r="793" spans="1:28" ht="15.75" customHeight="1" x14ac:dyDescent="0.2">
      <c r="A793" s="122"/>
      <c r="B793" s="122"/>
      <c r="C793" s="122"/>
      <c r="D793" s="122"/>
      <c r="E793" s="122"/>
      <c r="F793" s="122"/>
      <c r="G793" s="122"/>
      <c r="H793" s="122"/>
      <c r="I793" s="122"/>
      <c r="J793" s="122"/>
      <c r="K793" s="122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  <c r="AA793" s="122"/>
      <c r="AB793" s="122"/>
    </row>
    <row r="794" spans="1:28" ht="15.75" customHeight="1" x14ac:dyDescent="0.2">
      <c r="A794" s="122"/>
      <c r="B794" s="122"/>
      <c r="C794" s="122"/>
      <c r="D794" s="122"/>
      <c r="E794" s="122"/>
      <c r="F794" s="122"/>
      <c r="G794" s="122"/>
      <c r="H794" s="122"/>
      <c r="I794" s="122"/>
      <c r="J794" s="122"/>
      <c r="K794" s="122"/>
      <c r="L794" s="122"/>
      <c r="M794" s="122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  <c r="AA794" s="122"/>
      <c r="AB794" s="122"/>
    </row>
    <row r="795" spans="1:28" ht="15.75" customHeight="1" x14ac:dyDescent="0.2">
      <c r="A795" s="122"/>
      <c r="B795" s="122"/>
      <c r="C795" s="122"/>
      <c r="D795" s="122"/>
      <c r="E795" s="122"/>
      <c r="F795" s="122"/>
      <c r="G795" s="122"/>
      <c r="H795" s="122"/>
      <c r="I795" s="122"/>
      <c r="J795" s="122"/>
      <c r="K795" s="122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  <c r="AA795" s="122"/>
      <c r="AB795" s="122"/>
    </row>
    <row r="796" spans="1:28" ht="15.75" customHeight="1" x14ac:dyDescent="0.2">
      <c r="A796" s="122"/>
      <c r="B796" s="122"/>
      <c r="C796" s="122"/>
      <c r="D796" s="122"/>
      <c r="E796" s="122"/>
      <c r="F796" s="122"/>
      <c r="G796" s="122"/>
      <c r="H796" s="122"/>
      <c r="I796" s="122"/>
      <c r="J796" s="122"/>
      <c r="K796" s="122"/>
      <c r="L796" s="122"/>
      <c r="M796" s="122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  <c r="AA796" s="122"/>
      <c r="AB796" s="122"/>
    </row>
    <row r="797" spans="1:28" ht="15.75" customHeight="1" x14ac:dyDescent="0.2">
      <c r="A797" s="122"/>
      <c r="B797" s="122"/>
      <c r="C797" s="122"/>
      <c r="D797" s="122"/>
      <c r="E797" s="122"/>
      <c r="F797" s="122"/>
      <c r="G797" s="122"/>
      <c r="H797" s="122"/>
      <c r="I797" s="122"/>
      <c r="J797" s="122"/>
      <c r="K797" s="122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  <c r="AA797" s="122"/>
      <c r="AB797" s="122"/>
    </row>
    <row r="798" spans="1:28" ht="15.75" customHeight="1" x14ac:dyDescent="0.2">
      <c r="A798" s="122"/>
      <c r="B798" s="122"/>
      <c r="C798" s="122"/>
      <c r="D798" s="122"/>
      <c r="E798" s="122"/>
      <c r="F798" s="122"/>
      <c r="G798" s="122"/>
      <c r="H798" s="122"/>
      <c r="I798" s="122"/>
      <c r="J798" s="122"/>
      <c r="K798" s="122"/>
      <c r="L798" s="122"/>
      <c r="M798" s="122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  <c r="AA798" s="122"/>
      <c r="AB798" s="122"/>
    </row>
    <row r="799" spans="1:28" ht="15.75" customHeight="1" x14ac:dyDescent="0.2">
      <c r="A799" s="122"/>
      <c r="B799" s="122"/>
      <c r="C799" s="122"/>
      <c r="D799" s="122"/>
      <c r="E799" s="122"/>
      <c r="F799" s="122"/>
      <c r="G799" s="122"/>
      <c r="H799" s="122"/>
      <c r="I799" s="122"/>
      <c r="J799" s="122"/>
      <c r="K799" s="122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  <c r="AA799" s="122"/>
      <c r="AB799" s="122"/>
    </row>
    <row r="800" spans="1:28" ht="15.75" customHeight="1" x14ac:dyDescent="0.2">
      <c r="A800" s="122"/>
      <c r="B800" s="122"/>
      <c r="C800" s="122"/>
      <c r="D800" s="122"/>
      <c r="E800" s="122"/>
      <c r="F800" s="122"/>
      <c r="G800" s="122"/>
      <c r="H800" s="122"/>
      <c r="I800" s="122"/>
      <c r="J800" s="122"/>
      <c r="K800" s="122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  <c r="AA800" s="122"/>
      <c r="AB800" s="122"/>
    </row>
    <row r="801" spans="1:28" ht="15.75" customHeight="1" x14ac:dyDescent="0.2">
      <c r="A801" s="122"/>
      <c r="B801" s="122"/>
      <c r="C801" s="122"/>
      <c r="D801" s="122"/>
      <c r="E801" s="122"/>
      <c r="F801" s="122"/>
      <c r="G801" s="122"/>
      <c r="H801" s="122"/>
      <c r="I801" s="122"/>
      <c r="J801" s="122"/>
      <c r="K801" s="122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  <c r="AA801" s="122"/>
      <c r="AB801" s="122"/>
    </row>
    <row r="802" spans="1:28" ht="15.75" customHeight="1" x14ac:dyDescent="0.2">
      <c r="A802" s="122"/>
      <c r="B802" s="122"/>
      <c r="C802" s="122"/>
      <c r="D802" s="122"/>
      <c r="E802" s="122"/>
      <c r="F802" s="122"/>
      <c r="G802" s="122"/>
      <c r="H802" s="122"/>
      <c r="I802" s="122"/>
      <c r="J802" s="122"/>
      <c r="K802" s="122"/>
      <c r="L802" s="122"/>
      <c r="M802" s="122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  <c r="AA802" s="122"/>
      <c r="AB802" s="122"/>
    </row>
    <row r="803" spans="1:28" ht="15.75" customHeight="1" x14ac:dyDescent="0.2">
      <c r="A803" s="122"/>
      <c r="B803" s="122"/>
      <c r="C803" s="122"/>
      <c r="D803" s="122"/>
      <c r="E803" s="122"/>
      <c r="F803" s="122"/>
      <c r="G803" s="122"/>
      <c r="H803" s="122"/>
      <c r="I803" s="122"/>
      <c r="J803" s="122"/>
      <c r="K803" s="122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  <c r="AA803" s="122"/>
      <c r="AB803" s="122"/>
    </row>
    <row r="804" spans="1:28" ht="15.75" customHeight="1" x14ac:dyDescent="0.2">
      <c r="A804" s="122"/>
      <c r="B804" s="122"/>
      <c r="C804" s="122"/>
      <c r="D804" s="122"/>
      <c r="E804" s="122"/>
      <c r="F804" s="122"/>
      <c r="G804" s="122"/>
      <c r="H804" s="122"/>
      <c r="I804" s="122"/>
      <c r="J804" s="122"/>
      <c r="K804" s="122"/>
      <c r="L804" s="122"/>
      <c r="M804" s="122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  <c r="AA804" s="122"/>
      <c r="AB804" s="122"/>
    </row>
    <row r="805" spans="1:28" ht="15.75" customHeight="1" x14ac:dyDescent="0.2">
      <c r="A805" s="122"/>
      <c r="B805" s="122"/>
      <c r="C805" s="122"/>
      <c r="D805" s="122"/>
      <c r="E805" s="122"/>
      <c r="F805" s="122"/>
      <c r="G805" s="122"/>
      <c r="H805" s="122"/>
      <c r="I805" s="122"/>
      <c r="J805" s="122"/>
      <c r="K805" s="122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  <c r="AA805" s="122"/>
      <c r="AB805" s="122"/>
    </row>
    <row r="806" spans="1:28" ht="15.75" customHeight="1" x14ac:dyDescent="0.2">
      <c r="A806" s="122"/>
      <c r="B806" s="122"/>
      <c r="C806" s="122"/>
      <c r="D806" s="122"/>
      <c r="E806" s="122"/>
      <c r="F806" s="122"/>
      <c r="G806" s="122"/>
      <c r="H806" s="122"/>
      <c r="I806" s="122"/>
      <c r="J806" s="122"/>
      <c r="K806" s="122"/>
      <c r="L806" s="122"/>
      <c r="M806" s="122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  <c r="AA806" s="122"/>
      <c r="AB806" s="122"/>
    </row>
    <row r="807" spans="1:28" ht="15.75" customHeight="1" x14ac:dyDescent="0.2">
      <c r="A807" s="122"/>
      <c r="B807" s="122"/>
      <c r="C807" s="122"/>
      <c r="D807" s="122"/>
      <c r="E807" s="122"/>
      <c r="F807" s="122"/>
      <c r="G807" s="122"/>
      <c r="H807" s="122"/>
      <c r="I807" s="122"/>
      <c r="J807" s="122"/>
      <c r="K807" s="122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  <c r="AA807" s="122"/>
      <c r="AB807" s="122"/>
    </row>
    <row r="808" spans="1:28" ht="15.75" customHeight="1" x14ac:dyDescent="0.2">
      <c r="A808" s="122"/>
      <c r="B808" s="122"/>
      <c r="C808" s="122"/>
      <c r="D808" s="122"/>
      <c r="E808" s="122"/>
      <c r="F808" s="122"/>
      <c r="G808" s="122"/>
      <c r="H808" s="122"/>
      <c r="I808" s="122"/>
      <c r="J808" s="122"/>
      <c r="K808" s="122"/>
      <c r="L808" s="122"/>
      <c r="M808" s="122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  <c r="AA808" s="122"/>
      <c r="AB808" s="122"/>
    </row>
    <row r="809" spans="1:28" ht="15.75" customHeight="1" x14ac:dyDescent="0.2">
      <c r="A809" s="122"/>
      <c r="B809" s="122"/>
      <c r="C809" s="122"/>
      <c r="D809" s="122"/>
      <c r="E809" s="122"/>
      <c r="F809" s="122"/>
      <c r="G809" s="122"/>
      <c r="H809" s="122"/>
      <c r="I809" s="122"/>
      <c r="J809" s="122"/>
      <c r="K809" s="122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  <c r="AA809" s="122"/>
      <c r="AB809" s="122"/>
    </row>
    <row r="810" spans="1:28" ht="15.75" customHeight="1" x14ac:dyDescent="0.2">
      <c r="A810" s="122"/>
      <c r="B810" s="122"/>
      <c r="C810" s="122"/>
      <c r="D810" s="122"/>
      <c r="E810" s="122"/>
      <c r="F810" s="122"/>
      <c r="G810" s="122"/>
      <c r="H810" s="122"/>
      <c r="I810" s="122"/>
      <c r="J810" s="122"/>
      <c r="K810" s="122"/>
      <c r="L810" s="122"/>
      <c r="M810" s="122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  <c r="AA810" s="122"/>
      <c r="AB810" s="122"/>
    </row>
    <row r="811" spans="1:28" ht="15.75" customHeight="1" x14ac:dyDescent="0.2">
      <c r="A811" s="122"/>
      <c r="B811" s="122"/>
      <c r="C811" s="122"/>
      <c r="D811" s="122"/>
      <c r="E811" s="122"/>
      <c r="F811" s="122"/>
      <c r="G811" s="122"/>
      <c r="H811" s="122"/>
      <c r="I811" s="122"/>
      <c r="J811" s="122"/>
      <c r="K811" s="122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  <c r="AA811" s="122"/>
      <c r="AB811" s="122"/>
    </row>
    <row r="812" spans="1:28" ht="15.75" customHeight="1" x14ac:dyDescent="0.2">
      <c r="A812" s="122"/>
      <c r="B812" s="122"/>
      <c r="C812" s="122"/>
      <c r="D812" s="122"/>
      <c r="E812" s="122"/>
      <c r="F812" s="122"/>
      <c r="G812" s="122"/>
      <c r="H812" s="122"/>
      <c r="I812" s="122"/>
      <c r="J812" s="122"/>
      <c r="K812" s="122"/>
      <c r="L812" s="122"/>
      <c r="M812" s="122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  <c r="AA812" s="122"/>
      <c r="AB812" s="122"/>
    </row>
    <row r="813" spans="1:28" ht="15.75" customHeight="1" x14ac:dyDescent="0.2">
      <c r="A813" s="122"/>
      <c r="B813" s="122"/>
      <c r="C813" s="122"/>
      <c r="D813" s="122"/>
      <c r="E813" s="122"/>
      <c r="F813" s="122"/>
      <c r="G813" s="122"/>
      <c r="H813" s="122"/>
      <c r="I813" s="122"/>
      <c r="J813" s="122"/>
      <c r="K813" s="122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  <c r="AA813" s="122"/>
      <c r="AB813" s="122"/>
    </row>
    <row r="814" spans="1:28" ht="15.75" customHeight="1" x14ac:dyDescent="0.2">
      <c r="A814" s="122"/>
      <c r="B814" s="122"/>
      <c r="C814" s="122"/>
      <c r="D814" s="122"/>
      <c r="E814" s="122"/>
      <c r="F814" s="122"/>
      <c r="G814" s="122"/>
      <c r="H814" s="122"/>
      <c r="I814" s="122"/>
      <c r="J814" s="122"/>
      <c r="K814" s="122"/>
      <c r="L814" s="122"/>
      <c r="M814" s="122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  <c r="AA814" s="122"/>
      <c r="AB814" s="122"/>
    </row>
    <row r="815" spans="1:28" ht="15.75" customHeight="1" x14ac:dyDescent="0.2">
      <c r="A815" s="122"/>
      <c r="B815" s="122"/>
      <c r="C815" s="122"/>
      <c r="D815" s="122"/>
      <c r="E815" s="122"/>
      <c r="F815" s="122"/>
      <c r="G815" s="122"/>
      <c r="H815" s="122"/>
      <c r="I815" s="122"/>
      <c r="J815" s="122"/>
      <c r="K815" s="122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  <c r="AA815" s="122"/>
      <c r="AB815" s="122"/>
    </row>
    <row r="816" spans="1:28" ht="15.75" customHeight="1" x14ac:dyDescent="0.2">
      <c r="A816" s="122"/>
      <c r="B816" s="122"/>
      <c r="C816" s="122"/>
      <c r="D816" s="122"/>
      <c r="E816" s="122"/>
      <c r="F816" s="122"/>
      <c r="G816" s="122"/>
      <c r="H816" s="122"/>
      <c r="I816" s="122"/>
      <c r="J816" s="122"/>
      <c r="K816" s="122"/>
      <c r="L816" s="122"/>
      <c r="M816" s="122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  <c r="AA816" s="122"/>
      <c r="AB816" s="122"/>
    </row>
    <row r="817" spans="1:28" ht="15.75" customHeight="1" x14ac:dyDescent="0.2">
      <c r="A817" s="122"/>
      <c r="B817" s="122"/>
      <c r="C817" s="122"/>
      <c r="D817" s="122"/>
      <c r="E817" s="122"/>
      <c r="F817" s="122"/>
      <c r="G817" s="122"/>
      <c r="H817" s="122"/>
      <c r="I817" s="122"/>
      <c r="J817" s="122"/>
      <c r="K817" s="122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  <c r="AA817" s="122"/>
      <c r="AB817" s="122"/>
    </row>
    <row r="818" spans="1:28" ht="15.75" customHeight="1" x14ac:dyDescent="0.2">
      <c r="A818" s="122"/>
      <c r="B818" s="122"/>
      <c r="C818" s="122"/>
      <c r="D818" s="122"/>
      <c r="E818" s="122"/>
      <c r="F818" s="122"/>
      <c r="G818" s="122"/>
      <c r="H818" s="122"/>
      <c r="I818" s="122"/>
      <c r="J818" s="122"/>
      <c r="K818" s="122"/>
      <c r="L818" s="122"/>
      <c r="M818" s="122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  <c r="AA818" s="122"/>
      <c r="AB818" s="122"/>
    </row>
    <row r="819" spans="1:28" ht="15.75" customHeight="1" x14ac:dyDescent="0.2">
      <c r="A819" s="122"/>
      <c r="B819" s="122"/>
      <c r="C819" s="122"/>
      <c r="D819" s="122"/>
      <c r="E819" s="122"/>
      <c r="F819" s="122"/>
      <c r="G819" s="122"/>
      <c r="H819" s="122"/>
      <c r="I819" s="122"/>
      <c r="J819" s="122"/>
      <c r="K819" s="122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  <c r="AA819" s="122"/>
      <c r="AB819" s="122"/>
    </row>
    <row r="820" spans="1:28" ht="15.75" customHeight="1" x14ac:dyDescent="0.2">
      <c r="A820" s="122"/>
      <c r="B820" s="122"/>
      <c r="C820" s="122"/>
      <c r="D820" s="122"/>
      <c r="E820" s="122"/>
      <c r="F820" s="122"/>
      <c r="G820" s="122"/>
      <c r="H820" s="122"/>
      <c r="I820" s="122"/>
      <c r="J820" s="122"/>
      <c r="K820" s="122"/>
      <c r="L820" s="122"/>
      <c r="M820" s="122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  <c r="AA820" s="122"/>
      <c r="AB820" s="122"/>
    </row>
    <row r="821" spans="1:28" ht="15.75" customHeight="1" x14ac:dyDescent="0.2">
      <c r="A821" s="122"/>
      <c r="B821" s="122"/>
      <c r="C821" s="122"/>
      <c r="D821" s="122"/>
      <c r="E821" s="122"/>
      <c r="F821" s="122"/>
      <c r="G821" s="122"/>
      <c r="H821" s="122"/>
      <c r="I821" s="122"/>
      <c r="J821" s="122"/>
      <c r="K821" s="122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  <c r="AA821" s="122"/>
      <c r="AB821" s="122"/>
    </row>
    <row r="822" spans="1:28" ht="15.75" customHeight="1" x14ac:dyDescent="0.2">
      <c r="A822" s="122"/>
      <c r="B822" s="122"/>
      <c r="C822" s="122"/>
      <c r="D822" s="122"/>
      <c r="E822" s="122"/>
      <c r="F822" s="122"/>
      <c r="G822" s="122"/>
      <c r="H822" s="122"/>
      <c r="I822" s="122"/>
      <c r="J822" s="122"/>
      <c r="K822" s="122"/>
      <c r="L822" s="122"/>
      <c r="M822" s="122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  <c r="AA822" s="122"/>
      <c r="AB822" s="122"/>
    </row>
    <row r="823" spans="1:28" ht="15.75" customHeight="1" x14ac:dyDescent="0.2">
      <c r="A823" s="122"/>
      <c r="B823" s="122"/>
      <c r="C823" s="122"/>
      <c r="D823" s="122"/>
      <c r="E823" s="122"/>
      <c r="F823" s="122"/>
      <c r="G823" s="122"/>
      <c r="H823" s="122"/>
      <c r="I823" s="122"/>
      <c r="J823" s="122"/>
      <c r="K823" s="122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  <c r="AA823" s="122"/>
      <c r="AB823" s="122"/>
    </row>
    <row r="824" spans="1:28" ht="15.75" customHeight="1" x14ac:dyDescent="0.2">
      <c r="A824" s="122"/>
      <c r="B824" s="122"/>
      <c r="C824" s="122"/>
      <c r="D824" s="122"/>
      <c r="E824" s="122"/>
      <c r="F824" s="122"/>
      <c r="G824" s="122"/>
      <c r="H824" s="122"/>
      <c r="I824" s="122"/>
      <c r="J824" s="122"/>
      <c r="K824" s="122"/>
      <c r="L824" s="122"/>
      <c r="M824" s="122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  <c r="AA824" s="122"/>
      <c r="AB824" s="122"/>
    </row>
    <row r="825" spans="1:28" ht="15.75" customHeight="1" x14ac:dyDescent="0.2">
      <c r="A825" s="122"/>
      <c r="B825" s="122"/>
      <c r="C825" s="122"/>
      <c r="D825" s="122"/>
      <c r="E825" s="122"/>
      <c r="F825" s="122"/>
      <c r="G825" s="122"/>
      <c r="H825" s="122"/>
      <c r="I825" s="122"/>
      <c r="J825" s="122"/>
      <c r="K825" s="122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  <c r="AA825" s="122"/>
      <c r="AB825" s="122"/>
    </row>
    <row r="826" spans="1:28" ht="15.75" customHeight="1" x14ac:dyDescent="0.2">
      <c r="A826" s="122"/>
      <c r="B826" s="122"/>
      <c r="C826" s="122"/>
      <c r="D826" s="122"/>
      <c r="E826" s="122"/>
      <c r="F826" s="122"/>
      <c r="G826" s="122"/>
      <c r="H826" s="122"/>
      <c r="I826" s="122"/>
      <c r="J826" s="122"/>
      <c r="K826" s="122"/>
      <c r="L826" s="122"/>
      <c r="M826" s="122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  <c r="AA826" s="122"/>
      <c r="AB826" s="122"/>
    </row>
    <row r="827" spans="1:28" ht="15.75" customHeight="1" x14ac:dyDescent="0.2">
      <c r="A827" s="122"/>
      <c r="B827" s="122"/>
      <c r="C827" s="122"/>
      <c r="D827" s="122"/>
      <c r="E827" s="122"/>
      <c r="F827" s="122"/>
      <c r="G827" s="122"/>
      <c r="H827" s="122"/>
      <c r="I827" s="122"/>
      <c r="J827" s="122"/>
      <c r="K827" s="122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  <c r="AA827" s="122"/>
      <c r="AB827" s="122"/>
    </row>
    <row r="828" spans="1:28" ht="15.75" customHeight="1" x14ac:dyDescent="0.2">
      <c r="A828" s="122"/>
      <c r="B828" s="122"/>
      <c r="C828" s="122"/>
      <c r="D828" s="122"/>
      <c r="E828" s="122"/>
      <c r="F828" s="122"/>
      <c r="G828" s="122"/>
      <c r="H828" s="122"/>
      <c r="I828" s="122"/>
      <c r="J828" s="122"/>
      <c r="K828" s="122"/>
      <c r="L828" s="122"/>
      <c r="M828" s="122"/>
      <c r="N828" s="122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  <c r="AA828" s="122"/>
      <c r="AB828" s="122"/>
    </row>
    <row r="829" spans="1:28" ht="15.75" customHeight="1" x14ac:dyDescent="0.2">
      <c r="A829" s="122"/>
      <c r="B829" s="122"/>
      <c r="C829" s="122"/>
      <c r="D829" s="122"/>
      <c r="E829" s="122"/>
      <c r="F829" s="122"/>
      <c r="G829" s="122"/>
      <c r="H829" s="122"/>
      <c r="I829" s="122"/>
      <c r="J829" s="122"/>
      <c r="K829" s="122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  <c r="AA829" s="122"/>
      <c r="AB829" s="122"/>
    </row>
    <row r="830" spans="1:28" ht="15.75" customHeight="1" x14ac:dyDescent="0.2">
      <c r="A830" s="122"/>
      <c r="B830" s="122"/>
      <c r="C830" s="122"/>
      <c r="D830" s="122"/>
      <c r="E830" s="122"/>
      <c r="F830" s="122"/>
      <c r="G830" s="122"/>
      <c r="H830" s="122"/>
      <c r="I830" s="122"/>
      <c r="J830" s="122"/>
      <c r="K830" s="122"/>
      <c r="L830" s="122"/>
      <c r="M830" s="122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  <c r="AA830" s="122"/>
      <c r="AB830" s="122"/>
    </row>
    <row r="831" spans="1:28" ht="15.75" customHeight="1" x14ac:dyDescent="0.2">
      <c r="A831" s="122"/>
      <c r="B831" s="122"/>
      <c r="C831" s="122"/>
      <c r="D831" s="122"/>
      <c r="E831" s="122"/>
      <c r="F831" s="122"/>
      <c r="G831" s="122"/>
      <c r="H831" s="122"/>
      <c r="I831" s="122"/>
      <c r="J831" s="122"/>
      <c r="K831" s="122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  <c r="AA831" s="122"/>
      <c r="AB831" s="122"/>
    </row>
    <row r="832" spans="1:28" ht="15.75" customHeight="1" x14ac:dyDescent="0.2">
      <c r="A832" s="122"/>
      <c r="B832" s="122"/>
      <c r="C832" s="122"/>
      <c r="D832" s="122"/>
      <c r="E832" s="122"/>
      <c r="F832" s="122"/>
      <c r="G832" s="122"/>
      <c r="H832" s="122"/>
      <c r="I832" s="122"/>
      <c r="J832" s="122"/>
      <c r="K832" s="122"/>
      <c r="L832" s="122"/>
      <c r="M832" s="122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  <c r="AA832" s="122"/>
      <c r="AB832" s="122"/>
    </row>
    <row r="833" spans="1:28" ht="15.75" customHeight="1" x14ac:dyDescent="0.2">
      <c r="A833" s="122"/>
      <c r="B833" s="122"/>
      <c r="C833" s="122"/>
      <c r="D833" s="122"/>
      <c r="E833" s="122"/>
      <c r="F833" s="122"/>
      <c r="G833" s="122"/>
      <c r="H833" s="122"/>
      <c r="I833" s="122"/>
      <c r="J833" s="122"/>
      <c r="K833" s="122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  <c r="AA833" s="122"/>
      <c r="AB833" s="122"/>
    </row>
    <row r="834" spans="1:28" ht="15.75" customHeight="1" x14ac:dyDescent="0.2">
      <c r="A834" s="122"/>
      <c r="B834" s="122"/>
      <c r="C834" s="122"/>
      <c r="D834" s="122"/>
      <c r="E834" s="122"/>
      <c r="F834" s="122"/>
      <c r="G834" s="122"/>
      <c r="H834" s="122"/>
      <c r="I834" s="122"/>
      <c r="J834" s="122"/>
      <c r="K834" s="122"/>
      <c r="L834" s="122"/>
      <c r="M834" s="122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  <c r="AA834" s="122"/>
      <c r="AB834" s="122"/>
    </row>
    <row r="835" spans="1:28" ht="15.75" customHeight="1" x14ac:dyDescent="0.2">
      <c r="A835" s="122"/>
      <c r="B835" s="122"/>
      <c r="C835" s="122"/>
      <c r="D835" s="122"/>
      <c r="E835" s="122"/>
      <c r="F835" s="122"/>
      <c r="G835" s="122"/>
      <c r="H835" s="122"/>
      <c r="I835" s="122"/>
      <c r="J835" s="122"/>
      <c r="K835" s="122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  <c r="AA835" s="122"/>
      <c r="AB835" s="122"/>
    </row>
    <row r="836" spans="1:28" ht="15.75" customHeight="1" x14ac:dyDescent="0.2">
      <c r="A836" s="122"/>
      <c r="B836" s="122"/>
      <c r="C836" s="122"/>
      <c r="D836" s="122"/>
      <c r="E836" s="122"/>
      <c r="F836" s="122"/>
      <c r="G836" s="122"/>
      <c r="H836" s="122"/>
      <c r="I836" s="122"/>
      <c r="J836" s="122"/>
      <c r="K836" s="122"/>
      <c r="L836" s="122"/>
      <c r="M836" s="122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  <c r="AA836" s="122"/>
      <c r="AB836" s="122"/>
    </row>
    <row r="837" spans="1:28" ht="15.75" customHeight="1" x14ac:dyDescent="0.2">
      <c r="A837" s="122"/>
      <c r="B837" s="122"/>
      <c r="C837" s="122"/>
      <c r="D837" s="122"/>
      <c r="E837" s="122"/>
      <c r="F837" s="122"/>
      <c r="G837" s="122"/>
      <c r="H837" s="122"/>
      <c r="I837" s="122"/>
      <c r="J837" s="122"/>
      <c r="K837" s="122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  <c r="AA837" s="122"/>
      <c r="AB837" s="122"/>
    </row>
    <row r="838" spans="1:28" ht="15.75" customHeight="1" x14ac:dyDescent="0.2">
      <c r="A838" s="122"/>
      <c r="B838" s="122"/>
      <c r="C838" s="122"/>
      <c r="D838" s="122"/>
      <c r="E838" s="122"/>
      <c r="F838" s="122"/>
      <c r="G838" s="122"/>
      <c r="H838" s="122"/>
      <c r="I838" s="122"/>
      <c r="J838" s="122"/>
      <c r="K838" s="122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  <c r="AA838" s="122"/>
      <c r="AB838" s="122"/>
    </row>
    <row r="839" spans="1:28" ht="15.75" customHeight="1" x14ac:dyDescent="0.2">
      <c r="A839" s="122"/>
      <c r="B839" s="122"/>
      <c r="C839" s="122"/>
      <c r="D839" s="122"/>
      <c r="E839" s="122"/>
      <c r="F839" s="122"/>
      <c r="G839" s="122"/>
      <c r="H839" s="122"/>
      <c r="I839" s="122"/>
      <c r="J839" s="122"/>
      <c r="K839" s="122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  <c r="AA839" s="122"/>
      <c r="AB839" s="122"/>
    </row>
    <row r="840" spans="1:28" ht="15.75" customHeight="1" x14ac:dyDescent="0.2">
      <c r="A840" s="122"/>
      <c r="B840" s="122"/>
      <c r="C840" s="122"/>
      <c r="D840" s="122"/>
      <c r="E840" s="122"/>
      <c r="F840" s="122"/>
      <c r="G840" s="122"/>
      <c r="H840" s="122"/>
      <c r="I840" s="122"/>
      <c r="J840" s="122"/>
      <c r="K840" s="122"/>
      <c r="L840" s="122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  <c r="AA840" s="122"/>
      <c r="AB840" s="122"/>
    </row>
    <row r="841" spans="1:28" ht="15.75" customHeight="1" x14ac:dyDescent="0.2">
      <c r="A841" s="122"/>
      <c r="B841" s="122"/>
      <c r="C841" s="122"/>
      <c r="D841" s="122"/>
      <c r="E841" s="122"/>
      <c r="F841" s="122"/>
      <c r="G841" s="122"/>
      <c r="H841" s="122"/>
      <c r="I841" s="122"/>
      <c r="J841" s="122"/>
      <c r="K841" s="122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  <c r="AA841" s="122"/>
      <c r="AB841" s="122"/>
    </row>
    <row r="842" spans="1:28" ht="15.75" customHeight="1" x14ac:dyDescent="0.2">
      <c r="A842" s="122"/>
      <c r="B842" s="122"/>
      <c r="C842" s="122"/>
      <c r="D842" s="122"/>
      <c r="E842" s="122"/>
      <c r="F842" s="122"/>
      <c r="G842" s="122"/>
      <c r="H842" s="122"/>
      <c r="I842" s="122"/>
      <c r="J842" s="122"/>
      <c r="K842" s="122"/>
      <c r="L842" s="122"/>
      <c r="M842" s="122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  <c r="AA842" s="122"/>
      <c r="AB842" s="122"/>
    </row>
    <row r="843" spans="1:28" ht="15.75" customHeight="1" x14ac:dyDescent="0.2">
      <c r="A843" s="122"/>
      <c r="B843" s="122"/>
      <c r="C843" s="122"/>
      <c r="D843" s="122"/>
      <c r="E843" s="122"/>
      <c r="F843" s="122"/>
      <c r="G843" s="122"/>
      <c r="H843" s="122"/>
      <c r="I843" s="122"/>
      <c r="J843" s="122"/>
      <c r="K843" s="122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  <c r="AA843" s="122"/>
      <c r="AB843" s="122"/>
    </row>
    <row r="844" spans="1:28" ht="15.75" customHeight="1" x14ac:dyDescent="0.2">
      <c r="A844" s="122"/>
      <c r="B844" s="122"/>
      <c r="C844" s="122"/>
      <c r="D844" s="122"/>
      <c r="E844" s="122"/>
      <c r="F844" s="122"/>
      <c r="G844" s="122"/>
      <c r="H844" s="122"/>
      <c r="I844" s="122"/>
      <c r="J844" s="122"/>
      <c r="K844" s="122"/>
      <c r="L844" s="122"/>
      <c r="M844" s="122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  <c r="AA844" s="122"/>
      <c r="AB844" s="122"/>
    </row>
    <row r="845" spans="1:28" ht="15.75" customHeight="1" x14ac:dyDescent="0.2">
      <c r="A845" s="122"/>
      <c r="B845" s="122"/>
      <c r="C845" s="122"/>
      <c r="D845" s="122"/>
      <c r="E845" s="122"/>
      <c r="F845" s="122"/>
      <c r="G845" s="122"/>
      <c r="H845" s="122"/>
      <c r="I845" s="122"/>
      <c r="J845" s="122"/>
      <c r="K845" s="122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  <c r="AA845" s="122"/>
      <c r="AB845" s="122"/>
    </row>
    <row r="846" spans="1:28" ht="15.75" customHeight="1" x14ac:dyDescent="0.2">
      <c r="A846" s="122"/>
      <c r="B846" s="122"/>
      <c r="C846" s="122"/>
      <c r="D846" s="122"/>
      <c r="E846" s="122"/>
      <c r="F846" s="122"/>
      <c r="G846" s="122"/>
      <c r="H846" s="122"/>
      <c r="I846" s="122"/>
      <c r="J846" s="122"/>
      <c r="K846" s="122"/>
      <c r="L846" s="122"/>
      <c r="M846" s="122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  <c r="AA846" s="122"/>
      <c r="AB846" s="122"/>
    </row>
    <row r="847" spans="1:28" ht="15.75" customHeight="1" x14ac:dyDescent="0.2">
      <c r="A847" s="122"/>
      <c r="B847" s="122"/>
      <c r="C847" s="122"/>
      <c r="D847" s="122"/>
      <c r="E847" s="122"/>
      <c r="F847" s="122"/>
      <c r="G847" s="122"/>
      <c r="H847" s="122"/>
      <c r="I847" s="122"/>
      <c r="J847" s="122"/>
      <c r="K847" s="122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  <c r="AA847" s="122"/>
      <c r="AB847" s="122"/>
    </row>
    <row r="848" spans="1:28" ht="15.75" customHeight="1" x14ac:dyDescent="0.2">
      <c r="A848" s="122"/>
      <c r="B848" s="122"/>
      <c r="C848" s="122"/>
      <c r="D848" s="122"/>
      <c r="E848" s="122"/>
      <c r="F848" s="122"/>
      <c r="G848" s="122"/>
      <c r="H848" s="122"/>
      <c r="I848" s="122"/>
      <c r="J848" s="122"/>
      <c r="K848" s="122"/>
      <c r="L848" s="122"/>
      <c r="M848" s="122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  <c r="AA848" s="122"/>
      <c r="AB848" s="122"/>
    </row>
    <row r="849" spans="1:28" ht="15.75" customHeight="1" x14ac:dyDescent="0.2">
      <c r="A849" s="122"/>
      <c r="B849" s="122"/>
      <c r="C849" s="122"/>
      <c r="D849" s="122"/>
      <c r="E849" s="122"/>
      <c r="F849" s="122"/>
      <c r="G849" s="122"/>
      <c r="H849" s="122"/>
      <c r="I849" s="122"/>
      <c r="J849" s="122"/>
      <c r="K849" s="122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  <c r="AA849" s="122"/>
      <c r="AB849" s="122"/>
    </row>
    <row r="850" spans="1:28" ht="15.75" customHeight="1" x14ac:dyDescent="0.2">
      <c r="A850" s="122"/>
      <c r="B850" s="122"/>
      <c r="C850" s="122"/>
      <c r="D850" s="122"/>
      <c r="E850" s="122"/>
      <c r="F850" s="122"/>
      <c r="G850" s="122"/>
      <c r="H850" s="122"/>
      <c r="I850" s="122"/>
      <c r="J850" s="122"/>
      <c r="K850" s="122"/>
      <c r="L850" s="122"/>
      <c r="M850" s="122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  <c r="AA850" s="122"/>
      <c r="AB850" s="122"/>
    </row>
    <row r="851" spans="1:28" ht="15.75" customHeight="1" x14ac:dyDescent="0.2">
      <c r="A851" s="122"/>
      <c r="B851" s="122"/>
      <c r="C851" s="122"/>
      <c r="D851" s="122"/>
      <c r="E851" s="122"/>
      <c r="F851" s="122"/>
      <c r="G851" s="122"/>
      <c r="H851" s="122"/>
      <c r="I851" s="122"/>
      <c r="J851" s="122"/>
      <c r="K851" s="122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  <c r="AA851" s="122"/>
      <c r="AB851" s="122"/>
    </row>
    <row r="852" spans="1:28" ht="15.75" customHeight="1" x14ac:dyDescent="0.2">
      <c r="A852" s="122"/>
      <c r="B852" s="122"/>
      <c r="C852" s="122"/>
      <c r="D852" s="122"/>
      <c r="E852" s="122"/>
      <c r="F852" s="122"/>
      <c r="G852" s="122"/>
      <c r="H852" s="122"/>
      <c r="I852" s="122"/>
      <c r="J852" s="122"/>
      <c r="K852" s="122"/>
      <c r="L852" s="122"/>
      <c r="M852" s="122"/>
      <c r="N852" s="122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  <c r="AA852" s="122"/>
      <c r="AB852" s="122"/>
    </row>
    <row r="853" spans="1:28" ht="15.75" customHeight="1" x14ac:dyDescent="0.2">
      <c r="A853" s="122"/>
      <c r="B853" s="122"/>
      <c r="C853" s="122"/>
      <c r="D853" s="122"/>
      <c r="E853" s="122"/>
      <c r="F853" s="122"/>
      <c r="G853" s="122"/>
      <c r="H853" s="122"/>
      <c r="I853" s="122"/>
      <c r="J853" s="122"/>
      <c r="K853" s="122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  <c r="AA853" s="122"/>
      <c r="AB853" s="122"/>
    </row>
    <row r="854" spans="1:28" ht="15.75" customHeight="1" x14ac:dyDescent="0.2">
      <c r="A854" s="122"/>
      <c r="B854" s="122"/>
      <c r="C854" s="122"/>
      <c r="D854" s="122"/>
      <c r="E854" s="122"/>
      <c r="F854" s="122"/>
      <c r="G854" s="122"/>
      <c r="H854" s="122"/>
      <c r="I854" s="122"/>
      <c r="J854" s="122"/>
      <c r="K854" s="122"/>
      <c r="L854" s="122"/>
      <c r="M854" s="122"/>
      <c r="N854" s="122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  <c r="AA854" s="122"/>
      <c r="AB854" s="122"/>
    </row>
    <row r="855" spans="1:28" ht="15.75" customHeight="1" x14ac:dyDescent="0.2">
      <c r="A855" s="122"/>
      <c r="B855" s="122"/>
      <c r="C855" s="122"/>
      <c r="D855" s="122"/>
      <c r="E855" s="122"/>
      <c r="F855" s="122"/>
      <c r="G855" s="122"/>
      <c r="H855" s="122"/>
      <c r="I855" s="122"/>
      <c r="J855" s="122"/>
      <c r="K855" s="122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  <c r="AA855" s="122"/>
      <c r="AB855" s="122"/>
    </row>
    <row r="856" spans="1:28" ht="15.75" customHeight="1" x14ac:dyDescent="0.2">
      <c r="A856" s="122"/>
      <c r="B856" s="122"/>
      <c r="C856" s="122"/>
      <c r="D856" s="122"/>
      <c r="E856" s="122"/>
      <c r="F856" s="122"/>
      <c r="G856" s="122"/>
      <c r="H856" s="122"/>
      <c r="I856" s="122"/>
      <c r="J856" s="122"/>
      <c r="K856" s="122"/>
      <c r="L856" s="122"/>
      <c r="M856" s="122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  <c r="AA856" s="122"/>
      <c r="AB856" s="122"/>
    </row>
    <row r="857" spans="1:28" ht="15.75" customHeight="1" x14ac:dyDescent="0.2">
      <c r="A857" s="122"/>
      <c r="B857" s="122"/>
      <c r="C857" s="122"/>
      <c r="D857" s="122"/>
      <c r="E857" s="122"/>
      <c r="F857" s="122"/>
      <c r="G857" s="122"/>
      <c r="H857" s="122"/>
      <c r="I857" s="122"/>
      <c r="J857" s="122"/>
      <c r="K857" s="122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  <c r="AA857" s="122"/>
      <c r="AB857" s="122"/>
    </row>
    <row r="858" spans="1:28" ht="15.75" customHeight="1" x14ac:dyDescent="0.2">
      <c r="A858" s="122"/>
      <c r="B858" s="122"/>
      <c r="C858" s="122"/>
      <c r="D858" s="122"/>
      <c r="E858" s="122"/>
      <c r="F858" s="122"/>
      <c r="G858" s="122"/>
      <c r="H858" s="122"/>
      <c r="I858" s="122"/>
      <c r="J858" s="122"/>
      <c r="K858" s="122"/>
      <c r="L858" s="122"/>
      <c r="M858" s="122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  <c r="AA858" s="122"/>
      <c r="AB858" s="122"/>
    </row>
    <row r="859" spans="1:28" ht="15.75" customHeight="1" x14ac:dyDescent="0.2">
      <c r="A859" s="122"/>
      <c r="B859" s="122"/>
      <c r="C859" s="122"/>
      <c r="D859" s="122"/>
      <c r="E859" s="122"/>
      <c r="F859" s="122"/>
      <c r="G859" s="122"/>
      <c r="H859" s="122"/>
      <c r="I859" s="122"/>
      <c r="J859" s="122"/>
      <c r="K859" s="122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  <c r="AA859" s="122"/>
      <c r="AB859" s="122"/>
    </row>
    <row r="860" spans="1:28" ht="15.75" customHeight="1" x14ac:dyDescent="0.2">
      <c r="A860" s="122"/>
      <c r="B860" s="122"/>
      <c r="C860" s="122"/>
      <c r="D860" s="122"/>
      <c r="E860" s="122"/>
      <c r="F860" s="122"/>
      <c r="G860" s="122"/>
      <c r="H860" s="122"/>
      <c r="I860" s="122"/>
      <c r="J860" s="122"/>
      <c r="K860" s="122"/>
      <c r="L860" s="122"/>
      <c r="M860" s="122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  <c r="AA860" s="122"/>
      <c r="AB860" s="122"/>
    </row>
    <row r="861" spans="1:28" ht="15.75" customHeight="1" x14ac:dyDescent="0.2">
      <c r="A861" s="122"/>
      <c r="B861" s="122"/>
      <c r="C861" s="122"/>
      <c r="D861" s="122"/>
      <c r="E861" s="122"/>
      <c r="F861" s="122"/>
      <c r="G861" s="122"/>
      <c r="H861" s="122"/>
      <c r="I861" s="122"/>
      <c r="J861" s="122"/>
      <c r="K861" s="122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  <c r="AA861" s="122"/>
      <c r="AB861" s="122"/>
    </row>
    <row r="862" spans="1:28" ht="15.75" customHeight="1" x14ac:dyDescent="0.2">
      <c r="A862" s="122"/>
      <c r="B862" s="122"/>
      <c r="C862" s="122"/>
      <c r="D862" s="122"/>
      <c r="E862" s="122"/>
      <c r="F862" s="122"/>
      <c r="G862" s="122"/>
      <c r="H862" s="122"/>
      <c r="I862" s="122"/>
      <c r="J862" s="122"/>
      <c r="K862" s="122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  <c r="AA862" s="122"/>
      <c r="AB862" s="122"/>
    </row>
    <row r="863" spans="1:28" ht="15.75" customHeight="1" x14ac:dyDescent="0.2">
      <c r="A863" s="122"/>
      <c r="B863" s="122"/>
      <c r="C863" s="122"/>
      <c r="D863" s="122"/>
      <c r="E863" s="122"/>
      <c r="F863" s="122"/>
      <c r="G863" s="122"/>
      <c r="H863" s="122"/>
      <c r="I863" s="122"/>
      <c r="J863" s="122"/>
      <c r="K863" s="122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  <c r="AA863" s="122"/>
      <c r="AB863" s="122"/>
    </row>
    <row r="864" spans="1:28" ht="15.75" customHeight="1" x14ac:dyDescent="0.2">
      <c r="A864" s="122"/>
      <c r="B864" s="122"/>
      <c r="C864" s="122"/>
      <c r="D864" s="122"/>
      <c r="E864" s="122"/>
      <c r="F864" s="122"/>
      <c r="G864" s="122"/>
      <c r="H864" s="122"/>
      <c r="I864" s="122"/>
      <c r="J864" s="122"/>
      <c r="K864" s="122"/>
      <c r="L864" s="122"/>
      <c r="M864" s="122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  <c r="AA864" s="122"/>
      <c r="AB864" s="122"/>
    </row>
    <row r="865" spans="1:28" ht="15.75" customHeight="1" x14ac:dyDescent="0.2">
      <c r="A865" s="122"/>
      <c r="B865" s="122"/>
      <c r="C865" s="122"/>
      <c r="D865" s="122"/>
      <c r="E865" s="122"/>
      <c r="F865" s="122"/>
      <c r="G865" s="122"/>
      <c r="H865" s="122"/>
      <c r="I865" s="122"/>
      <c r="J865" s="122"/>
      <c r="K865" s="122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  <c r="AA865" s="122"/>
      <c r="AB865" s="122"/>
    </row>
    <row r="866" spans="1:28" ht="15.75" customHeight="1" x14ac:dyDescent="0.2">
      <c r="A866" s="122"/>
      <c r="B866" s="122"/>
      <c r="C866" s="122"/>
      <c r="D866" s="122"/>
      <c r="E866" s="122"/>
      <c r="F866" s="122"/>
      <c r="G866" s="122"/>
      <c r="H866" s="122"/>
      <c r="I866" s="122"/>
      <c r="J866" s="122"/>
      <c r="K866" s="122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  <c r="AA866" s="122"/>
      <c r="AB866" s="122"/>
    </row>
    <row r="867" spans="1:28" ht="15.75" customHeight="1" x14ac:dyDescent="0.2">
      <c r="A867" s="122"/>
      <c r="B867" s="122"/>
      <c r="C867" s="122"/>
      <c r="D867" s="122"/>
      <c r="E867" s="122"/>
      <c r="F867" s="122"/>
      <c r="G867" s="122"/>
      <c r="H867" s="122"/>
      <c r="I867" s="122"/>
      <c r="J867" s="122"/>
      <c r="K867" s="122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  <c r="AA867" s="122"/>
      <c r="AB867" s="122"/>
    </row>
    <row r="868" spans="1:28" ht="15.75" customHeight="1" x14ac:dyDescent="0.2">
      <c r="A868" s="122"/>
      <c r="B868" s="122"/>
      <c r="C868" s="122"/>
      <c r="D868" s="122"/>
      <c r="E868" s="122"/>
      <c r="F868" s="122"/>
      <c r="G868" s="122"/>
      <c r="H868" s="122"/>
      <c r="I868" s="122"/>
      <c r="J868" s="122"/>
      <c r="K868" s="122"/>
      <c r="L868" s="122"/>
      <c r="M868" s="122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  <c r="AA868" s="122"/>
      <c r="AB868" s="122"/>
    </row>
    <row r="869" spans="1:28" ht="15.75" customHeight="1" x14ac:dyDescent="0.2">
      <c r="A869" s="122"/>
      <c r="B869" s="122"/>
      <c r="C869" s="122"/>
      <c r="D869" s="122"/>
      <c r="E869" s="122"/>
      <c r="F869" s="122"/>
      <c r="G869" s="122"/>
      <c r="H869" s="122"/>
      <c r="I869" s="122"/>
      <c r="J869" s="122"/>
      <c r="K869" s="122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  <c r="AA869" s="122"/>
      <c r="AB869" s="122"/>
    </row>
    <row r="870" spans="1:28" ht="15.75" customHeight="1" x14ac:dyDescent="0.2">
      <c r="A870" s="122"/>
      <c r="B870" s="122"/>
      <c r="C870" s="122"/>
      <c r="D870" s="122"/>
      <c r="E870" s="122"/>
      <c r="F870" s="122"/>
      <c r="G870" s="122"/>
      <c r="H870" s="122"/>
      <c r="I870" s="122"/>
      <c r="J870" s="122"/>
      <c r="K870" s="122"/>
      <c r="L870" s="122"/>
      <c r="M870" s="122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  <c r="AA870" s="122"/>
      <c r="AB870" s="122"/>
    </row>
    <row r="871" spans="1:28" ht="15.75" customHeight="1" x14ac:dyDescent="0.2">
      <c r="A871" s="122"/>
      <c r="B871" s="122"/>
      <c r="C871" s="122"/>
      <c r="D871" s="122"/>
      <c r="E871" s="122"/>
      <c r="F871" s="122"/>
      <c r="G871" s="122"/>
      <c r="H871" s="122"/>
      <c r="I871" s="122"/>
      <c r="J871" s="122"/>
      <c r="K871" s="122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  <c r="AA871" s="122"/>
      <c r="AB871" s="122"/>
    </row>
    <row r="872" spans="1:28" ht="15.75" customHeight="1" x14ac:dyDescent="0.2">
      <c r="A872" s="122"/>
      <c r="B872" s="122"/>
      <c r="C872" s="122"/>
      <c r="D872" s="122"/>
      <c r="E872" s="122"/>
      <c r="F872" s="122"/>
      <c r="G872" s="122"/>
      <c r="H872" s="122"/>
      <c r="I872" s="122"/>
      <c r="J872" s="122"/>
      <c r="K872" s="122"/>
      <c r="L872" s="122"/>
      <c r="M872" s="122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  <c r="AA872" s="122"/>
      <c r="AB872" s="122"/>
    </row>
    <row r="873" spans="1:28" ht="15.75" customHeight="1" x14ac:dyDescent="0.2">
      <c r="A873" s="122"/>
      <c r="B873" s="122"/>
      <c r="C873" s="122"/>
      <c r="D873" s="122"/>
      <c r="E873" s="122"/>
      <c r="F873" s="122"/>
      <c r="G873" s="122"/>
      <c r="H873" s="122"/>
      <c r="I873" s="122"/>
      <c r="J873" s="122"/>
      <c r="K873" s="122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  <c r="AA873" s="122"/>
      <c r="AB873" s="122"/>
    </row>
    <row r="874" spans="1:28" ht="15.75" customHeight="1" x14ac:dyDescent="0.2">
      <c r="A874" s="122"/>
      <c r="B874" s="122"/>
      <c r="C874" s="122"/>
      <c r="D874" s="122"/>
      <c r="E874" s="122"/>
      <c r="F874" s="122"/>
      <c r="G874" s="122"/>
      <c r="H874" s="122"/>
      <c r="I874" s="122"/>
      <c r="J874" s="122"/>
      <c r="K874" s="122"/>
      <c r="L874" s="122"/>
      <c r="M874" s="122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  <c r="AA874" s="122"/>
      <c r="AB874" s="122"/>
    </row>
    <row r="875" spans="1:28" ht="15.75" customHeight="1" x14ac:dyDescent="0.2">
      <c r="A875" s="122"/>
      <c r="B875" s="122"/>
      <c r="C875" s="122"/>
      <c r="D875" s="122"/>
      <c r="E875" s="122"/>
      <c r="F875" s="122"/>
      <c r="G875" s="122"/>
      <c r="H875" s="122"/>
      <c r="I875" s="122"/>
      <c r="J875" s="122"/>
      <c r="K875" s="122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  <c r="AA875" s="122"/>
      <c r="AB875" s="122"/>
    </row>
    <row r="876" spans="1:28" ht="15.75" customHeight="1" x14ac:dyDescent="0.2">
      <c r="A876" s="122"/>
      <c r="B876" s="122"/>
      <c r="C876" s="122"/>
      <c r="D876" s="122"/>
      <c r="E876" s="122"/>
      <c r="F876" s="122"/>
      <c r="G876" s="122"/>
      <c r="H876" s="122"/>
      <c r="I876" s="122"/>
      <c r="J876" s="122"/>
      <c r="K876" s="122"/>
      <c r="L876" s="122"/>
      <c r="M876" s="122"/>
      <c r="N876" s="122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  <c r="AA876" s="122"/>
      <c r="AB876" s="122"/>
    </row>
    <row r="877" spans="1:28" ht="15.75" customHeight="1" x14ac:dyDescent="0.2">
      <c r="A877" s="122"/>
      <c r="B877" s="122"/>
      <c r="C877" s="122"/>
      <c r="D877" s="122"/>
      <c r="E877" s="122"/>
      <c r="F877" s="122"/>
      <c r="G877" s="122"/>
      <c r="H877" s="122"/>
      <c r="I877" s="122"/>
      <c r="J877" s="122"/>
      <c r="K877" s="122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  <c r="AA877" s="122"/>
      <c r="AB877" s="122"/>
    </row>
    <row r="878" spans="1:28" ht="15.75" customHeight="1" x14ac:dyDescent="0.2">
      <c r="A878" s="122"/>
      <c r="B878" s="122"/>
      <c r="C878" s="122"/>
      <c r="D878" s="122"/>
      <c r="E878" s="122"/>
      <c r="F878" s="122"/>
      <c r="G878" s="122"/>
      <c r="H878" s="122"/>
      <c r="I878" s="122"/>
      <c r="J878" s="122"/>
      <c r="K878" s="122"/>
      <c r="L878" s="122"/>
      <c r="M878" s="122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  <c r="AA878" s="122"/>
      <c r="AB878" s="122"/>
    </row>
    <row r="879" spans="1:28" ht="15.75" customHeight="1" x14ac:dyDescent="0.2">
      <c r="A879" s="122"/>
      <c r="B879" s="122"/>
      <c r="C879" s="122"/>
      <c r="D879" s="122"/>
      <c r="E879" s="122"/>
      <c r="F879" s="122"/>
      <c r="G879" s="122"/>
      <c r="H879" s="122"/>
      <c r="I879" s="122"/>
      <c r="J879" s="122"/>
      <c r="K879" s="122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  <c r="AA879" s="122"/>
      <c r="AB879" s="122"/>
    </row>
    <row r="880" spans="1:28" ht="15.75" customHeight="1" x14ac:dyDescent="0.2">
      <c r="A880" s="122"/>
      <c r="B880" s="122"/>
      <c r="C880" s="122"/>
      <c r="D880" s="122"/>
      <c r="E880" s="122"/>
      <c r="F880" s="122"/>
      <c r="G880" s="122"/>
      <c r="H880" s="122"/>
      <c r="I880" s="122"/>
      <c r="J880" s="122"/>
      <c r="K880" s="122"/>
      <c r="L880" s="122"/>
      <c r="M880" s="122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  <c r="AA880" s="122"/>
      <c r="AB880" s="122"/>
    </row>
    <row r="881" spans="1:28" ht="15.75" customHeight="1" x14ac:dyDescent="0.2">
      <c r="A881" s="122"/>
      <c r="B881" s="122"/>
      <c r="C881" s="122"/>
      <c r="D881" s="122"/>
      <c r="E881" s="122"/>
      <c r="F881" s="122"/>
      <c r="G881" s="122"/>
      <c r="H881" s="122"/>
      <c r="I881" s="122"/>
      <c r="J881" s="122"/>
      <c r="K881" s="122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  <c r="AA881" s="122"/>
      <c r="AB881" s="122"/>
    </row>
    <row r="882" spans="1:28" ht="15.75" customHeight="1" x14ac:dyDescent="0.2">
      <c r="A882" s="122"/>
      <c r="B882" s="122"/>
      <c r="C882" s="122"/>
      <c r="D882" s="122"/>
      <c r="E882" s="122"/>
      <c r="F882" s="122"/>
      <c r="G882" s="122"/>
      <c r="H882" s="122"/>
      <c r="I882" s="122"/>
      <c r="J882" s="122"/>
      <c r="K882" s="122"/>
      <c r="L882" s="122"/>
      <c r="M882" s="122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  <c r="AA882" s="122"/>
      <c r="AB882" s="122"/>
    </row>
    <row r="883" spans="1:28" ht="15.75" customHeight="1" x14ac:dyDescent="0.2">
      <c r="A883" s="122"/>
      <c r="B883" s="122"/>
      <c r="C883" s="122"/>
      <c r="D883" s="122"/>
      <c r="E883" s="122"/>
      <c r="F883" s="122"/>
      <c r="G883" s="122"/>
      <c r="H883" s="122"/>
      <c r="I883" s="122"/>
      <c r="J883" s="122"/>
      <c r="K883" s="122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  <c r="AA883" s="122"/>
      <c r="AB883" s="122"/>
    </row>
    <row r="884" spans="1:28" ht="15.75" customHeight="1" x14ac:dyDescent="0.2">
      <c r="A884" s="122"/>
      <c r="B884" s="122"/>
      <c r="C884" s="122"/>
      <c r="D884" s="122"/>
      <c r="E884" s="122"/>
      <c r="F884" s="122"/>
      <c r="G884" s="122"/>
      <c r="H884" s="122"/>
      <c r="I884" s="122"/>
      <c r="J884" s="122"/>
      <c r="K884" s="122"/>
      <c r="L884" s="122"/>
      <c r="M884" s="122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  <c r="AA884" s="122"/>
      <c r="AB884" s="122"/>
    </row>
    <row r="885" spans="1:28" ht="15.75" customHeight="1" x14ac:dyDescent="0.2">
      <c r="A885" s="122"/>
      <c r="B885" s="122"/>
      <c r="C885" s="122"/>
      <c r="D885" s="122"/>
      <c r="E885" s="122"/>
      <c r="F885" s="122"/>
      <c r="G885" s="122"/>
      <c r="H885" s="122"/>
      <c r="I885" s="122"/>
      <c r="J885" s="122"/>
      <c r="K885" s="122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  <c r="AA885" s="122"/>
      <c r="AB885" s="122"/>
    </row>
    <row r="886" spans="1:28" ht="15.75" customHeight="1" x14ac:dyDescent="0.2">
      <c r="A886" s="122"/>
      <c r="B886" s="122"/>
      <c r="C886" s="122"/>
      <c r="D886" s="122"/>
      <c r="E886" s="122"/>
      <c r="F886" s="122"/>
      <c r="G886" s="122"/>
      <c r="H886" s="122"/>
      <c r="I886" s="122"/>
      <c r="J886" s="122"/>
      <c r="K886" s="122"/>
      <c r="L886" s="122"/>
      <c r="M886" s="122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  <c r="AA886" s="122"/>
      <c r="AB886" s="122"/>
    </row>
    <row r="887" spans="1:28" ht="15.75" customHeight="1" x14ac:dyDescent="0.2">
      <c r="A887" s="122"/>
      <c r="B887" s="122"/>
      <c r="C887" s="122"/>
      <c r="D887" s="122"/>
      <c r="E887" s="122"/>
      <c r="F887" s="122"/>
      <c r="G887" s="122"/>
      <c r="H887" s="122"/>
      <c r="I887" s="122"/>
      <c r="J887" s="122"/>
      <c r="K887" s="122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  <c r="AA887" s="122"/>
      <c r="AB887" s="122"/>
    </row>
    <row r="888" spans="1:28" ht="15.75" customHeight="1" x14ac:dyDescent="0.2">
      <c r="A888" s="122"/>
      <c r="B888" s="122"/>
      <c r="C888" s="122"/>
      <c r="D888" s="122"/>
      <c r="E888" s="122"/>
      <c r="F888" s="122"/>
      <c r="G888" s="122"/>
      <c r="H888" s="122"/>
      <c r="I888" s="122"/>
      <c r="J888" s="122"/>
      <c r="K888" s="122"/>
      <c r="L888" s="122"/>
      <c r="M888" s="122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  <c r="AA888" s="122"/>
      <c r="AB888" s="122"/>
    </row>
    <row r="889" spans="1:28" ht="15.75" customHeight="1" x14ac:dyDescent="0.2">
      <c r="A889" s="122"/>
      <c r="B889" s="122"/>
      <c r="C889" s="122"/>
      <c r="D889" s="122"/>
      <c r="E889" s="122"/>
      <c r="F889" s="122"/>
      <c r="G889" s="122"/>
      <c r="H889" s="122"/>
      <c r="I889" s="122"/>
      <c r="J889" s="122"/>
      <c r="K889" s="122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  <c r="AA889" s="122"/>
      <c r="AB889" s="122"/>
    </row>
    <row r="890" spans="1:28" ht="15.75" customHeight="1" x14ac:dyDescent="0.2">
      <c r="A890" s="122"/>
      <c r="B890" s="122"/>
      <c r="C890" s="122"/>
      <c r="D890" s="122"/>
      <c r="E890" s="122"/>
      <c r="F890" s="122"/>
      <c r="G890" s="122"/>
      <c r="H890" s="122"/>
      <c r="I890" s="122"/>
      <c r="J890" s="122"/>
      <c r="K890" s="122"/>
      <c r="L890" s="122"/>
      <c r="M890" s="122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  <c r="AA890" s="122"/>
      <c r="AB890" s="122"/>
    </row>
    <row r="891" spans="1:28" ht="15.75" customHeight="1" x14ac:dyDescent="0.2">
      <c r="A891" s="122"/>
      <c r="B891" s="122"/>
      <c r="C891" s="122"/>
      <c r="D891" s="122"/>
      <c r="E891" s="122"/>
      <c r="F891" s="122"/>
      <c r="G891" s="122"/>
      <c r="H891" s="122"/>
      <c r="I891" s="122"/>
      <c r="J891" s="122"/>
      <c r="K891" s="122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  <c r="AA891" s="122"/>
      <c r="AB891" s="122"/>
    </row>
    <row r="892" spans="1:28" ht="15.75" customHeight="1" x14ac:dyDescent="0.2">
      <c r="A892" s="122"/>
      <c r="B892" s="122"/>
      <c r="C892" s="122"/>
      <c r="D892" s="122"/>
      <c r="E892" s="122"/>
      <c r="F892" s="122"/>
      <c r="G892" s="122"/>
      <c r="H892" s="122"/>
      <c r="I892" s="122"/>
      <c r="J892" s="122"/>
      <c r="K892" s="122"/>
      <c r="L892" s="122"/>
      <c r="M892" s="122"/>
      <c r="N892" s="122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  <c r="AA892" s="122"/>
      <c r="AB892" s="122"/>
    </row>
    <row r="893" spans="1:28" ht="15.75" customHeight="1" x14ac:dyDescent="0.2">
      <c r="A893" s="122"/>
      <c r="B893" s="122"/>
      <c r="C893" s="122"/>
      <c r="D893" s="122"/>
      <c r="E893" s="122"/>
      <c r="F893" s="122"/>
      <c r="G893" s="122"/>
      <c r="H893" s="122"/>
      <c r="I893" s="122"/>
      <c r="J893" s="122"/>
      <c r="K893" s="122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  <c r="AA893" s="122"/>
      <c r="AB893" s="122"/>
    </row>
    <row r="894" spans="1:28" ht="15.75" customHeight="1" x14ac:dyDescent="0.2">
      <c r="A894" s="122"/>
      <c r="B894" s="122"/>
      <c r="C894" s="122"/>
      <c r="D894" s="122"/>
      <c r="E894" s="122"/>
      <c r="F894" s="122"/>
      <c r="G894" s="122"/>
      <c r="H894" s="122"/>
      <c r="I894" s="122"/>
      <c r="J894" s="122"/>
      <c r="K894" s="122"/>
      <c r="L894" s="122"/>
      <c r="M894" s="122"/>
      <c r="N894" s="122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  <c r="AA894" s="122"/>
      <c r="AB894" s="122"/>
    </row>
    <row r="895" spans="1:28" ht="15.75" customHeight="1" x14ac:dyDescent="0.2">
      <c r="A895" s="122"/>
      <c r="B895" s="122"/>
      <c r="C895" s="122"/>
      <c r="D895" s="122"/>
      <c r="E895" s="122"/>
      <c r="F895" s="122"/>
      <c r="G895" s="122"/>
      <c r="H895" s="122"/>
      <c r="I895" s="122"/>
      <c r="J895" s="122"/>
      <c r="K895" s="122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  <c r="AA895" s="122"/>
      <c r="AB895" s="122"/>
    </row>
    <row r="896" spans="1:28" ht="15.75" customHeight="1" x14ac:dyDescent="0.2">
      <c r="A896" s="122"/>
      <c r="B896" s="122"/>
      <c r="C896" s="122"/>
      <c r="D896" s="122"/>
      <c r="E896" s="122"/>
      <c r="F896" s="122"/>
      <c r="G896" s="122"/>
      <c r="H896" s="122"/>
      <c r="I896" s="122"/>
      <c r="J896" s="122"/>
      <c r="K896" s="122"/>
      <c r="L896" s="122"/>
      <c r="M896" s="122"/>
      <c r="N896" s="122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  <c r="AA896" s="122"/>
      <c r="AB896" s="122"/>
    </row>
    <row r="897" spans="1:28" ht="15.75" customHeight="1" x14ac:dyDescent="0.2">
      <c r="A897" s="122"/>
      <c r="B897" s="122"/>
      <c r="C897" s="122"/>
      <c r="D897" s="122"/>
      <c r="E897" s="122"/>
      <c r="F897" s="122"/>
      <c r="G897" s="122"/>
      <c r="H897" s="122"/>
      <c r="I897" s="122"/>
      <c r="J897" s="122"/>
      <c r="K897" s="122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  <c r="AA897" s="122"/>
      <c r="AB897" s="122"/>
    </row>
    <row r="898" spans="1:28" ht="15.75" customHeight="1" x14ac:dyDescent="0.2">
      <c r="A898" s="122"/>
      <c r="B898" s="122"/>
      <c r="C898" s="122"/>
      <c r="D898" s="122"/>
      <c r="E898" s="122"/>
      <c r="F898" s="122"/>
      <c r="G898" s="122"/>
      <c r="H898" s="122"/>
      <c r="I898" s="122"/>
      <c r="J898" s="122"/>
      <c r="K898" s="122"/>
      <c r="L898" s="122"/>
      <c r="M898" s="122"/>
      <c r="N898" s="122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  <c r="AA898" s="122"/>
      <c r="AB898" s="122"/>
    </row>
    <row r="899" spans="1:28" ht="15.75" customHeight="1" x14ac:dyDescent="0.2">
      <c r="A899" s="122"/>
      <c r="B899" s="122"/>
      <c r="C899" s="122"/>
      <c r="D899" s="122"/>
      <c r="E899" s="122"/>
      <c r="F899" s="122"/>
      <c r="G899" s="122"/>
      <c r="H899" s="122"/>
      <c r="I899" s="122"/>
      <c r="J899" s="122"/>
      <c r="K899" s="122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  <c r="AA899" s="122"/>
      <c r="AB899" s="122"/>
    </row>
    <row r="900" spans="1:28" ht="15.75" customHeight="1" x14ac:dyDescent="0.2">
      <c r="A900" s="122"/>
      <c r="B900" s="122"/>
      <c r="C900" s="122"/>
      <c r="D900" s="122"/>
      <c r="E900" s="122"/>
      <c r="F900" s="122"/>
      <c r="G900" s="122"/>
      <c r="H900" s="122"/>
      <c r="I900" s="122"/>
      <c r="J900" s="122"/>
      <c r="K900" s="122"/>
      <c r="L900" s="122"/>
      <c r="M900" s="122"/>
      <c r="N900" s="122"/>
      <c r="O900" s="122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2"/>
      <c r="AA900" s="122"/>
      <c r="AB900" s="122"/>
    </row>
    <row r="901" spans="1:28" ht="15.75" customHeight="1" x14ac:dyDescent="0.2">
      <c r="A901" s="122"/>
      <c r="B901" s="122"/>
      <c r="C901" s="122"/>
      <c r="D901" s="122"/>
      <c r="E901" s="122"/>
      <c r="F901" s="122"/>
      <c r="G901" s="122"/>
      <c r="H901" s="122"/>
      <c r="I901" s="122"/>
      <c r="J901" s="122"/>
      <c r="K901" s="122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  <c r="AA901" s="122"/>
      <c r="AB901" s="122"/>
    </row>
    <row r="902" spans="1:28" ht="15.75" customHeight="1" x14ac:dyDescent="0.2">
      <c r="A902" s="122"/>
      <c r="B902" s="122"/>
      <c r="C902" s="122"/>
      <c r="D902" s="122"/>
      <c r="E902" s="122"/>
      <c r="F902" s="122"/>
      <c r="G902" s="122"/>
      <c r="H902" s="122"/>
      <c r="I902" s="122"/>
      <c r="J902" s="122"/>
      <c r="K902" s="122"/>
      <c r="L902" s="122"/>
      <c r="M902" s="122"/>
      <c r="N902" s="122"/>
      <c r="O902" s="122"/>
      <c r="P902" s="122"/>
      <c r="Q902" s="122"/>
      <c r="R902" s="122"/>
      <c r="S902" s="122"/>
      <c r="T902" s="122"/>
      <c r="U902" s="122"/>
      <c r="V902" s="122"/>
      <c r="W902" s="122"/>
      <c r="X902" s="122"/>
      <c r="Y902" s="122"/>
      <c r="Z902" s="122"/>
      <c r="AA902" s="122"/>
      <c r="AB902" s="122"/>
    </row>
    <row r="903" spans="1:28" ht="15.75" customHeight="1" x14ac:dyDescent="0.2">
      <c r="A903" s="122"/>
      <c r="B903" s="122"/>
      <c r="C903" s="122"/>
      <c r="D903" s="122"/>
      <c r="E903" s="122"/>
      <c r="F903" s="122"/>
      <c r="G903" s="122"/>
      <c r="H903" s="122"/>
      <c r="I903" s="122"/>
      <c r="J903" s="122"/>
      <c r="K903" s="122"/>
      <c r="L903" s="122"/>
      <c r="M903" s="122"/>
      <c r="N903" s="122"/>
      <c r="O903" s="122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  <c r="AA903" s="122"/>
      <c r="AB903" s="122"/>
    </row>
    <row r="904" spans="1:28" ht="15.75" customHeight="1" x14ac:dyDescent="0.2">
      <c r="A904" s="122"/>
      <c r="B904" s="122"/>
      <c r="C904" s="122"/>
      <c r="D904" s="122"/>
      <c r="E904" s="122"/>
      <c r="F904" s="122"/>
      <c r="G904" s="122"/>
      <c r="H904" s="122"/>
      <c r="I904" s="122"/>
      <c r="J904" s="122"/>
      <c r="K904" s="122"/>
      <c r="L904" s="122"/>
      <c r="M904" s="122"/>
      <c r="N904" s="122"/>
      <c r="O904" s="122"/>
      <c r="P904" s="122"/>
      <c r="Q904" s="122"/>
      <c r="R904" s="122"/>
      <c r="S904" s="122"/>
      <c r="T904" s="122"/>
      <c r="U904" s="122"/>
      <c r="V904" s="122"/>
      <c r="W904" s="122"/>
      <c r="X904" s="122"/>
      <c r="Y904" s="122"/>
      <c r="Z904" s="122"/>
      <c r="AA904" s="122"/>
      <c r="AB904" s="122"/>
    </row>
    <row r="905" spans="1:28" ht="15.75" customHeight="1" x14ac:dyDescent="0.2">
      <c r="A905" s="122"/>
      <c r="B905" s="122"/>
      <c r="C905" s="122"/>
      <c r="D905" s="122"/>
      <c r="E905" s="122"/>
      <c r="F905" s="122"/>
      <c r="G905" s="122"/>
      <c r="H905" s="122"/>
      <c r="I905" s="122"/>
      <c r="J905" s="122"/>
      <c r="K905" s="122"/>
      <c r="L905" s="122"/>
      <c r="M905" s="122"/>
      <c r="N905" s="122"/>
      <c r="O905" s="122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  <c r="AA905" s="122"/>
      <c r="AB905" s="122"/>
    </row>
    <row r="906" spans="1:28" ht="15.75" customHeight="1" x14ac:dyDescent="0.2">
      <c r="A906" s="122"/>
      <c r="B906" s="122"/>
      <c r="C906" s="122"/>
      <c r="D906" s="122"/>
      <c r="E906" s="122"/>
      <c r="F906" s="122"/>
      <c r="G906" s="122"/>
      <c r="H906" s="122"/>
      <c r="I906" s="122"/>
      <c r="J906" s="122"/>
      <c r="K906" s="122"/>
      <c r="L906" s="122"/>
      <c r="M906" s="122"/>
      <c r="N906" s="122"/>
      <c r="O906" s="122"/>
      <c r="P906" s="122"/>
      <c r="Q906" s="122"/>
      <c r="R906" s="122"/>
      <c r="S906" s="122"/>
      <c r="T906" s="122"/>
      <c r="U906" s="122"/>
      <c r="V906" s="122"/>
      <c r="W906" s="122"/>
      <c r="X906" s="122"/>
      <c r="Y906" s="122"/>
      <c r="Z906" s="122"/>
      <c r="AA906" s="122"/>
      <c r="AB906" s="122"/>
    </row>
    <row r="907" spans="1:28" ht="15.75" customHeight="1" x14ac:dyDescent="0.2">
      <c r="A907" s="122"/>
      <c r="B907" s="122"/>
      <c r="C907" s="122"/>
      <c r="D907" s="122"/>
      <c r="E907" s="122"/>
      <c r="F907" s="122"/>
      <c r="G907" s="122"/>
      <c r="H907" s="122"/>
      <c r="I907" s="122"/>
      <c r="J907" s="122"/>
      <c r="K907" s="122"/>
      <c r="L907" s="122"/>
      <c r="M907" s="122"/>
      <c r="N907" s="122"/>
      <c r="O907" s="122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  <c r="AA907" s="122"/>
      <c r="AB907" s="122"/>
    </row>
    <row r="908" spans="1:28" ht="15.75" customHeight="1" x14ac:dyDescent="0.2">
      <c r="A908" s="122"/>
      <c r="B908" s="122"/>
      <c r="C908" s="122"/>
      <c r="D908" s="122"/>
      <c r="E908" s="122"/>
      <c r="F908" s="122"/>
      <c r="G908" s="122"/>
      <c r="H908" s="122"/>
      <c r="I908" s="122"/>
      <c r="J908" s="122"/>
      <c r="K908" s="122"/>
      <c r="L908" s="122"/>
      <c r="M908" s="122"/>
      <c r="N908" s="122"/>
      <c r="O908" s="122"/>
      <c r="P908" s="122"/>
      <c r="Q908" s="122"/>
      <c r="R908" s="122"/>
      <c r="S908" s="122"/>
      <c r="T908" s="122"/>
      <c r="U908" s="122"/>
      <c r="V908" s="122"/>
      <c r="W908" s="122"/>
      <c r="X908" s="122"/>
      <c r="Y908" s="122"/>
      <c r="Z908" s="122"/>
      <c r="AA908" s="122"/>
      <c r="AB908" s="122"/>
    </row>
    <row r="909" spans="1:28" ht="15.75" customHeight="1" x14ac:dyDescent="0.2">
      <c r="A909" s="122"/>
      <c r="B909" s="122"/>
      <c r="C909" s="122"/>
      <c r="D909" s="122"/>
      <c r="E909" s="122"/>
      <c r="F909" s="122"/>
      <c r="G909" s="122"/>
      <c r="H909" s="122"/>
      <c r="I909" s="122"/>
      <c r="J909" s="122"/>
      <c r="K909" s="122"/>
      <c r="L909" s="122"/>
      <c r="M909" s="122"/>
      <c r="N909" s="122"/>
      <c r="O909" s="122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  <c r="Z909" s="122"/>
      <c r="AA909" s="122"/>
      <c r="AB909" s="122"/>
    </row>
    <row r="910" spans="1:28" ht="15.75" customHeight="1" x14ac:dyDescent="0.2">
      <c r="A910" s="122"/>
      <c r="B910" s="122"/>
      <c r="C910" s="122"/>
      <c r="D910" s="122"/>
      <c r="E910" s="122"/>
      <c r="F910" s="122"/>
      <c r="G910" s="122"/>
      <c r="H910" s="122"/>
      <c r="I910" s="122"/>
      <c r="J910" s="122"/>
      <c r="K910" s="122"/>
      <c r="L910" s="122"/>
      <c r="M910" s="122"/>
      <c r="N910" s="122"/>
      <c r="O910" s="122"/>
      <c r="P910" s="122"/>
      <c r="Q910" s="122"/>
      <c r="R910" s="122"/>
      <c r="S910" s="122"/>
      <c r="T910" s="122"/>
      <c r="U910" s="122"/>
      <c r="V910" s="122"/>
      <c r="W910" s="122"/>
      <c r="X910" s="122"/>
      <c r="Y910" s="122"/>
      <c r="Z910" s="122"/>
      <c r="AA910" s="122"/>
      <c r="AB910" s="122"/>
    </row>
    <row r="911" spans="1:28" ht="15.75" customHeight="1" x14ac:dyDescent="0.2">
      <c r="A911" s="122"/>
      <c r="B911" s="122"/>
      <c r="C911" s="122"/>
      <c r="D911" s="122"/>
      <c r="E911" s="122"/>
      <c r="F911" s="122"/>
      <c r="G911" s="122"/>
      <c r="H911" s="122"/>
      <c r="I911" s="122"/>
      <c r="J911" s="122"/>
      <c r="K911" s="122"/>
      <c r="L911" s="122"/>
      <c r="M911" s="122"/>
      <c r="N911" s="122"/>
      <c r="O911" s="122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  <c r="Z911" s="122"/>
      <c r="AA911" s="122"/>
      <c r="AB911" s="122"/>
    </row>
    <row r="912" spans="1:28" ht="15.75" customHeight="1" x14ac:dyDescent="0.2">
      <c r="A912" s="122"/>
      <c r="B912" s="122"/>
      <c r="C912" s="122"/>
      <c r="D912" s="122"/>
      <c r="E912" s="122"/>
      <c r="F912" s="122"/>
      <c r="G912" s="122"/>
      <c r="H912" s="122"/>
      <c r="I912" s="122"/>
      <c r="J912" s="122"/>
      <c r="K912" s="122"/>
      <c r="L912" s="122"/>
      <c r="M912" s="122"/>
      <c r="N912" s="122"/>
      <c r="O912" s="122"/>
      <c r="P912" s="122"/>
      <c r="Q912" s="122"/>
      <c r="R912" s="122"/>
      <c r="S912" s="122"/>
      <c r="T912" s="122"/>
      <c r="U912" s="122"/>
      <c r="V912" s="122"/>
      <c r="W912" s="122"/>
      <c r="X912" s="122"/>
      <c r="Y912" s="122"/>
      <c r="Z912" s="122"/>
      <c r="AA912" s="122"/>
      <c r="AB912" s="122"/>
    </row>
    <row r="913" spans="1:28" ht="15.75" customHeight="1" x14ac:dyDescent="0.2">
      <c r="A913" s="122"/>
      <c r="B913" s="122"/>
      <c r="C913" s="122"/>
      <c r="D913" s="122"/>
      <c r="E913" s="122"/>
      <c r="F913" s="122"/>
      <c r="G913" s="122"/>
      <c r="H913" s="122"/>
      <c r="I913" s="122"/>
      <c r="J913" s="122"/>
      <c r="K913" s="122"/>
      <c r="L913" s="122"/>
      <c r="M913" s="122"/>
      <c r="N913" s="122"/>
      <c r="O913" s="122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  <c r="Z913" s="122"/>
      <c r="AA913" s="122"/>
      <c r="AB913" s="122"/>
    </row>
    <row r="914" spans="1:28" ht="15.75" customHeight="1" x14ac:dyDescent="0.2">
      <c r="A914" s="122"/>
      <c r="B914" s="122"/>
      <c r="C914" s="122"/>
      <c r="D914" s="122"/>
      <c r="E914" s="122"/>
      <c r="F914" s="122"/>
      <c r="G914" s="122"/>
      <c r="H914" s="122"/>
      <c r="I914" s="122"/>
      <c r="J914" s="122"/>
      <c r="K914" s="122"/>
      <c r="L914" s="122"/>
      <c r="M914" s="122"/>
      <c r="N914" s="122"/>
      <c r="O914" s="122"/>
      <c r="P914" s="122"/>
      <c r="Q914" s="122"/>
      <c r="R914" s="122"/>
      <c r="S914" s="122"/>
      <c r="T914" s="122"/>
      <c r="U914" s="122"/>
      <c r="V914" s="122"/>
      <c r="W914" s="122"/>
      <c r="X914" s="122"/>
      <c r="Y914" s="122"/>
      <c r="Z914" s="122"/>
      <c r="AA914" s="122"/>
      <c r="AB914" s="122"/>
    </row>
    <row r="915" spans="1:28" ht="15.75" customHeight="1" x14ac:dyDescent="0.2">
      <c r="A915" s="122"/>
      <c r="B915" s="122"/>
      <c r="C915" s="122"/>
      <c r="D915" s="122"/>
      <c r="E915" s="122"/>
      <c r="F915" s="122"/>
      <c r="G915" s="122"/>
      <c r="H915" s="122"/>
      <c r="I915" s="122"/>
      <c r="J915" s="122"/>
      <c r="K915" s="122"/>
      <c r="L915" s="122"/>
      <c r="M915" s="122"/>
      <c r="N915" s="122"/>
      <c r="O915" s="122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  <c r="Z915" s="122"/>
      <c r="AA915" s="122"/>
      <c r="AB915" s="122"/>
    </row>
    <row r="916" spans="1:28" ht="15.75" customHeight="1" x14ac:dyDescent="0.2">
      <c r="A916" s="122"/>
      <c r="B916" s="122"/>
      <c r="C916" s="122"/>
      <c r="D916" s="122"/>
      <c r="E916" s="122"/>
      <c r="F916" s="122"/>
      <c r="G916" s="122"/>
      <c r="H916" s="122"/>
      <c r="I916" s="122"/>
      <c r="J916" s="122"/>
      <c r="K916" s="122"/>
      <c r="L916" s="122"/>
      <c r="M916" s="122"/>
      <c r="N916" s="122"/>
      <c r="O916" s="122"/>
      <c r="P916" s="122"/>
      <c r="Q916" s="122"/>
      <c r="R916" s="122"/>
      <c r="S916" s="122"/>
      <c r="T916" s="122"/>
      <c r="U916" s="122"/>
      <c r="V916" s="122"/>
      <c r="W916" s="122"/>
      <c r="X916" s="122"/>
      <c r="Y916" s="122"/>
      <c r="Z916" s="122"/>
      <c r="AA916" s="122"/>
      <c r="AB916" s="122"/>
    </row>
    <row r="917" spans="1:28" ht="15.75" customHeight="1" x14ac:dyDescent="0.2">
      <c r="A917" s="122"/>
      <c r="B917" s="122"/>
      <c r="C917" s="122"/>
      <c r="D917" s="122"/>
      <c r="E917" s="122"/>
      <c r="F917" s="122"/>
      <c r="G917" s="122"/>
      <c r="H917" s="122"/>
      <c r="I917" s="122"/>
      <c r="J917" s="122"/>
      <c r="K917" s="122"/>
      <c r="L917" s="122"/>
      <c r="M917" s="122"/>
      <c r="N917" s="122"/>
      <c r="O917" s="122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  <c r="Z917" s="122"/>
      <c r="AA917" s="122"/>
      <c r="AB917" s="122"/>
    </row>
    <row r="918" spans="1:28" ht="15.75" customHeight="1" x14ac:dyDescent="0.2">
      <c r="A918" s="122"/>
      <c r="B918" s="122"/>
      <c r="C918" s="122"/>
      <c r="D918" s="122"/>
      <c r="E918" s="122"/>
      <c r="F918" s="122"/>
      <c r="G918" s="122"/>
      <c r="H918" s="122"/>
      <c r="I918" s="122"/>
      <c r="J918" s="122"/>
      <c r="K918" s="122"/>
      <c r="L918" s="122"/>
      <c r="M918" s="122"/>
      <c r="N918" s="122"/>
      <c r="O918" s="122"/>
      <c r="P918" s="122"/>
      <c r="Q918" s="122"/>
      <c r="R918" s="122"/>
      <c r="S918" s="122"/>
      <c r="T918" s="122"/>
      <c r="U918" s="122"/>
      <c r="V918" s="122"/>
      <c r="W918" s="122"/>
      <c r="X918" s="122"/>
      <c r="Y918" s="122"/>
      <c r="Z918" s="122"/>
      <c r="AA918" s="122"/>
      <c r="AB918" s="122"/>
    </row>
    <row r="919" spans="1:28" ht="15.75" customHeight="1" x14ac:dyDescent="0.2">
      <c r="A919" s="122"/>
      <c r="B919" s="122"/>
      <c r="C919" s="122"/>
      <c r="D919" s="122"/>
      <c r="E919" s="122"/>
      <c r="F919" s="122"/>
      <c r="G919" s="122"/>
      <c r="H919" s="122"/>
      <c r="I919" s="122"/>
      <c r="J919" s="122"/>
      <c r="K919" s="122"/>
      <c r="L919" s="122"/>
      <c r="M919" s="122"/>
      <c r="N919" s="122"/>
      <c r="O919" s="122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  <c r="Z919" s="122"/>
      <c r="AA919" s="122"/>
      <c r="AB919" s="122"/>
    </row>
    <row r="920" spans="1:28" ht="15.75" customHeight="1" x14ac:dyDescent="0.2">
      <c r="A920" s="122"/>
      <c r="B920" s="122"/>
      <c r="C920" s="122"/>
      <c r="D920" s="122"/>
      <c r="E920" s="122"/>
      <c r="F920" s="122"/>
      <c r="G920" s="122"/>
      <c r="H920" s="122"/>
      <c r="I920" s="122"/>
      <c r="J920" s="122"/>
      <c r="K920" s="122"/>
      <c r="L920" s="122"/>
      <c r="M920" s="122"/>
      <c r="N920" s="122"/>
      <c r="O920" s="122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  <c r="Z920" s="122"/>
      <c r="AA920" s="122"/>
      <c r="AB920" s="122"/>
    </row>
    <row r="921" spans="1:28" ht="15.75" customHeight="1" x14ac:dyDescent="0.2">
      <c r="A921" s="122"/>
      <c r="B921" s="122"/>
      <c r="C921" s="122"/>
      <c r="D921" s="122"/>
      <c r="E921" s="122"/>
      <c r="F921" s="122"/>
      <c r="G921" s="122"/>
      <c r="H921" s="122"/>
      <c r="I921" s="122"/>
      <c r="J921" s="122"/>
      <c r="K921" s="122"/>
      <c r="L921" s="122"/>
      <c r="M921" s="122"/>
      <c r="N921" s="122"/>
      <c r="O921" s="122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  <c r="AA921" s="122"/>
      <c r="AB921" s="122"/>
    </row>
    <row r="922" spans="1:28" ht="15.75" customHeight="1" x14ac:dyDescent="0.2">
      <c r="A922" s="122"/>
      <c r="B922" s="122"/>
      <c r="C922" s="122"/>
      <c r="D922" s="122"/>
      <c r="E922" s="122"/>
      <c r="F922" s="122"/>
      <c r="G922" s="122"/>
      <c r="H922" s="122"/>
      <c r="I922" s="122"/>
      <c r="J922" s="122"/>
      <c r="K922" s="122"/>
      <c r="L922" s="122"/>
      <c r="M922" s="122"/>
      <c r="N922" s="122"/>
      <c r="O922" s="122"/>
      <c r="P922" s="122"/>
      <c r="Q922" s="122"/>
      <c r="R922" s="122"/>
      <c r="S922" s="122"/>
      <c r="T922" s="122"/>
      <c r="U922" s="122"/>
      <c r="V922" s="122"/>
      <c r="W922" s="122"/>
      <c r="X922" s="122"/>
      <c r="Y922" s="122"/>
      <c r="Z922" s="122"/>
      <c r="AA922" s="122"/>
      <c r="AB922" s="122"/>
    </row>
    <row r="923" spans="1:28" ht="15.75" customHeight="1" x14ac:dyDescent="0.2">
      <c r="A923" s="122"/>
      <c r="B923" s="122"/>
      <c r="C923" s="122"/>
      <c r="D923" s="122"/>
      <c r="E923" s="122"/>
      <c r="F923" s="122"/>
      <c r="G923" s="122"/>
      <c r="H923" s="122"/>
      <c r="I923" s="122"/>
      <c r="J923" s="122"/>
      <c r="K923" s="122"/>
      <c r="L923" s="122"/>
      <c r="M923" s="122"/>
      <c r="N923" s="122"/>
      <c r="O923" s="122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  <c r="Z923" s="122"/>
      <c r="AA923" s="122"/>
      <c r="AB923" s="122"/>
    </row>
    <row r="924" spans="1:28" ht="15.75" customHeight="1" x14ac:dyDescent="0.2">
      <c r="A924" s="122"/>
      <c r="B924" s="122"/>
      <c r="C924" s="122"/>
      <c r="D924" s="122"/>
      <c r="E924" s="122"/>
      <c r="F924" s="122"/>
      <c r="G924" s="122"/>
      <c r="H924" s="122"/>
      <c r="I924" s="122"/>
      <c r="J924" s="122"/>
      <c r="K924" s="122"/>
      <c r="L924" s="122"/>
      <c r="M924" s="122"/>
      <c r="N924" s="122"/>
      <c r="O924" s="122"/>
      <c r="P924" s="122"/>
      <c r="Q924" s="122"/>
      <c r="R924" s="122"/>
      <c r="S924" s="122"/>
      <c r="T924" s="122"/>
      <c r="U924" s="122"/>
      <c r="V924" s="122"/>
      <c r="W924" s="122"/>
      <c r="X924" s="122"/>
      <c r="Y924" s="122"/>
      <c r="Z924" s="122"/>
      <c r="AA924" s="122"/>
      <c r="AB924" s="122"/>
    </row>
    <row r="925" spans="1:28" ht="15.75" customHeight="1" x14ac:dyDescent="0.2">
      <c r="A925" s="122"/>
      <c r="B925" s="122"/>
      <c r="C925" s="122"/>
      <c r="D925" s="122"/>
      <c r="E925" s="122"/>
      <c r="F925" s="122"/>
      <c r="G925" s="122"/>
      <c r="H925" s="122"/>
      <c r="I925" s="122"/>
      <c r="J925" s="122"/>
      <c r="K925" s="122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  <c r="AA925" s="122"/>
      <c r="AB925" s="122"/>
    </row>
    <row r="926" spans="1:28" ht="15.75" customHeight="1" x14ac:dyDescent="0.2">
      <c r="A926" s="122"/>
      <c r="B926" s="122"/>
      <c r="C926" s="122"/>
      <c r="D926" s="122"/>
      <c r="E926" s="122"/>
      <c r="F926" s="122"/>
      <c r="G926" s="122"/>
      <c r="H926" s="122"/>
      <c r="I926" s="122"/>
      <c r="J926" s="122"/>
      <c r="K926" s="122"/>
      <c r="L926" s="122"/>
      <c r="M926" s="122"/>
      <c r="N926" s="122"/>
      <c r="O926" s="122"/>
      <c r="P926" s="122"/>
      <c r="Q926" s="122"/>
      <c r="R926" s="122"/>
      <c r="S926" s="122"/>
      <c r="T926" s="122"/>
      <c r="U926" s="122"/>
      <c r="V926" s="122"/>
      <c r="W926" s="122"/>
      <c r="X926" s="122"/>
      <c r="Y926" s="122"/>
      <c r="Z926" s="122"/>
      <c r="AA926" s="122"/>
      <c r="AB926" s="122"/>
    </row>
    <row r="927" spans="1:28" ht="15.75" customHeight="1" x14ac:dyDescent="0.2">
      <c r="A927" s="122"/>
      <c r="B927" s="122"/>
      <c r="C927" s="122"/>
      <c r="D927" s="122"/>
      <c r="E927" s="122"/>
      <c r="F927" s="122"/>
      <c r="G927" s="122"/>
      <c r="H927" s="122"/>
      <c r="I927" s="122"/>
      <c r="J927" s="122"/>
      <c r="K927" s="122"/>
      <c r="L927" s="122"/>
      <c r="M927" s="122"/>
      <c r="N927" s="122"/>
      <c r="O927" s="122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  <c r="AA927" s="122"/>
      <c r="AB927" s="122"/>
    </row>
    <row r="928" spans="1:28" ht="15.75" customHeight="1" x14ac:dyDescent="0.2">
      <c r="A928" s="122"/>
      <c r="B928" s="122"/>
      <c r="C928" s="122"/>
      <c r="D928" s="122"/>
      <c r="E928" s="122"/>
      <c r="F928" s="122"/>
      <c r="G928" s="122"/>
      <c r="H928" s="122"/>
      <c r="I928" s="122"/>
      <c r="J928" s="122"/>
      <c r="K928" s="122"/>
      <c r="L928" s="122"/>
      <c r="M928" s="122"/>
      <c r="N928" s="122"/>
      <c r="O928" s="122"/>
      <c r="P928" s="122"/>
      <c r="Q928" s="122"/>
      <c r="R928" s="122"/>
      <c r="S928" s="122"/>
      <c r="T928" s="122"/>
      <c r="U928" s="122"/>
      <c r="V928" s="122"/>
      <c r="W928" s="122"/>
      <c r="X928" s="122"/>
      <c r="Y928" s="122"/>
      <c r="Z928" s="122"/>
      <c r="AA928" s="122"/>
      <c r="AB928" s="122"/>
    </row>
    <row r="929" spans="1:28" ht="15.75" customHeight="1" x14ac:dyDescent="0.2">
      <c r="A929" s="122"/>
      <c r="B929" s="122"/>
      <c r="C929" s="122"/>
      <c r="D929" s="122"/>
      <c r="E929" s="122"/>
      <c r="F929" s="122"/>
      <c r="G929" s="122"/>
      <c r="H929" s="122"/>
      <c r="I929" s="122"/>
      <c r="J929" s="122"/>
      <c r="K929" s="122"/>
      <c r="L929" s="122"/>
      <c r="M929" s="122"/>
      <c r="N929" s="122"/>
      <c r="O929" s="122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  <c r="AA929" s="122"/>
      <c r="AB929" s="122"/>
    </row>
    <row r="930" spans="1:28" ht="15.75" customHeight="1" x14ac:dyDescent="0.2">
      <c r="A930" s="122"/>
      <c r="B930" s="122"/>
      <c r="C930" s="122"/>
      <c r="D930" s="122"/>
      <c r="E930" s="122"/>
      <c r="F930" s="122"/>
      <c r="G930" s="122"/>
      <c r="H930" s="122"/>
      <c r="I930" s="122"/>
      <c r="J930" s="122"/>
      <c r="K930" s="122"/>
      <c r="L930" s="122"/>
      <c r="M930" s="122"/>
      <c r="N930" s="122"/>
      <c r="O930" s="122"/>
      <c r="P930" s="122"/>
      <c r="Q930" s="122"/>
      <c r="R930" s="122"/>
      <c r="S930" s="122"/>
      <c r="T930" s="122"/>
      <c r="U930" s="122"/>
      <c r="V930" s="122"/>
      <c r="W930" s="122"/>
      <c r="X930" s="122"/>
      <c r="Y930" s="122"/>
      <c r="Z930" s="122"/>
      <c r="AA930" s="122"/>
      <c r="AB930" s="122"/>
    </row>
    <row r="931" spans="1:28" ht="15.75" customHeight="1" x14ac:dyDescent="0.2">
      <c r="A931" s="122"/>
      <c r="B931" s="122"/>
      <c r="C931" s="122"/>
      <c r="D931" s="122"/>
      <c r="E931" s="122"/>
      <c r="F931" s="122"/>
      <c r="G931" s="122"/>
      <c r="H931" s="122"/>
      <c r="I931" s="122"/>
      <c r="J931" s="122"/>
      <c r="K931" s="122"/>
      <c r="L931" s="122"/>
      <c r="M931" s="122"/>
      <c r="N931" s="122"/>
      <c r="O931" s="122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  <c r="AA931" s="122"/>
      <c r="AB931" s="122"/>
    </row>
    <row r="932" spans="1:28" ht="15.75" customHeight="1" x14ac:dyDescent="0.2">
      <c r="A932" s="122"/>
      <c r="B932" s="122"/>
      <c r="C932" s="122"/>
      <c r="D932" s="122"/>
      <c r="E932" s="122"/>
      <c r="F932" s="122"/>
      <c r="G932" s="122"/>
      <c r="H932" s="122"/>
      <c r="I932" s="122"/>
      <c r="J932" s="122"/>
      <c r="K932" s="122"/>
      <c r="L932" s="122"/>
      <c r="M932" s="122"/>
      <c r="N932" s="122"/>
      <c r="O932" s="122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  <c r="Z932" s="122"/>
      <c r="AA932" s="122"/>
      <c r="AB932" s="122"/>
    </row>
    <row r="933" spans="1:28" ht="15.75" customHeight="1" x14ac:dyDescent="0.2">
      <c r="A933" s="122"/>
      <c r="B933" s="122"/>
      <c r="C933" s="122"/>
      <c r="D933" s="122"/>
      <c r="E933" s="122"/>
      <c r="F933" s="122"/>
      <c r="G933" s="122"/>
      <c r="H933" s="122"/>
      <c r="I933" s="122"/>
      <c r="J933" s="122"/>
      <c r="K933" s="122"/>
      <c r="L933" s="122"/>
      <c r="M933" s="122"/>
      <c r="N933" s="122"/>
      <c r="O933" s="122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  <c r="AA933" s="122"/>
      <c r="AB933" s="122"/>
    </row>
    <row r="934" spans="1:28" ht="15.75" customHeight="1" x14ac:dyDescent="0.2">
      <c r="A934" s="122"/>
      <c r="B934" s="122"/>
      <c r="C934" s="122"/>
      <c r="D934" s="122"/>
      <c r="E934" s="122"/>
      <c r="F934" s="122"/>
      <c r="G934" s="122"/>
      <c r="H934" s="122"/>
      <c r="I934" s="122"/>
      <c r="J934" s="122"/>
      <c r="K934" s="122"/>
      <c r="L934" s="122"/>
      <c r="M934" s="122"/>
      <c r="N934" s="122"/>
      <c r="O934" s="122"/>
      <c r="P934" s="122"/>
      <c r="Q934" s="122"/>
      <c r="R934" s="122"/>
      <c r="S934" s="122"/>
      <c r="T934" s="122"/>
      <c r="U934" s="122"/>
      <c r="V934" s="122"/>
      <c r="W934" s="122"/>
      <c r="X934" s="122"/>
      <c r="Y934" s="122"/>
      <c r="Z934" s="122"/>
      <c r="AA934" s="122"/>
      <c r="AB934" s="122"/>
    </row>
    <row r="935" spans="1:28" ht="15.75" customHeight="1" x14ac:dyDescent="0.2">
      <c r="A935" s="122"/>
      <c r="B935" s="122"/>
      <c r="C935" s="122"/>
      <c r="D935" s="122"/>
      <c r="E935" s="122"/>
      <c r="F935" s="122"/>
      <c r="G935" s="122"/>
      <c r="H935" s="122"/>
      <c r="I935" s="122"/>
      <c r="J935" s="122"/>
      <c r="K935" s="122"/>
      <c r="L935" s="122"/>
      <c r="M935" s="122"/>
      <c r="N935" s="122"/>
      <c r="O935" s="122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  <c r="AA935" s="122"/>
      <c r="AB935" s="122"/>
    </row>
    <row r="936" spans="1:28" ht="15.75" customHeight="1" x14ac:dyDescent="0.2">
      <c r="A936" s="122"/>
      <c r="B936" s="122"/>
      <c r="C936" s="122"/>
      <c r="D936" s="122"/>
      <c r="E936" s="122"/>
      <c r="F936" s="122"/>
      <c r="G936" s="122"/>
      <c r="H936" s="122"/>
      <c r="I936" s="122"/>
      <c r="J936" s="122"/>
      <c r="K936" s="122"/>
      <c r="L936" s="122"/>
      <c r="M936" s="122"/>
      <c r="N936" s="122"/>
      <c r="O936" s="122"/>
      <c r="P936" s="122"/>
      <c r="Q936" s="122"/>
      <c r="R936" s="122"/>
      <c r="S936" s="122"/>
      <c r="T936" s="122"/>
      <c r="U936" s="122"/>
      <c r="V936" s="122"/>
      <c r="W936" s="122"/>
      <c r="X936" s="122"/>
      <c r="Y936" s="122"/>
      <c r="Z936" s="122"/>
      <c r="AA936" s="122"/>
      <c r="AB936" s="122"/>
    </row>
    <row r="937" spans="1:28" ht="15.75" customHeight="1" x14ac:dyDescent="0.2">
      <c r="A937" s="122"/>
      <c r="B937" s="122"/>
      <c r="C937" s="122"/>
      <c r="D937" s="122"/>
      <c r="E937" s="122"/>
      <c r="F937" s="122"/>
      <c r="G937" s="122"/>
      <c r="H937" s="122"/>
      <c r="I937" s="122"/>
      <c r="J937" s="122"/>
      <c r="K937" s="122"/>
      <c r="L937" s="122"/>
      <c r="M937" s="122"/>
      <c r="N937" s="122"/>
      <c r="O937" s="122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  <c r="AA937" s="122"/>
      <c r="AB937" s="122"/>
    </row>
    <row r="938" spans="1:28" ht="15.75" customHeight="1" x14ac:dyDescent="0.2">
      <c r="A938" s="122"/>
      <c r="B938" s="122"/>
      <c r="C938" s="122"/>
      <c r="D938" s="122"/>
      <c r="E938" s="122"/>
      <c r="F938" s="122"/>
      <c r="G938" s="122"/>
      <c r="H938" s="122"/>
      <c r="I938" s="122"/>
      <c r="J938" s="122"/>
      <c r="K938" s="122"/>
      <c r="L938" s="122"/>
      <c r="M938" s="122"/>
      <c r="N938" s="122"/>
      <c r="O938" s="122"/>
      <c r="P938" s="122"/>
      <c r="Q938" s="122"/>
      <c r="R938" s="122"/>
      <c r="S938" s="122"/>
      <c r="T938" s="122"/>
      <c r="U938" s="122"/>
      <c r="V938" s="122"/>
      <c r="W938" s="122"/>
      <c r="X938" s="122"/>
      <c r="Y938" s="122"/>
      <c r="Z938" s="122"/>
      <c r="AA938" s="122"/>
      <c r="AB938" s="122"/>
    </row>
    <row r="939" spans="1:28" ht="15.75" customHeight="1" x14ac:dyDescent="0.2">
      <c r="A939" s="122"/>
      <c r="B939" s="122"/>
      <c r="C939" s="122"/>
      <c r="D939" s="122"/>
      <c r="E939" s="122"/>
      <c r="F939" s="122"/>
      <c r="G939" s="122"/>
      <c r="H939" s="122"/>
      <c r="I939" s="122"/>
      <c r="J939" s="122"/>
      <c r="K939" s="122"/>
      <c r="L939" s="122"/>
      <c r="M939" s="122"/>
      <c r="N939" s="122"/>
      <c r="O939" s="122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  <c r="AA939" s="122"/>
      <c r="AB939" s="122"/>
    </row>
    <row r="940" spans="1:28" ht="15.75" customHeight="1" x14ac:dyDescent="0.2">
      <c r="A940" s="122"/>
      <c r="B940" s="122"/>
      <c r="C940" s="122"/>
      <c r="D940" s="122"/>
      <c r="E940" s="122"/>
      <c r="F940" s="122"/>
      <c r="G940" s="122"/>
      <c r="H940" s="122"/>
      <c r="I940" s="122"/>
      <c r="J940" s="122"/>
      <c r="K940" s="122"/>
      <c r="L940" s="122"/>
      <c r="M940" s="122"/>
      <c r="N940" s="122"/>
      <c r="O940" s="122"/>
      <c r="P940" s="122"/>
      <c r="Q940" s="122"/>
      <c r="R940" s="122"/>
      <c r="S940" s="122"/>
      <c r="T940" s="122"/>
      <c r="U940" s="122"/>
      <c r="V940" s="122"/>
      <c r="W940" s="122"/>
      <c r="X940" s="122"/>
      <c r="Y940" s="122"/>
      <c r="Z940" s="122"/>
      <c r="AA940" s="122"/>
      <c r="AB940" s="122"/>
    </row>
    <row r="941" spans="1:28" ht="15.75" customHeight="1" x14ac:dyDescent="0.2">
      <c r="A941" s="122"/>
      <c r="B941" s="122"/>
      <c r="C941" s="122"/>
      <c r="D941" s="122"/>
      <c r="E941" s="122"/>
      <c r="F941" s="122"/>
      <c r="G941" s="122"/>
      <c r="H941" s="122"/>
      <c r="I941" s="122"/>
      <c r="J941" s="122"/>
      <c r="K941" s="122"/>
      <c r="L941" s="122"/>
      <c r="M941" s="122"/>
      <c r="N941" s="122"/>
      <c r="O941" s="122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  <c r="AA941" s="122"/>
      <c r="AB941" s="122"/>
    </row>
    <row r="942" spans="1:28" ht="15.75" customHeight="1" x14ac:dyDescent="0.2">
      <c r="A942" s="122"/>
      <c r="B942" s="122"/>
      <c r="C942" s="122"/>
      <c r="D942" s="122"/>
      <c r="E942" s="122"/>
      <c r="F942" s="122"/>
      <c r="G942" s="122"/>
      <c r="H942" s="122"/>
      <c r="I942" s="122"/>
      <c r="J942" s="122"/>
      <c r="K942" s="122"/>
      <c r="L942" s="122"/>
      <c r="M942" s="122"/>
      <c r="N942" s="122"/>
      <c r="O942" s="122"/>
      <c r="P942" s="122"/>
      <c r="Q942" s="122"/>
      <c r="R942" s="122"/>
      <c r="S942" s="122"/>
      <c r="T942" s="122"/>
      <c r="U942" s="122"/>
      <c r="V942" s="122"/>
      <c r="W942" s="122"/>
      <c r="X942" s="122"/>
      <c r="Y942" s="122"/>
      <c r="Z942" s="122"/>
      <c r="AA942" s="122"/>
      <c r="AB942" s="122"/>
    </row>
    <row r="943" spans="1:28" ht="15.75" customHeight="1" x14ac:dyDescent="0.2">
      <c r="A943" s="122"/>
      <c r="B943" s="122"/>
      <c r="C943" s="122"/>
      <c r="D943" s="122"/>
      <c r="E943" s="122"/>
      <c r="F943" s="122"/>
      <c r="G943" s="122"/>
      <c r="H943" s="122"/>
      <c r="I943" s="122"/>
      <c r="J943" s="122"/>
      <c r="K943" s="122"/>
      <c r="L943" s="122"/>
      <c r="M943" s="122"/>
      <c r="N943" s="122"/>
      <c r="O943" s="122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  <c r="AA943" s="122"/>
      <c r="AB943" s="122"/>
    </row>
    <row r="944" spans="1:28" ht="15.75" customHeight="1" x14ac:dyDescent="0.2">
      <c r="A944" s="122"/>
      <c r="B944" s="122"/>
      <c r="C944" s="122"/>
      <c r="D944" s="122"/>
      <c r="E944" s="122"/>
      <c r="F944" s="122"/>
      <c r="G944" s="122"/>
      <c r="H944" s="122"/>
      <c r="I944" s="122"/>
      <c r="J944" s="122"/>
      <c r="K944" s="122"/>
      <c r="L944" s="122"/>
      <c r="M944" s="122"/>
      <c r="N944" s="122"/>
      <c r="O944" s="122"/>
      <c r="P944" s="122"/>
      <c r="Q944" s="122"/>
      <c r="R944" s="122"/>
      <c r="S944" s="122"/>
      <c r="T944" s="122"/>
      <c r="U944" s="122"/>
      <c r="V944" s="122"/>
      <c r="W944" s="122"/>
      <c r="X944" s="122"/>
      <c r="Y944" s="122"/>
      <c r="Z944" s="122"/>
      <c r="AA944" s="122"/>
      <c r="AB944" s="122"/>
    </row>
    <row r="945" spans="1:28" ht="15.75" customHeight="1" x14ac:dyDescent="0.2">
      <c r="A945" s="122"/>
      <c r="B945" s="122"/>
      <c r="C945" s="122"/>
      <c r="D945" s="122"/>
      <c r="E945" s="122"/>
      <c r="F945" s="122"/>
      <c r="G945" s="122"/>
      <c r="H945" s="122"/>
      <c r="I945" s="122"/>
      <c r="J945" s="122"/>
      <c r="K945" s="122"/>
      <c r="L945" s="122"/>
      <c r="M945" s="122"/>
      <c r="N945" s="122"/>
      <c r="O945" s="122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  <c r="AA945" s="122"/>
      <c r="AB945" s="122"/>
    </row>
    <row r="946" spans="1:28" ht="15.75" customHeight="1" x14ac:dyDescent="0.2">
      <c r="A946" s="122"/>
      <c r="B946" s="122"/>
      <c r="C946" s="122"/>
      <c r="D946" s="122"/>
      <c r="E946" s="122"/>
      <c r="F946" s="122"/>
      <c r="G946" s="122"/>
      <c r="H946" s="122"/>
      <c r="I946" s="122"/>
      <c r="J946" s="122"/>
      <c r="K946" s="122"/>
      <c r="L946" s="122"/>
      <c r="M946" s="122"/>
      <c r="N946" s="122"/>
      <c r="O946" s="122"/>
      <c r="P946" s="122"/>
      <c r="Q946" s="122"/>
      <c r="R946" s="122"/>
      <c r="S946" s="122"/>
      <c r="T946" s="122"/>
      <c r="U946" s="122"/>
      <c r="V946" s="122"/>
      <c r="W946" s="122"/>
      <c r="X946" s="122"/>
      <c r="Y946" s="122"/>
      <c r="Z946" s="122"/>
      <c r="AA946" s="122"/>
      <c r="AB946" s="122"/>
    </row>
    <row r="947" spans="1:28" ht="15.75" customHeight="1" x14ac:dyDescent="0.2">
      <c r="A947" s="122"/>
      <c r="B947" s="122"/>
      <c r="C947" s="122"/>
      <c r="D947" s="122"/>
      <c r="E947" s="122"/>
      <c r="F947" s="122"/>
      <c r="G947" s="122"/>
      <c r="H947" s="122"/>
      <c r="I947" s="122"/>
      <c r="J947" s="122"/>
      <c r="K947" s="122"/>
      <c r="L947" s="122"/>
      <c r="M947" s="122"/>
      <c r="N947" s="122"/>
      <c r="O947" s="122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  <c r="Z947" s="122"/>
      <c r="AA947" s="122"/>
      <c r="AB947" s="122"/>
    </row>
    <row r="948" spans="1:28" ht="15.75" customHeight="1" x14ac:dyDescent="0.2">
      <c r="A948" s="122"/>
      <c r="B948" s="122"/>
      <c r="C948" s="122"/>
      <c r="D948" s="122"/>
      <c r="E948" s="122"/>
      <c r="F948" s="122"/>
      <c r="G948" s="122"/>
      <c r="H948" s="122"/>
      <c r="I948" s="122"/>
      <c r="J948" s="122"/>
      <c r="K948" s="122"/>
      <c r="L948" s="122"/>
      <c r="M948" s="122"/>
      <c r="N948" s="122"/>
      <c r="O948" s="122"/>
      <c r="P948" s="122"/>
      <c r="Q948" s="122"/>
      <c r="R948" s="122"/>
      <c r="S948" s="122"/>
      <c r="T948" s="122"/>
      <c r="U948" s="122"/>
      <c r="V948" s="122"/>
      <c r="W948" s="122"/>
      <c r="X948" s="122"/>
      <c r="Y948" s="122"/>
      <c r="Z948" s="122"/>
      <c r="AA948" s="122"/>
      <c r="AB948" s="122"/>
    </row>
    <row r="949" spans="1:28" ht="15.75" customHeight="1" x14ac:dyDescent="0.2">
      <c r="A949" s="122"/>
      <c r="B949" s="122"/>
      <c r="C949" s="122"/>
      <c r="D949" s="122"/>
      <c r="E949" s="122"/>
      <c r="F949" s="122"/>
      <c r="G949" s="122"/>
      <c r="H949" s="122"/>
      <c r="I949" s="122"/>
      <c r="J949" s="122"/>
      <c r="K949" s="122"/>
      <c r="L949" s="122"/>
      <c r="M949" s="122"/>
      <c r="N949" s="122"/>
      <c r="O949" s="122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  <c r="Z949" s="122"/>
      <c r="AA949" s="122"/>
      <c r="AB949" s="122"/>
    </row>
    <row r="950" spans="1:28" ht="15.75" customHeight="1" x14ac:dyDescent="0.2">
      <c r="A950" s="122"/>
      <c r="B950" s="122"/>
      <c r="C950" s="122"/>
      <c r="D950" s="122"/>
      <c r="E950" s="122"/>
      <c r="F950" s="122"/>
      <c r="G950" s="122"/>
      <c r="H950" s="122"/>
      <c r="I950" s="122"/>
      <c r="J950" s="122"/>
      <c r="K950" s="122"/>
      <c r="L950" s="122"/>
      <c r="M950" s="122"/>
      <c r="N950" s="122"/>
      <c r="O950" s="122"/>
      <c r="P950" s="122"/>
      <c r="Q950" s="122"/>
      <c r="R950" s="122"/>
      <c r="S950" s="122"/>
      <c r="T950" s="122"/>
      <c r="U950" s="122"/>
      <c r="V950" s="122"/>
      <c r="W950" s="122"/>
      <c r="X950" s="122"/>
      <c r="Y950" s="122"/>
      <c r="Z950" s="122"/>
      <c r="AA950" s="122"/>
      <c r="AB950" s="122"/>
    </row>
    <row r="951" spans="1:28" ht="15.75" customHeight="1" x14ac:dyDescent="0.2">
      <c r="A951" s="122"/>
      <c r="B951" s="122"/>
      <c r="C951" s="122"/>
      <c r="D951" s="122"/>
      <c r="E951" s="122"/>
      <c r="F951" s="122"/>
      <c r="G951" s="122"/>
      <c r="H951" s="122"/>
      <c r="I951" s="122"/>
      <c r="J951" s="122"/>
      <c r="K951" s="122"/>
      <c r="L951" s="122"/>
      <c r="M951" s="122"/>
      <c r="N951" s="122"/>
      <c r="O951" s="122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  <c r="AA951" s="122"/>
      <c r="AB951" s="122"/>
    </row>
    <row r="952" spans="1:28" ht="15.75" customHeight="1" x14ac:dyDescent="0.2">
      <c r="A952" s="122"/>
      <c r="B952" s="122"/>
      <c r="C952" s="122"/>
      <c r="D952" s="122"/>
      <c r="E952" s="122"/>
      <c r="F952" s="122"/>
      <c r="G952" s="122"/>
      <c r="H952" s="122"/>
      <c r="I952" s="122"/>
      <c r="J952" s="122"/>
      <c r="K952" s="122"/>
      <c r="L952" s="122"/>
      <c r="M952" s="122"/>
      <c r="N952" s="122"/>
      <c r="O952" s="122"/>
      <c r="P952" s="122"/>
      <c r="Q952" s="122"/>
      <c r="R952" s="122"/>
      <c r="S952" s="122"/>
      <c r="T952" s="122"/>
      <c r="U952" s="122"/>
      <c r="V952" s="122"/>
      <c r="W952" s="122"/>
      <c r="X952" s="122"/>
      <c r="Y952" s="122"/>
      <c r="Z952" s="122"/>
      <c r="AA952" s="122"/>
      <c r="AB952" s="122"/>
    </row>
    <row r="953" spans="1:28" ht="15.75" customHeight="1" x14ac:dyDescent="0.2">
      <c r="A953" s="122"/>
      <c r="B953" s="122"/>
      <c r="C953" s="122"/>
      <c r="D953" s="122"/>
      <c r="E953" s="122"/>
      <c r="F953" s="122"/>
      <c r="G953" s="122"/>
      <c r="H953" s="122"/>
      <c r="I953" s="122"/>
      <c r="J953" s="122"/>
      <c r="K953" s="122"/>
      <c r="L953" s="122"/>
      <c r="M953" s="122"/>
      <c r="N953" s="122"/>
      <c r="O953" s="122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  <c r="AA953" s="122"/>
      <c r="AB953" s="122"/>
    </row>
    <row r="954" spans="1:28" ht="15.75" customHeight="1" x14ac:dyDescent="0.2">
      <c r="A954" s="122"/>
      <c r="B954" s="122"/>
      <c r="C954" s="122"/>
      <c r="D954" s="122"/>
      <c r="E954" s="122"/>
      <c r="F954" s="122"/>
      <c r="G954" s="122"/>
      <c r="H954" s="122"/>
      <c r="I954" s="122"/>
      <c r="J954" s="122"/>
      <c r="K954" s="122"/>
      <c r="L954" s="122"/>
      <c r="M954" s="122"/>
      <c r="N954" s="122"/>
      <c r="O954" s="122"/>
      <c r="P954" s="122"/>
      <c r="Q954" s="122"/>
      <c r="R954" s="122"/>
      <c r="S954" s="122"/>
      <c r="T954" s="122"/>
      <c r="U954" s="122"/>
      <c r="V954" s="122"/>
      <c r="W954" s="122"/>
      <c r="X954" s="122"/>
      <c r="Y954" s="122"/>
      <c r="Z954" s="122"/>
      <c r="AA954" s="122"/>
      <c r="AB954" s="122"/>
    </row>
    <row r="955" spans="1:28" ht="15.75" customHeight="1" x14ac:dyDescent="0.2">
      <c r="A955" s="122"/>
      <c r="B955" s="122"/>
      <c r="C955" s="122"/>
      <c r="D955" s="122"/>
      <c r="E955" s="122"/>
      <c r="F955" s="122"/>
      <c r="G955" s="122"/>
      <c r="H955" s="122"/>
      <c r="I955" s="122"/>
      <c r="J955" s="122"/>
      <c r="K955" s="122"/>
      <c r="L955" s="122"/>
      <c r="M955" s="122"/>
      <c r="N955" s="122"/>
      <c r="O955" s="122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  <c r="AA955" s="122"/>
      <c r="AB955" s="122"/>
    </row>
    <row r="956" spans="1:28" ht="15.75" customHeight="1" x14ac:dyDescent="0.2">
      <c r="A956" s="122"/>
      <c r="B956" s="122"/>
      <c r="C956" s="122"/>
      <c r="D956" s="122"/>
      <c r="E956" s="122"/>
      <c r="F956" s="122"/>
      <c r="G956" s="122"/>
      <c r="H956" s="122"/>
      <c r="I956" s="122"/>
      <c r="J956" s="122"/>
      <c r="K956" s="122"/>
      <c r="L956" s="122"/>
      <c r="M956" s="122"/>
      <c r="N956" s="122"/>
      <c r="O956" s="122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  <c r="Z956" s="122"/>
      <c r="AA956" s="122"/>
      <c r="AB956" s="122"/>
    </row>
    <row r="957" spans="1:28" ht="15.75" customHeight="1" x14ac:dyDescent="0.2">
      <c r="A957" s="122"/>
      <c r="B957" s="122"/>
      <c r="C957" s="122"/>
      <c r="D957" s="122"/>
      <c r="E957" s="122"/>
      <c r="F957" s="122"/>
      <c r="G957" s="122"/>
      <c r="H957" s="122"/>
      <c r="I957" s="122"/>
      <c r="J957" s="122"/>
      <c r="K957" s="122"/>
      <c r="L957" s="122"/>
      <c r="M957" s="122"/>
      <c r="N957" s="122"/>
      <c r="O957" s="122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  <c r="AA957" s="122"/>
      <c r="AB957" s="122"/>
    </row>
    <row r="958" spans="1:28" ht="15.75" customHeight="1" x14ac:dyDescent="0.2">
      <c r="A958" s="122"/>
      <c r="B958" s="122"/>
      <c r="C958" s="122"/>
      <c r="D958" s="122"/>
      <c r="E958" s="122"/>
      <c r="F958" s="122"/>
      <c r="G958" s="122"/>
      <c r="H958" s="122"/>
      <c r="I958" s="122"/>
      <c r="J958" s="122"/>
      <c r="K958" s="122"/>
      <c r="L958" s="122"/>
      <c r="M958" s="122"/>
      <c r="N958" s="122"/>
      <c r="O958" s="122"/>
      <c r="P958" s="122"/>
      <c r="Q958" s="122"/>
      <c r="R958" s="122"/>
      <c r="S958" s="122"/>
      <c r="T958" s="122"/>
      <c r="U958" s="122"/>
      <c r="V958" s="122"/>
      <c r="W958" s="122"/>
      <c r="X958" s="122"/>
      <c r="Y958" s="122"/>
      <c r="Z958" s="122"/>
      <c r="AA958" s="122"/>
      <c r="AB958" s="122"/>
    </row>
    <row r="959" spans="1:28" ht="15.75" customHeight="1" x14ac:dyDescent="0.2">
      <c r="A959" s="122"/>
      <c r="B959" s="122"/>
      <c r="C959" s="122"/>
      <c r="D959" s="122"/>
      <c r="E959" s="122"/>
      <c r="F959" s="122"/>
      <c r="G959" s="122"/>
      <c r="H959" s="122"/>
      <c r="I959" s="122"/>
      <c r="J959" s="122"/>
      <c r="K959" s="122"/>
      <c r="L959" s="122"/>
      <c r="M959" s="122"/>
      <c r="N959" s="122"/>
      <c r="O959" s="122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  <c r="AA959" s="122"/>
      <c r="AB959" s="122"/>
    </row>
    <row r="960" spans="1:28" ht="15.75" customHeight="1" x14ac:dyDescent="0.2">
      <c r="A960" s="122"/>
      <c r="B960" s="122"/>
      <c r="C960" s="122"/>
      <c r="D960" s="122"/>
      <c r="E960" s="122"/>
      <c r="F960" s="122"/>
      <c r="G960" s="122"/>
      <c r="H960" s="122"/>
      <c r="I960" s="122"/>
      <c r="J960" s="122"/>
      <c r="K960" s="122"/>
      <c r="L960" s="122"/>
      <c r="M960" s="122"/>
      <c r="N960" s="122"/>
      <c r="O960" s="122"/>
      <c r="P960" s="122"/>
      <c r="Q960" s="122"/>
      <c r="R960" s="122"/>
      <c r="S960" s="122"/>
      <c r="T960" s="122"/>
      <c r="U960" s="122"/>
      <c r="V960" s="122"/>
      <c r="W960" s="122"/>
      <c r="X960" s="122"/>
      <c r="Y960" s="122"/>
      <c r="Z960" s="122"/>
      <c r="AA960" s="122"/>
      <c r="AB960" s="122"/>
    </row>
    <row r="961" spans="1:28" ht="15.75" customHeight="1" x14ac:dyDescent="0.2">
      <c r="A961" s="122"/>
      <c r="B961" s="122"/>
      <c r="C961" s="122"/>
      <c r="D961" s="122"/>
      <c r="E961" s="122"/>
      <c r="F961" s="122"/>
      <c r="G961" s="122"/>
      <c r="H961" s="122"/>
      <c r="I961" s="122"/>
      <c r="J961" s="122"/>
      <c r="K961" s="122"/>
      <c r="L961" s="122"/>
      <c r="M961" s="122"/>
      <c r="N961" s="122"/>
      <c r="O961" s="122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  <c r="Z961" s="122"/>
      <c r="AA961" s="122"/>
      <c r="AB961" s="122"/>
    </row>
    <row r="962" spans="1:28" ht="15.75" customHeight="1" x14ac:dyDescent="0.2">
      <c r="A962" s="122"/>
      <c r="B962" s="122"/>
      <c r="C962" s="122"/>
      <c r="D962" s="122"/>
      <c r="E962" s="122"/>
      <c r="F962" s="122"/>
      <c r="G962" s="122"/>
      <c r="H962" s="122"/>
      <c r="I962" s="122"/>
      <c r="J962" s="122"/>
      <c r="K962" s="122"/>
      <c r="L962" s="122"/>
      <c r="M962" s="122"/>
      <c r="N962" s="122"/>
      <c r="O962" s="122"/>
      <c r="P962" s="122"/>
      <c r="Q962" s="122"/>
      <c r="R962" s="122"/>
      <c r="S962" s="122"/>
      <c r="T962" s="122"/>
      <c r="U962" s="122"/>
      <c r="V962" s="122"/>
      <c r="W962" s="122"/>
      <c r="X962" s="122"/>
      <c r="Y962" s="122"/>
      <c r="Z962" s="122"/>
      <c r="AA962" s="122"/>
      <c r="AB962" s="122"/>
    </row>
    <row r="963" spans="1:28" ht="15.75" customHeight="1" x14ac:dyDescent="0.2">
      <c r="A963" s="122"/>
      <c r="B963" s="122"/>
      <c r="C963" s="122"/>
      <c r="D963" s="122"/>
      <c r="E963" s="122"/>
      <c r="F963" s="122"/>
      <c r="G963" s="122"/>
      <c r="H963" s="122"/>
      <c r="I963" s="122"/>
      <c r="J963" s="122"/>
      <c r="K963" s="122"/>
      <c r="L963" s="122"/>
      <c r="M963" s="122"/>
      <c r="N963" s="122"/>
      <c r="O963" s="122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  <c r="Z963" s="122"/>
      <c r="AA963" s="122"/>
      <c r="AB963" s="122"/>
    </row>
    <row r="964" spans="1:28" ht="15.75" customHeight="1" x14ac:dyDescent="0.2">
      <c r="A964" s="122"/>
      <c r="B964" s="122"/>
      <c r="C964" s="122"/>
      <c r="D964" s="122"/>
      <c r="E964" s="122"/>
      <c r="F964" s="122"/>
      <c r="G964" s="122"/>
      <c r="H964" s="122"/>
      <c r="I964" s="122"/>
      <c r="J964" s="122"/>
      <c r="K964" s="122"/>
      <c r="L964" s="122"/>
      <c r="M964" s="122"/>
      <c r="N964" s="122"/>
      <c r="O964" s="122"/>
      <c r="P964" s="122"/>
      <c r="Q964" s="122"/>
      <c r="R964" s="122"/>
      <c r="S964" s="122"/>
      <c r="T964" s="122"/>
      <c r="U964" s="122"/>
      <c r="V964" s="122"/>
      <c r="W964" s="122"/>
      <c r="X964" s="122"/>
      <c r="Y964" s="122"/>
      <c r="Z964" s="122"/>
      <c r="AA964" s="122"/>
      <c r="AB964" s="122"/>
    </row>
    <row r="965" spans="1:28" ht="15.75" customHeight="1" x14ac:dyDescent="0.2">
      <c r="A965" s="122"/>
      <c r="B965" s="122"/>
      <c r="C965" s="122"/>
      <c r="D965" s="122"/>
      <c r="E965" s="122"/>
      <c r="F965" s="122"/>
      <c r="G965" s="122"/>
      <c r="H965" s="122"/>
      <c r="I965" s="122"/>
      <c r="J965" s="122"/>
      <c r="K965" s="122"/>
      <c r="L965" s="122"/>
      <c r="M965" s="122"/>
      <c r="N965" s="122"/>
      <c r="O965" s="122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  <c r="Z965" s="122"/>
      <c r="AA965" s="122"/>
      <c r="AB965" s="122"/>
    </row>
    <row r="966" spans="1:28" ht="15.75" customHeight="1" x14ac:dyDescent="0.2">
      <c r="A966" s="122"/>
      <c r="B966" s="122"/>
      <c r="C966" s="122"/>
      <c r="D966" s="122"/>
      <c r="E966" s="122"/>
      <c r="F966" s="122"/>
      <c r="G966" s="122"/>
      <c r="H966" s="122"/>
      <c r="I966" s="122"/>
      <c r="J966" s="122"/>
      <c r="K966" s="122"/>
      <c r="L966" s="122"/>
      <c r="M966" s="122"/>
      <c r="N966" s="122"/>
      <c r="O966" s="122"/>
      <c r="P966" s="122"/>
      <c r="Q966" s="122"/>
      <c r="R966" s="122"/>
      <c r="S966" s="122"/>
      <c r="T966" s="122"/>
      <c r="U966" s="122"/>
      <c r="V966" s="122"/>
      <c r="W966" s="122"/>
      <c r="X966" s="122"/>
      <c r="Y966" s="122"/>
      <c r="Z966" s="122"/>
      <c r="AA966" s="122"/>
      <c r="AB966" s="122"/>
    </row>
    <row r="967" spans="1:28" ht="15.75" customHeight="1" x14ac:dyDescent="0.2">
      <c r="A967" s="122"/>
      <c r="B967" s="122"/>
      <c r="C967" s="122"/>
      <c r="D967" s="122"/>
      <c r="E967" s="122"/>
      <c r="F967" s="122"/>
      <c r="G967" s="122"/>
      <c r="H967" s="122"/>
      <c r="I967" s="122"/>
      <c r="J967" s="122"/>
      <c r="K967" s="122"/>
      <c r="L967" s="122"/>
      <c r="M967" s="122"/>
      <c r="N967" s="122"/>
      <c r="O967" s="122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  <c r="Z967" s="122"/>
      <c r="AA967" s="122"/>
      <c r="AB967" s="122"/>
    </row>
    <row r="968" spans="1:28" ht="15.75" customHeight="1" x14ac:dyDescent="0.2">
      <c r="A968" s="122"/>
      <c r="B968" s="122"/>
      <c r="C968" s="122"/>
      <c r="D968" s="122"/>
      <c r="E968" s="122"/>
      <c r="F968" s="122"/>
      <c r="G968" s="122"/>
      <c r="H968" s="122"/>
      <c r="I968" s="122"/>
      <c r="J968" s="122"/>
      <c r="K968" s="122"/>
      <c r="L968" s="122"/>
      <c r="M968" s="122"/>
      <c r="N968" s="122"/>
      <c r="O968" s="122"/>
      <c r="P968" s="122"/>
      <c r="Q968" s="122"/>
      <c r="R968" s="122"/>
      <c r="S968" s="122"/>
      <c r="T968" s="122"/>
      <c r="U968" s="122"/>
      <c r="V968" s="122"/>
      <c r="W968" s="122"/>
      <c r="X968" s="122"/>
      <c r="Y968" s="122"/>
      <c r="Z968" s="122"/>
      <c r="AA968" s="122"/>
      <c r="AB968" s="122"/>
    </row>
    <row r="969" spans="1:28" ht="15.75" customHeight="1" x14ac:dyDescent="0.2">
      <c r="A969" s="122"/>
      <c r="B969" s="122"/>
      <c r="C969" s="122"/>
      <c r="D969" s="122"/>
      <c r="E969" s="122"/>
      <c r="F969" s="122"/>
      <c r="G969" s="122"/>
      <c r="H969" s="122"/>
      <c r="I969" s="122"/>
      <c r="J969" s="122"/>
      <c r="K969" s="122"/>
      <c r="L969" s="122"/>
      <c r="M969" s="122"/>
      <c r="N969" s="122"/>
      <c r="O969" s="122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  <c r="Z969" s="122"/>
      <c r="AA969" s="122"/>
      <c r="AB969" s="122"/>
    </row>
    <row r="970" spans="1:28" ht="15.75" customHeight="1" x14ac:dyDescent="0.2">
      <c r="A970" s="122"/>
      <c r="B970" s="122"/>
      <c r="C970" s="122"/>
      <c r="D970" s="122"/>
      <c r="E970" s="122"/>
      <c r="F970" s="122"/>
      <c r="G970" s="122"/>
      <c r="H970" s="122"/>
      <c r="I970" s="122"/>
      <c r="J970" s="122"/>
      <c r="K970" s="122"/>
      <c r="L970" s="122"/>
      <c r="M970" s="122"/>
      <c r="N970" s="122"/>
      <c r="O970" s="122"/>
      <c r="P970" s="122"/>
      <c r="Q970" s="122"/>
      <c r="R970" s="122"/>
      <c r="S970" s="122"/>
      <c r="T970" s="122"/>
      <c r="U970" s="122"/>
      <c r="V970" s="122"/>
      <c r="W970" s="122"/>
      <c r="X970" s="122"/>
      <c r="Y970" s="122"/>
      <c r="Z970" s="122"/>
      <c r="AA970" s="122"/>
      <c r="AB970" s="122"/>
    </row>
    <row r="971" spans="1:28" ht="15.75" customHeight="1" x14ac:dyDescent="0.2">
      <c r="A971" s="122"/>
      <c r="B971" s="122"/>
      <c r="C971" s="122"/>
      <c r="D971" s="122"/>
      <c r="E971" s="122"/>
      <c r="F971" s="122"/>
      <c r="G971" s="122"/>
      <c r="H971" s="122"/>
      <c r="I971" s="122"/>
      <c r="J971" s="122"/>
      <c r="K971" s="122"/>
      <c r="L971" s="122"/>
      <c r="M971" s="122"/>
      <c r="N971" s="122"/>
      <c r="O971" s="122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  <c r="Z971" s="122"/>
      <c r="AA971" s="122"/>
      <c r="AB971" s="122"/>
    </row>
    <row r="972" spans="1:28" ht="15.75" customHeight="1" x14ac:dyDescent="0.2">
      <c r="A972" s="122"/>
      <c r="B972" s="122"/>
      <c r="C972" s="122"/>
      <c r="D972" s="122"/>
      <c r="E972" s="122"/>
      <c r="F972" s="122"/>
      <c r="G972" s="122"/>
      <c r="H972" s="122"/>
      <c r="I972" s="122"/>
      <c r="J972" s="122"/>
      <c r="K972" s="122"/>
      <c r="L972" s="122"/>
      <c r="M972" s="122"/>
      <c r="N972" s="122"/>
      <c r="O972" s="122"/>
      <c r="P972" s="122"/>
      <c r="Q972" s="122"/>
      <c r="R972" s="122"/>
      <c r="S972" s="122"/>
      <c r="T972" s="122"/>
      <c r="U972" s="122"/>
      <c r="V972" s="122"/>
      <c r="W972" s="122"/>
      <c r="X972" s="122"/>
      <c r="Y972" s="122"/>
      <c r="Z972" s="122"/>
      <c r="AA972" s="122"/>
      <c r="AB972" s="122"/>
    </row>
    <row r="973" spans="1:28" ht="15.75" customHeight="1" x14ac:dyDescent="0.2">
      <c r="A973" s="122"/>
      <c r="B973" s="122"/>
      <c r="C973" s="122"/>
      <c r="D973" s="122"/>
      <c r="E973" s="122"/>
      <c r="F973" s="122"/>
      <c r="G973" s="122"/>
      <c r="H973" s="122"/>
      <c r="I973" s="122"/>
      <c r="J973" s="122"/>
      <c r="K973" s="122"/>
      <c r="L973" s="122"/>
      <c r="M973" s="122"/>
      <c r="N973" s="122"/>
      <c r="O973" s="122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  <c r="Z973" s="122"/>
      <c r="AA973" s="122"/>
      <c r="AB973" s="122"/>
    </row>
    <row r="974" spans="1:28" ht="15.75" customHeight="1" x14ac:dyDescent="0.2">
      <c r="A974" s="122"/>
      <c r="B974" s="122"/>
      <c r="C974" s="122"/>
      <c r="D974" s="122"/>
      <c r="E974" s="122"/>
      <c r="F974" s="122"/>
      <c r="G974" s="122"/>
      <c r="H974" s="122"/>
      <c r="I974" s="122"/>
      <c r="J974" s="122"/>
      <c r="K974" s="122"/>
      <c r="L974" s="122"/>
      <c r="M974" s="122"/>
      <c r="N974" s="122"/>
      <c r="O974" s="122"/>
      <c r="P974" s="122"/>
      <c r="Q974" s="122"/>
      <c r="R974" s="122"/>
      <c r="S974" s="122"/>
      <c r="T974" s="122"/>
      <c r="U974" s="122"/>
      <c r="V974" s="122"/>
      <c r="W974" s="122"/>
      <c r="X974" s="122"/>
      <c r="Y974" s="122"/>
      <c r="Z974" s="122"/>
      <c r="AA974" s="122"/>
      <c r="AB974" s="122"/>
    </row>
    <row r="975" spans="1:28" ht="15.75" customHeight="1" x14ac:dyDescent="0.2">
      <c r="A975" s="122"/>
      <c r="B975" s="122"/>
      <c r="C975" s="122"/>
      <c r="D975" s="122"/>
      <c r="E975" s="122"/>
      <c r="F975" s="122"/>
      <c r="G975" s="122"/>
      <c r="H975" s="122"/>
      <c r="I975" s="122"/>
      <c r="J975" s="122"/>
      <c r="K975" s="122"/>
      <c r="L975" s="122"/>
      <c r="M975" s="122"/>
      <c r="N975" s="122"/>
      <c r="O975" s="122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  <c r="Z975" s="122"/>
      <c r="AA975" s="122"/>
      <c r="AB975" s="122"/>
    </row>
    <row r="976" spans="1:28" ht="15.75" customHeight="1" x14ac:dyDescent="0.2">
      <c r="A976" s="122"/>
      <c r="B976" s="122"/>
      <c r="C976" s="122"/>
      <c r="D976" s="122"/>
      <c r="E976" s="122"/>
      <c r="F976" s="122"/>
      <c r="G976" s="122"/>
      <c r="H976" s="122"/>
      <c r="I976" s="122"/>
      <c r="J976" s="122"/>
      <c r="K976" s="122"/>
      <c r="L976" s="122"/>
      <c r="M976" s="122"/>
      <c r="N976" s="122"/>
      <c r="O976" s="122"/>
      <c r="P976" s="122"/>
      <c r="Q976" s="122"/>
      <c r="R976" s="122"/>
      <c r="S976" s="122"/>
      <c r="T976" s="122"/>
      <c r="U976" s="122"/>
      <c r="V976" s="122"/>
      <c r="W976" s="122"/>
      <c r="X976" s="122"/>
      <c r="Y976" s="122"/>
      <c r="Z976" s="122"/>
      <c r="AA976" s="122"/>
      <c r="AB976" s="122"/>
    </row>
    <row r="977" spans="1:28" ht="15.75" customHeight="1" x14ac:dyDescent="0.2">
      <c r="A977" s="122"/>
      <c r="B977" s="122"/>
      <c r="C977" s="122"/>
      <c r="D977" s="122"/>
      <c r="E977" s="122"/>
      <c r="F977" s="122"/>
      <c r="G977" s="122"/>
      <c r="H977" s="122"/>
      <c r="I977" s="122"/>
      <c r="J977" s="122"/>
      <c r="K977" s="122"/>
      <c r="L977" s="122"/>
      <c r="M977" s="122"/>
      <c r="N977" s="122"/>
      <c r="O977" s="122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  <c r="Z977" s="122"/>
      <c r="AA977" s="122"/>
      <c r="AB977" s="122"/>
    </row>
    <row r="978" spans="1:28" ht="15.75" customHeight="1" x14ac:dyDescent="0.2">
      <c r="A978" s="122"/>
      <c r="B978" s="122"/>
      <c r="C978" s="122"/>
      <c r="D978" s="122"/>
      <c r="E978" s="122"/>
      <c r="F978" s="122"/>
      <c r="G978" s="122"/>
      <c r="H978" s="122"/>
      <c r="I978" s="122"/>
      <c r="J978" s="122"/>
      <c r="K978" s="122"/>
      <c r="L978" s="122"/>
      <c r="M978" s="122"/>
      <c r="N978" s="122"/>
      <c r="O978" s="122"/>
      <c r="P978" s="122"/>
      <c r="Q978" s="122"/>
      <c r="R978" s="122"/>
      <c r="S978" s="122"/>
      <c r="T978" s="122"/>
      <c r="U978" s="122"/>
      <c r="V978" s="122"/>
      <c r="W978" s="122"/>
      <c r="X978" s="122"/>
      <c r="Y978" s="122"/>
      <c r="Z978" s="122"/>
      <c r="AA978" s="122"/>
      <c r="AB978" s="122"/>
    </row>
    <row r="979" spans="1:28" ht="15.75" customHeight="1" x14ac:dyDescent="0.2">
      <c r="A979" s="122"/>
      <c r="B979" s="122"/>
      <c r="C979" s="122"/>
      <c r="D979" s="122"/>
      <c r="E979" s="122"/>
      <c r="F979" s="122"/>
      <c r="G979" s="122"/>
      <c r="H979" s="122"/>
      <c r="I979" s="122"/>
      <c r="J979" s="122"/>
      <c r="K979" s="122"/>
      <c r="L979" s="122"/>
      <c r="M979" s="122"/>
      <c r="N979" s="122"/>
      <c r="O979" s="122"/>
      <c r="P979" s="122"/>
      <c r="Q979" s="122"/>
      <c r="R979" s="122"/>
      <c r="S979" s="122"/>
      <c r="T979" s="122"/>
      <c r="U979" s="122"/>
      <c r="V979" s="122"/>
      <c r="W979" s="122"/>
      <c r="X979" s="122"/>
      <c r="Y979" s="122"/>
      <c r="Z979" s="122"/>
      <c r="AA979" s="122"/>
      <c r="AB979" s="122"/>
    </row>
    <row r="980" spans="1:28" ht="15.75" customHeight="1" x14ac:dyDescent="0.2">
      <c r="A980" s="122"/>
      <c r="B980" s="122"/>
      <c r="C980" s="122"/>
      <c r="D980" s="122"/>
      <c r="E980" s="122"/>
      <c r="F980" s="122"/>
      <c r="G980" s="122"/>
      <c r="H980" s="122"/>
      <c r="I980" s="122"/>
      <c r="J980" s="122"/>
      <c r="K980" s="122"/>
      <c r="L980" s="122"/>
      <c r="M980" s="122"/>
      <c r="N980" s="122"/>
      <c r="O980" s="122"/>
      <c r="P980" s="122"/>
      <c r="Q980" s="122"/>
      <c r="R980" s="122"/>
      <c r="S980" s="122"/>
      <c r="T980" s="122"/>
      <c r="U980" s="122"/>
      <c r="V980" s="122"/>
      <c r="W980" s="122"/>
      <c r="X980" s="122"/>
      <c r="Y980" s="122"/>
      <c r="Z980" s="122"/>
      <c r="AA980" s="122"/>
      <c r="AB980" s="122"/>
    </row>
    <row r="981" spans="1:28" ht="15.75" customHeight="1" x14ac:dyDescent="0.2">
      <c r="A981" s="122"/>
      <c r="B981" s="122"/>
      <c r="C981" s="122"/>
      <c r="D981" s="122"/>
      <c r="E981" s="122"/>
      <c r="F981" s="122"/>
      <c r="G981" s="122"/>
      <c r="H981" s="122"/>
      <c r="I981" s="122"/>
      <c r="J981" s="122"/>
      <c r="K981" s="122"/>
      <c r="L981" s="122"/>
      <c r="M981" s="122"/>
      <c r="N981" s="122"/>
      <c r="O981" s="122"/>
      <c r="P981" s="122"/>
      <c r="Q981" s="122"/>
      <c r="R981" s="122"/>
      <c r="S981" s="122"/>
      <c r="T981" s="122"/>
      <c r="U981" s="122"/>
      <c r="V981" s="122"/>
      <c r="W981" s="122"/>
      <c r="X981" s="122"/>
      <c r="Y981" s="122"/>
      <c r="Z981" s="122"/>
      <c r="AA981" s="122"/>
      <c r="AB981" s="122"/>
    </row>
    <row r="982" spans="1:28" ht="15.75" customHeight="1" x14ac:dyDescent="0.2">
      <c r="A982" s="122"/>
      <c r="B982" s="122"/>
      <c r="C982" s="122"/>
      <c r="D982" s="122"/>
      <c r="E982" s="122"/>
      <c r="F982" s="122"/>
      <c r="G982" s="122"/>
      <c r="H982" s="122"/>
      <c r="I982" s="122"/>
      <c r="J982" s="122"/>
      <c r="K982" s="122"/>
      <c r="L982" s="122"/>
      <c r="M982" s="122"/>
      <c r="N982" s="122"/>
      <c r="O982" s="122"/>
      <c r="P982" s="122"/>
      <c r="Q982" s="122"/>
      <c r="R982" s="122"/>
      <c r="S982" s="122"/>
      <c r="T982" s="122"/>
      <c r="U982" s="122"/>
      <c r="V982" s="122"/>
      <c r="W982" s="122"/>
      <c r="X982" s="122"/>
      <c r="Y982" s="122"/>
      <c r="Z982" s="122"/>
      <c r="AA982" s="122"/>
      <c r="AB982" s="122"/>
    </row>
    <row r="983" spans="1:28" ht="15.75" customHeight="1" x14ac:dyDescent="0.2">
      <c r="A983" s="122"/>
      <c r="B983" s="122"/>
      <c r="C983" s="122"/>
      <c r="D983" s="122"/>
      <c r="E983" s="122"/>
      <c r="F983" s="122"/>
      <c r="G983" s="122"/>
      <c r="H983" s="122"/>
      <c r="I983" s="122"/>
      <c r="J983" s="122"/>
      <c r="K983" s="122"/>
      <c r="L983" s="122"/>
      <c r="M983" s="122"/>
      <c r="N983" s="122"/>
      <c r="O983" s="122"/>
      <c r="P983" s="122"/>
      <c r="Q983" s="122"/>
      <c r="R983" s="122"/>
      <c r="S983" s="122"/>
      <c r="T983" s="122"/>
      <c r="U983" s="122"/>
      <c r="V983" s="122"/>
      <c r="W983" s="122"/>
      <c r="X983" s="122"/>
      <c r="Y983" s="122"/>
      <c r="Z983" s="122"/>
      <c r="AA983" s="122"/>
      <c r="AB983" s="122"/>
    </row>
    <row r="984" spans="1:28" ht="15.75" customHeight="1" x14ac:dyDescent="0.2">
      <c r="A984" s="122"/>
      <c r="B984" s="122"/>
      <c r="C984" s="122"/>
      <c r="D984" s="122"/>
      <c r="E984" s="122"/>
      <c r="F984" s="122"/>
      <c r="G984" s="122"/>
      <c r="H984" s="122"/>
      <c r="I984" s="122"/>
      <c r="J984" s="122"/>
      <c r="K984" s="122"/>
      <c r="L984" s="122"/>
      <c r="M984" s="122"/>
      <c r="N984" s="122"/>
      <c r="O984" s="122"/>
      <c r="P984" s="122"/>
      <c r="Q984" s="122"/>
      <c r="R984" s="122"/>
      <c r="S984" s="122"/>
      <c r="T984" s="122"/>
      <c r="U984" s="122"/>
      <c r="V984" s="122"/>
      <c r="W984" s="122"/>
      <c r="X984" s="122"/>
      <c r="Y984" s="122"/>
      <c r="Z984" s="122"/>
      <c r="AA984" s="122"/>
      <c r="AB984" s="122"/>
    </row>
    <row r="985" spans="1:28" ht="15.75" customHeight="1" x14ac:dyDescent="0.2">
      <c r="A985" s="122"/>
      <c r="B985" s="122"/>
      <c r="C985" s="122"/>
      <c r="D985" s="122"/>
      <c r="E985" s="122"/>
      <c r="F985" s="122"/>
      <c r="G985" s="122"/>
      <c r="H985" s="122"/>
      <c r="I985" s="122"/>
      <c r="J985" s="122"/>
      <c r="K985" s="122"/>
      <c r="L985" s="122"/>
      <c r="M985" s="122"/>
      <c r="N985" s="122"/>
      <c r="O985" s="122"/>
      <c r="P985" s="122"/>
      <c r="Q985" s="122"/>
      <c r="R985" s="122"/>
      <c r="S985" s="122"/>
      <c r="T985" s="122"/>
      <c r="U985" s="122"/>
      <c r="V985" s="122"/>
      <c r="W985" s="122"/>
      <c r="X985" s="122"/>
      <c r="Y985" s="122"/>
      <c r="Z985" s="122"/>
      <c r="AA985" s="122"/>
      <c r="AB985" s="122"/>
    </row>
    <row r="986" spans="1:28" ht="15.75" customHeight="1" x14ac:dyDescent="0.2">
      <c r="A986" s="122"/>
      <c r="B986" s="122"/>
      <c r="C986" s="122"/>
      <c r="D986" s="122"/>
      <c r="E986" s="122"/>
      <c r="F986" s="122"/>
      <c r="G986" s="122"/>
      <c r="H986" s="122"/>
      <c r="I986" s="122"/>
      <c r="J986" s="122"/>
      <c r="K986" s="122"/>
      <c r="L986" s="122"/>
      <c r="M986" s="122"/>
      <c r="N986" s="122"/>
      <c r="O986" s="122"/>
      <c r="P986" s="122"/>
      <c r="Q986" s="122"/>
      <c r="R986" s="122"/>
      <c r="S986" s="122"/>
      <c r="T986" s="122"/>
      <c r="U986" s="122"/>
      <c r="V986" s="122"/>
      <c r="W986" s="122"/>
      <c r="X986" s="122"/>
      <c r="Y986" s="122"/>
      <c r="Z986" s="122"/>
      <c r="AA986" s="122"/>
      <c r="AB986" s="122"/>
    </row>
    <row r="987" spans="1:28" ht="15.75" customHeight="1" x14ac:dyDescent="0.2">
      <c r="A987" s="122"/>
      <c r="B987" s="122"/>
      <c r="C987" s="122"/>
      <c r="D987" s="122"/>
      <c r="E987" s="122"/>
      <c r="F987" s="122"/>
      <c r="G987" s="122"/>
      <c r="H987" s="122"/>
      <c r="I987" s="122"/>
      <c r="J987" s="122"/>
      <c r="K987" s="122"/>
      <c r="L987" s="122"/>
      <c r="M987" s="122"/>
      <c r="N987" s="122"/>
      <c r="O987" s="122"/>
      <c r="P987" s="122"/>
      <c r="Q987" s="122"/>
      <c r="R987" s="122"/>
      <c r="S987" s="122"/>
      <c r="T987" s="122"/>
      <c r="U987" s="122"/>
      <c r="V987" s="122"/>
      <c r="W987" s="122"/>
      <c r="X987" s="122"/>
      <c r="Y987" s="122"/>
      <c r="Z987" s="122"/>
      <c r="AA987" s="122"/>
      <c r="AB987" s="122"/>
    </row>
    <row r="988" spans="1:28" ht="15.75" customHeight="1" x14ac:dyDescent="0.2">
      <c r="A988" s="122"/>
      <c r="B988" s="122"/>
      <c r="C988" s="122"/>
      <c r="D988" s="122"/>
      <c r="E988" s="122"/>
      <c r="F988" s="122"/>
      <c r="G988" s="122"/>
      <c r="H988" s="122"/>
      <c r="I988" s="122"/>
      <c r="J988" s="122"/>
      <c r="K988" s="122"/>
      <c r="L988" s="122"/>
      <c r="M988" s="122"/>
      <c r="N988" s="122"/>
      <c r="O988" s="122"/>
      <c r="P988" s="122"/>
      <c r="Q988" s="122"/>
      <c r="R988" s="122"/>
      <c r="S988" s="122"/>
      <c r="T988" s="122"/>
      <c r="U988" s="122"/>
      <c r="V988" s="122"/>
      <c r="W988" s="122"/>
      <c r="X988" s="122"/>
      <c r="Y988" s="122"/>
      <c r="Z988" s="122"/>
      <c r="AA988" s="122"/>
      <c r="AB988" s="122"/>
    </row>
    <row r="989" spans="1:28" ht="15.75" customHeight="1" x14ac:dyDescent="0.2">
      <c r="A989" s="122"/>
      <c r="B989" s="122"/>
      <c r="C989" s="122"/>
      <c r="D989" s="122"/>
      <c r="E989" s="122"/>
      <c r="F989" s="122"/>
      <c r="G989" s="122"/>
      <c r="H989" s="122"/>
      <c r="I989" s="122"/>
      <c r="J989" s="122"/>
      <c r="K989" s="122"/>
      <c r="L989" s="122"/>
      <c r="M989" s="122"/>
      <c r="N989" s="122"/>
      <c r="O989" s="122"/>
      <c r="P989" s="122"/>
      <c r="Q989" s="122"/>
      <c r="R989" s="122"/>
      <c r="S989" s="122"/>
      <c r="T989" s="122"/>
      <c r="U989" s="122"/>
      <c r="V989" s="122"/>
      <c r="W989" s="122"/>
      <c r="X989" s="122"/>
      <c r="Y989" s="122"/>
      <c r="Z989" s="122"/>
      <c r="AA989" s="122"/>
      <c r="AB989" s="122"/>
    </row>
    <row r="990" spans="1:28" ht="15.75" customHeight="1" x14ac:dyDescent="0.2">
      <c r="A990" s="122"/>
      <c r="B990" s="122"/>
      <c r="C990" s="122"/>
      <c r="D990" s="122"/>
      <c r="E990" s="122"/>
      <c r="F990" s="122"/>
      <c r="G990" s="122"/>
      <c r="H990" s="122"/>
      <c r="I990" s="122"/>
      <c r="J990" s="122"/>
      <c r="K990" s="122"/>
      <c r="L990" s="122"/>
      <c r="M990" s="122"/>
      <c r="N990" s="122"/>
      <c r="O990" s="122"/>
      <c r="P990" s="122"/>
      <c r="Q990" s="122"/>
      <c r="R990" s="122"/>
      <c r="S990" s="122"/>
      <c r="T990" s="122"/>
      <c r="U990" s="122"/>
      <c r="V990" s="122"/>
      <c r="W990" s="122"/>
      <c r="X990" s="122"/>
      <c r="Y990" s="122"/>
      <c r="Z990" s="122"/>
      <c r="AA990" s="122"/>
      <c r="AB990" s="122"/>
    </row>
    <row r="991" spans="1:28" ht="15.75" customHeight="1" x14ac:dyDescent="0.2">
      <c r="A991" s="122"/>
      <c r="B991" s="122"/>
      <c r="C991" s="122"/>
      <c r="D991" s="122"/>
      <c r="E991" s="122"/>
      <c r="F991" s="122"/>
      <c r="G991" s="122"/>
      <c r="H991" s="122"/>
      <c r="I991" s="122"/>
      <c r="J991" s="122"/>
      <c r="K991" s="122"/>
      <c r="L991" s="122"/>
      <c r="M991" s="122"/>
      <c r="N991" s="122"/>
      <c r="O991" s="122"/>
      <c r="P991" s="122"/>
      <c r="Q991" s="122"/>
      <c r="R991" s="122"/>
      <c r="S991" s="122"/>
      <c r="T991" s="122"/>
      <c r="U991" s="122"/>
      <c r="V991" s="122"/>
      <c r="W991" s="122"/>
      <c r="X991" s="122"/>
      <c r="Y991" s="122"/>
      <c r="Z991" s="122"/>
      <c r="AA991" s="122"/>
      <c r="AB991" s="122"/>
    </row>
    <row r="992" spans="1:28" ht="15.75" customHeight="1" x14ac:dyDescent="0.2">
      <c r="A992" s="122"/>
      <c r="B992" s="122"/>
      <c r="C992" s="122"/>
      <c r="D992" s="122"/>
      <c r="E992" s="122"/>
      <c r="F992" s="122"/>
      <c r="G992" s="122"/>
      <c r="H992" s="122"/>
      <c r="I992" s="122"/>
      <c r="J992" s="122"/>
      <c r="K992" s="122"/>
      <c r="L992" s="122"/>
      <c r="M992" s="122"/>
      <c r="N992" s="122"/>
      <c r="O992" s="122"/>
      <c r="P992" s="122"/>
      <c r="Q992" s="122"/>
      <c r="R992" s="122"/>
      <c r="S992" s="122"/>
      <c r="T992" s="122"/>
      <c r="U992" s="122"/>
      <c r="V992" s="122"/>
      <c r="W992" s="122"/>
      <c r="X992" s="122"/>
      <c r="Y992" s="122"/>
      <c r="Z992" s="122"/>
      <c r="AA992" s="122"/>
      <c r="AB992" s="122"/>
    </row>
    <row r="993" spans="1:28" ht="15.75" customHeight="1" x14ac:dyDescent="0.2">
      <c r="A993" s="122"/>
      <c r="B993" s="122"/>
      <c r="C993" s="122"/>
      <c r="D993" s="122"/>
      <c r="E993" s="122"/>
      <c r="F993" s="122"/>
      <c r="G993" s="122"/>
      <c r="H993" s="122"/>
      <c r="I993" s="122"/>
      <c r="J993" s="122"/>
      <c r="K993" s="122"/>
      <c r="L993" s="122"/>
      <c r="M993" s="122"/>
      <c r="N993" s="122"/>
      <c r="O993" s="122"/>
      <c r="P993" s="122"/>
      <c r="Q993" s="122"/>
      <c r="R993" s="122"/>
      <c r="S993" s="122"/>
      <c r="T993" s="122"/>
      <c r="U993" s="122"/>
      <c r="V993" s="122"/>
      <c r="W993" s="122"/>
      <c r="X993" s="122"/>
      <c r="Y993" s="122"/>
      <c r="Z993" s="122"/>
      <c r="AA993" s="122"/>
      <c r="AB993" s="122"/>
    </row>
    <row r="994" spans="1:28" ht="15.75" customHeight="1" x14ac:dyDescent="0.2">
      <c r="A994" s="122"/>
      <c r="B994" s="122"/>
      <c r="C994" s="122"/>
      <c r="D994" s="122"/>
      <c r="E994" s="122"/>
      <c r="F994" s="122"/>
      <c r="G994" s="122"/>
      <c r="H994" s="122"/>
      <c r="I994" s="122"/>
      <c r="J994" s="122"/>
      <c r="K994" s="122"/>
      <c r="L994" s="122"/>
      <c r="M994" s="122"/>
      <c r="N994" s="122"/>
      <c r="O994" s="122"/>
      <c r="P994" s="122"/>
      <c r="Q994" s="122"/>
      <c r="R994" s="122"/>
      <c r="S994" s="122"/>
      <c r="T994" s="122"/>
      <c r="U994" s="122"/>
      <c r="V994" s="122"/>
      <c r="W994" s="122"/>
      <c r="X994" s="122"/>
      <c r="Y994" s="122"/>
      <c r="Z994" s="122"/>
      <c r="AA994" s="122"/>
      <c r="AB994" s="122"/>
    </row>
    <row r="995" spans="1:28" ht="15.75" customHeight="1" x14ac:dyDescent="0.2">
      <c r="A995" s="122"/>
      <c r="B995" s="122"/>
      <c r="C995" s="122"/>
      <c r="D995" s="122"/>
      <c r="E995" s="122"/>
      <c r="F995" s="122"/>
      <c r="G995" s="122"/>
      <c r="H995" s="122"/>
      <c r="I995" s="122"/>
      <c r="J995" s="122"/>
      <c r="K995" s="122"/>
      <c r="L995" s="122"/>
      <c r="M995" s="122"/>
      <c r="N995" s="122"/>
      <c r="O995" s="122"/>
      <c r="P995" s="122"/>
      <c r="Q995" s="122"/>
      <c r="R995" s="122"/>
      <c r="S995" s="122"/>
      <c r="T995" s="122"/>
      <c r="U995" s="122"/>
      <c r="V995" s="122"/>
      <c r="W995" s="122"/>
      <c r="X995" s="122"/>
      <c r="Y995" s="122"/>
      <c r="Z995" s="122"/>
      <c r="AA995" s="122"/>
      <c r="AB995" s="122"/>
    </row>
    <row r="996" spans="1:28" ht="15.75" customHeight="1" x14ac:dyDescent="0.2">
      <c r="A996" s="122"/>
      <c r="B996" s="122"/>
      <c r="C996" s="122"/>
      <c r="D996" s="122"/>
      <c r="E996" s="122"/>
      <c r="F996" s="122"/>
      <c r="G996" s="122"/>
      <c r="H996" s="122"/>
      <c r="I996" s="122"/>
      <c r="J996" s="122"/>
      <c r="K996" s="122"/>
      <c r="L996" s="122"/>
      <c r="M996" s="122"/>
      <c r="N996" s="122"/>
      <c r="O996" s="122"/>
      <c r="P996" s="122"/>
      <c r="Q996" s="122"/>
      <c r="R996" s="122"/>
      <c r="S996" s="122"/>
      <c r="T996" s="122"/>
      <c r="U996" s="122"/>
      <c r="V996" s="122"/>
      <c r="W996" s="122"/>
      <c r="X996" s="122"/>
      <c r="Y996" s="122"/>
      <c r="Z996" s="122"/>
      <c r="AA996" s="122"/>
      <c r="AB996" s="122"/>
    </row>
    <row r="997" spans="1:28" ht="15.75" customHeight="1" x14ac:dyDescent="0.2">
      <c r="A997" s="122"/>
      <c r="B997" s="122"/>
      <c r="C997" s="122"/>
      <c r="D997" s="122"/>
      <c r="E997" s="122"/>
      <c r="F997" s="122"/>
      <c r="G997" s="122"/>
      <c r="H997" s="122"/>
      <c r="I997" s="122"/>
      <c r="J997" s="122"/>
      <c r="K997" s="122"/>
      <c r="L997" s="122"/>
      <c r="M997" s="122"/>
      <c r="N997" s="122"/>
      <c r="O997" s="122"/>
      <c r="P997" s="122"/>
      <c r="Q997" s="122"/>
      <c r="R997" s="122"/>
      <c r="S997" s="122"/>
      <c r="T997" s="122"/>
      <c r="U997" s="122"/>
      <c r="V997" s="122"/>
      <c r="W997" s="122"/>
      <c r="X997" s="122"/>
      <c r="Y997" s="122"/>
      <c r="Z997" s="122"/>
      <c r="AA997" s="122"/>
      <c r="AB997" s="122"/>
    </row>
    <row r="998" spans="1:28" ht="15.75" customHeight="1" x14ac:dyDescent="0.2">
      <c r="A998" s="122"/>
      <c r="B998" s="122"/>
      <c r="C998" s="122"/>
      <c r="D998" s="122"/>
      <c r="E998" s="122"/>
      <c r="F998" s="122"/>
      <c r="G998" s="122"/>
      <c r="H998" s="122"/>
      <c r="I998" s="122"/>
      <c r="J998" s="122"/>
      <c r="K998" s="122"/>
      <c r="L998" s="122"/>
      <c r="M998" s="122"/>
      <c r="N998" s="122"/>
      <c r="O998" s="122"/>
      <c r="P998" s="122"/>
      <c r="Q998" s="122"/>
      <c r="R998" s="122"/>
      <c r="S998" s="122"/>
      <c r="T998" s="122"/>
      <c r="U998" s="122"/>
      <c r="V998" s="122"/>
      <c r="W998" s="122"/>
      <c r="X998" s="122"/>
      <c r="Y998" s="122"/>
      <c r="Z998" s="122"/>
      <c r="AA998" s="122"/>
      <c r="AB998" s="122"/>
    </row>
    <row r="999" spans="1:28" ht="15.75" customHeight="1" x14ac:dyDescent="0.2">
      <c r="A999" s="122"/>
      <c r="B999" s="122"/>
      <c r="C999" s="122"/>
      <c r="D999" s="122"/>
      <c r="E999" s="122"/>
      <c r="F999" s="122"/>
      <c r="G999" s="122"/>
      <c r="H999" s="122"/>
      <c r="I999" s="122"/>
      <c r="J999" s="122"/>
      <c r="K999" s="122"/>
      <c r="L999" s="122"/>
      <c r="M999" s="122"/>
      <c r="N999" s="122"/>
      <c r="O999" s="122"/>
      <c r="P999" s="122"/>
      <c r="Q999" s="122"/>
      <c r="R999" s="122"/>
      <c r="S999" s="122"/>
      <c r="T999" s="122"/>
      <c r="U999" s="122"/>
      <c r="V999" s="122"/>
      <c r="W999" s="122"/>
      <c r="X999" s="122"/>
      <c r="Y999" s="122"/>
      <c r="Z999" s="122"/>
      <c r="AA999" s="122"/>
      <c r="AB999" s="122"/>
    </row>
    <row r="1000" spans="1:28" ht="15.75" customHeight="1" x14ac:dyDescent="0.2">
      <c r="A1000" s="122"/>
      <c r="B1000" s="122"/>
      <c r="C1000" s="122"/>
      <c r="D1000" s="122"/>
      <c r="E1000" s="122"/>
      <c r="F1000" s="122"/>
      <c r="G1000" s="122"/>
      <c r="H1000" s="122"/>
      <c r="I1000" s="122"/>
      <c r="J1000" s="122"/>
      <c r="K1000" s="122"/>
      <c r="L1000" s="122"/>
      <c r="M1000" s="122"/>
      <c r="N1000" s="122"/>
      <c r="O1000" s="122"/>
      <c r="P1000" s="122"/>
      <c r="Q1000" s="122"/>
      <c r="R1000" s="122"/>
      <c r="S1000" s="122"/>
      <c r="T1000" s="122"/>
      <c r="U1000" s="122"/>
      <c r="V1000" s="122"/>
      <c r="W1000" s="122"/>
      <c r="X1000" s="122"/>
      <c r="Y1000" s="122"/>
      <c r="Z1000" s="122"/>
      <c r="AA1000" s="122"/>
      <c r="AB1000" s="122"/>
    </row>
    <row r="1001" spans="1:28" ht="15.75" customHeight="1" x14ac:dyDescent="0.2">
      <c r="A1001" s="122"/>
      <c r="F1001" s="122"/>
      <c r="K1001" s="122"/>
      <c r="L1001" s="122"/>
      <c r="M1001" s="122"/>
      <c r="N1001" s="122"/>
      <c r="O1001" s="122"/>
      <c r="P1001" s="122"/>
      <c r="Q1001" s="122"/>
      <c r="R1001" s="122"/>
      <c r="S1001" s="122"/>
      <c r="T1001" s="122"/>
      <c r="U1001" s="122"/>
      <c r="V1001" s="122"/>
      <c r="W1001" s="122"/>
      <c r="X1001" s="122"/>
      <c r="Y1001" s="122"/>
      <c r="Z1001" s="122"/>
      <c r="AA1001" s="122"/>
      <c r="AB1001" s="122"/>
    </row>
  </sheetData>
  <sheetProtection sheet="1" objects="1" scenarios="1" selectLockedCells="1"/>
  <mergeCells count="6">
    <mergeCell ref="B12:C12"/>
    <mergeCell ref="B2:D2"/>
    <mergeCell ref="G2:I2"/>
    <mergeCell ref="E3:E10"/>
    <mergeCell ref="J3:J6"/>
    <mergeCell ref="G8:H8"/>
  </mergeCells>
  <pageMargins left="0" right="0" top="0" bottom="0" header="0" footer="0"/>
  <pageSetup fitToHeight="0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B1:E18"/>
  <sheetViews>
    <sheetView workbookViewId="0">
      <selection activeCell="C13" sqref="C13"/>
    </sheetView>
  </sheetViews>
  <sheetFormatPr defaultColWidth="14.390625" defaultRowHeight="15" x14ac:dyDescent="0.2"/>
  <cols>
    <col min="1" max="1" width="9.14453125" style="18" customWidth="1"/>
    <col min="2" max="2" width="27.7109375" style="18" bestFit="1" customWidth="1"/>
    <col min="3" max="3" width="8.875" style="18" bestFit="1" customWidth="1"/>
    <col min="4" max="4" width="9.28125" style="18" bestFit="1" customWidth="1"/>
    <col min="5" max="5" width="10.76171875" style="18" bestFit="1" customWidth="1"/>
    <col min="6" max="27" width="9.14453125" style="18" customWidth="1"/>
    <col min="28" max="16384" width="14.390625" style="18"/>
  </cols>
  <sheetData>
    <row r="1" spans="2:5" ht="15.75" thickBot="1" x14ac:dyDescent="0.25"/>
    <row r="2" spans="2:5" ht="15.75" thickBot="1" x14ac:dyDescent="0.25">
      <c r="B2" s="299" t="s">
        <v>85</v>
      </c>
      <c r="C2" s="300"/>
      <c r="D2" s="301"/>
      <c r="E2" s="38" t="s">
        <v>0</v>
      </c>
    </row>
    <row r="3" spans="2:5" ht="15.75" thickBot="1" x14ac:dyDescent="0.25">
      <c r="B3" s="21"/>
      <c r="C3" s="76" t="s">
        <v>92</v>
      </c>
      <c r="D3" s="234" t="s">
        <v>132</v>
      </c>
      <c r="E3" s="274">
        <f>ROUNDUP(C12/D6,1)</f>
        <v>1</v>
      </c>
    </row>
    <row r="4" spans="2:5" ht="41.25" x14ac:dyDescent="0.2">
      <c r="B4" s="230" t="s">
        <v>177</v>
      </c>
      <c r="C4" s="145">
        <v>2.4</v>
      </c>
      <c r="D4" s="145">
        <f>60*12*C4/16*1.15</f>
        <v>124.19999999999999</v>
      </c>
      <c r="E4" s="297"/>
    </row>
    <row r="5" spans="2:5" ht="15.75" thickBot="1" x14ac:dyDescent="0.25">
      <c r="B5" s="26" t="s">
        <v>86</v>
      </c>
      <c r="C5" s="231">
        <v>0.1</v>
      </c>
      <c r="D5" s="231">
        <f>60*12*C5/16*1.15</f>
        <v>5.1749999999999998</v>
      </c>
      <c r="E5" s="297"/>
    </row>
    <row r="6" spans="2:5" ht="15.75" thickBot="1" x14ac:dyDescent="0.25">
      <c r="B6" s="28" t="s">
        <v>17</v>
      </c>
      <c r="C6" s="233">
        <f>SUM(C4:C5)</f>
        <v>2.5</v>
      </c>
      <c r="D6" s="232">
        <f>SUM(D4:D5)</f>
        <v>129.375</v>
      </c>
      <c r="E6" s="276"/>
    </row>
    <row r="8" spans="2:5" x14ac:dyDescent="0.2">
      <c r="B8" s="258" t="s">
        <v>133</v>
      </c>
      <c r="C8" s="258"/>
      <c r="D8" s="94">
        <f>ROUNDDOWN(250/D6,2)</f>
        <v>1.93</v>
      </c>
    </row>
    <row r="10" spans="2:5" x14ac:dyDescent="0.2">
      <c r="B10" s="18" t="s">
        <v>29</v>
      </c>
      <c r="C10" s="64">
        <v>60</v>
      </c>
    </row>
    <row r="12" spans="2:5" x14ac:dyDescent="0.2">
      <c r="B12" s="18" t="s">
        <v>8</v>
      </c>
      <c r="C12" s="99">
        <f>((C10*12*C6/16)*1.15)-C13</f>
        <v>129.375</v>
      </c>
    </row>
    <row r="13" spans="2:5" x14ac:dyDescent="0.2">
      <c r="B13" s="18" t="s">
        <v>9</v>
      </c>
      <c r="C13" s="64">
        <v>0</v>
      </c>
    </row>
    <row r="14" spans="2:5" x14ac:dyDescent="0.2">
      <c r="B14" s="18" t="s">
        <v>10</v>
      </c>
      <c r="C14" s="99">
        <f>E3*D6</f>
        <v>129.375</v>
      </c>
    </row>
    <row r="16" spans="2:5" x14ac:dyDescent="0.2">
      <c r="B16" s="18" t="s">
        <v>11</v>
      </c>
    </row>
    <row r="17" spans="2:4" x14ac:dyDescent="0.2">
      <c r="B17" s="18" t="s">
        <v>81</v>
      </c>
      <c r="C17" s="99">
        <f>E3*D4</f>
        <v>124.19999999999999</v>
      </c>
      <c r="D17" s="18" t="s">
        <v>12</v>
      </c>
    </row>
    <row r="18" spans="2:4" x14ac:dyDescent="0.2">
      <c r="B18" s="18" t="s">
        <v>86</v>
      </c>
      <c r="C18" s="99">
        <f>E3*D5</f>
        <v>5.1749999999999998</v>
      </c>
      <c r="D18" s="18" t="s">
        <v>12</v>
      </c>
    </row>
  </sheetData>
  <sheetProtection sheet="1" objects="1" scenarios="1" selectLockedCells="1"/>
  <mergeCells count="3">
    <mergeCell ref="B2:D2"/>
    <mergeCell ref="E3:E6"/>
    <mergeCell ref="B8:C8"/>
  </mergeCells>
  <pageMargins left="0" right="0" top="0" bottom="0" header="0" footer="0"/>
  <pageSetup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B2:E24"/>
  <sheetViews>
    <sheetView workbookViewId="0">
      <selection activeCell="C13" sqref="C13"/>
    </sheetView>
  </sheetViews>
  <sheetFormatPr defaultColWidth="14.390625" defaultRowHeight="15" x14ac:dyDescent="0.2"/>
  <cols>
    <col min="1" max="1" width="9.14453125" style="18" customWidth="1"/>
    <col min="2" max="2" width="29.0546875" style="18" bestFit="1" customWidth="1"/>
    <col min="3" max="3" width="8.875" style="18" bestFit="1" customWidth="1"/>
    <col min="4" max="4" width="9.28125" style="18" bestFit="1" customWidth="1"/>
    <col min="5" max="5" width="10.76171875" style="18" bestFit="1" customWidth="1"/>
    <col min="6" max="27" width="9.14453125" style="18" customWidth="1"/>
    <col min="28" max="16384" width="14.390625" style="18"/>
  </cols>
  <sheetData>
    <row r="2" spans="2:5" ht="15.75" thickBot="1" x14ac:dyDescent="0.25">
      <c r="B2" s="305" t="s">
        <v>121</v>
      </c>
      <c r="C2" s="294"/>
      <c r="D2" s="295"/>
      <c r="E2" s="47" t="s">
        <v>0</v>
      </c>
    </row>
    <row r="3" spans="2:5" ht="15.75" thickBot="1" x14ac:dyDescent="0.25">
      <c r="B3" s="47"/>
      <c r="C3" s="47" t="s">
        <v>92</v>
      </c>
      <c r="D3" s="236" t="s">
        <v>132</v>
      </c>
      <c r="E3" s="274">
        <f>ROUNDUP(C15/D9,1)</f>
        <v>3</v>
      </c>
    </row>
    <row r="4" spans="2:5" x14ac:dyDescent="0.2">
      <c r="B4" s="23" t="s">
        <v>87</v>
      </c>
      <c r="C4" s="145">
        <v>0.75</v>
      </c>
      <c r="D4" s="96">
        <f>60*12*C4/16*1.15</f>
        <v>38.8125</v>
      </c>
      <c r="E4" s="275"/>
    </row>
    <row r="5" spans="2:5" x14ac:dyDescent="0.2">
      <c r="B5" s="45" t="s">
        <v>22</v>
      </c>
      <c r="C5" s="146">
        <v>0.75</v>
      </c>
      <c r="D5" s="235">
        <f>60*12*C5/16*1.15</f>
        <v>38.8125</v>
      </c>
      <c r="E5" s="275"/>
    </row>
    <row r="6" spans="2:5" x14ac:dyDescent="0.2">
      <c r="B6" s="45" t="s">
        <v>13</v>
      </c>
      <c r="C6" s="146"/>
      <c r="D6" s="235">
        <v>10</v>
      </c>
      <c r="E6" s="275"/>
    </row>
    <row r="7" spans="2:5" x14ac:dyDescent="0.2">
      <c r="B7" s="45" t="s">
        <v>23</v>
      </c>
      <c r="C7" s="146">
        <v>0.75</v>
      </c>
      <c r="D7" s="235">
        <f>60*12*C7/16*1.15</f>
        <v>38.8125</v>
      </c>
      <c r="E7" s="275"/>
    </row>
    <row r="8" spans="2:5" ht="15.75" thickBot="1" x14ac:dyDescent="0.25">
      <c r="B8" s="26" t="s">
        <v>24</v>
      </c>
      <c r="C8" s="231">
        <v>0.75</v>
      </c>
      <c r="D8" s="97">
        <f>60*12*C8/16*1.15</f>
        <v>38.8125</v>
      </c>
      <c r="E8" s="275"/>
    </row>
    <row r="9" spans="2:5" ht="15.75" thickBot="1" x14ac:dyDescent="0.25">
      <c r="B9" s="41" t="s">
        <v>17</v>
      </c>
      <c r="C9" s="115">
        <f>SUM(C4:C8)</f>
        <v>3</v>
      </c>
      <c r="D9" s="121">
        <f>SUM(D4,D5,D7,D8)</f>
        <v>155.25</v>
      </c>
      <c r="E9" s="276"/>
    </row>
    <row r="11" spans="2:5" x14ac:dyDescent="0.2">
      <c r="B11" s="258" t="s">
        <v>133</v>
      </c>
      <c r="C11" s="258"/>
      <c r="D11" s="94">
        <f>ROUNDDOWN(250/D9,2)</f>
        <v>1.61</v>
      </c>
    </row>
    <row r="13" spans="2:5" x14ac:dyDescent="0.2">
      <c r="B13" s="18" t="s">
        <v>29</v>
      </c>
      <c r="C13" s="64">
        <v>180</v>
      </c>
    </row>
    <row r="15" spans="2:5" x14ac:dyDescent="0.2">
      <c r="B15" s="18" t="s">
        <v>8</v>
      </c>
      <c r="C15" s="99">
        <f>((C13*12*C9/16)*1.15)-C16</f>
        <v>465.74999999999994</v>
      </c>
    </row>
    <row r="16" spans="2:5" x14ac:dyDescent="0.2">
      <c r="B16" s="18" t="s">
        <v>9</v>
      </c>
      <c r="C16" s="64">
        <v>0</v>
      </c>
    </row>
    <row r="17" spans="2:4" x14ac:dyDescent="0.2">
      <c r="B17" s="18" t="s">
        <v>10</v>
      </c>
      <c r="C17" s="99">
        <f>E3*D9</f>
        <v>465.75</v>
      </c>
    </row>
    <row r="19" spans="2:4" x14ac:dyDescent="0.2">
      <c r="B19" s="18" t="s">
        <v>11</v>
      </c>
    </row>
    <row r="20" spans="2:4" x14ac:dyDescent="0.2">
      <c r="B20" s="18" t="s">
        <v>34</v>
      </c>
      <c r="C20" s="99">
        <f>E3*D4</f>
        <v>116.4375</v>
      </c>
      <c r="D20" s="18" t="s">
        <v>12</v>
      </c>
    </row>
    <row r="21" spans="2:4" x14ac:dyDescent="0.2">
      <c r="B21" s="18" t="s">
        <v>22</v>
      </c>
      <c r="C21" s="99">
        <f>E3*D5</f>
        <v>116.4375</v>
      </c>
      <c r="D21" s="18" t="s">
        <v>12</v>
      </c>
    </row>
    <row r="22" spans="2:4" x14ac:dyDescent="0.2">
      <c r="B22" s="18" t="s">
        <v>23</v>
      </c>
      <c r="C22" s="99">
        <f>E3*D7</f>
        <v>116.4375</v>
      </c>
      <c r="D22" s="18" t="s">
        <v>12</v>
      </c>
    </row>
    <row r="23" spans="2:4" x14ac:dyDescent="0.2">
      <c r="B23" s="18" t="s">
        <v>24</v>
      </c>
      <c r="C23" s="99">
        <f>E3*D8</f>
        <v>116.4375</v>
      </c>
      <c r="D23" s="18" t="s">
        <v>12</v>
      </c>
    </row>
    <row r="24" spans="2:4" x14ac:dyDescent="0.2">
      <c r="B24" s="18" t="s">
        <v>13</v>
      </c>
      <c r="C24" s="99">
        <f>D6*E3</f>
        <v>30</v>
      </c>
      <c r="D24" s="18" t="s">
        <v>12</v>
      </c>
    </row>
  </sheetData>
  <sheetProtection sheet="1" objects="1" scenarios="1" selectLockedCells="1"/>
  <mergeCells count="3">
    <mergeCell ref="B2:D2"/>
    <mergeCell ref="B11:C11"/>
    <mergeCell ref="E3:E9"/>
  </mergeCells>
  <pageMargins left="0" right="0" top="0" bottom="0" header="0" footer="0"/>
  <pageSetup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77241-AC52-4EC8-AFED-55C48687ACB3}">
  <dimension ref="A1:AB1001"/>
  <sheetViews>
    <sheetView tabSelected="1" workbookViewId="0">
      <selection activeCell="C17" sqref="C17"/>
    </sheetView>
  </sheetViews>
  <sheetFormatPr defaultColWidth="14.390625" defaultRowHeight="15" x14ac:dyDescent="0.2"/>
  <cols>
    <col min="1" max="1" width="6.58984375" customWidth="1"/>
    <col min="2" max="2" width="29.0546875" bestFit="1" customWidth="1"/>
    <col min="3" max="3" width="8.875" bestFit="1" customWidth="1"/>
    <col min="4" max="4" width="9.28125" bestFit="1" customWidth="1"/>
    <col min="5" max="5" width="10.76171875" bestFit="1" customWidth="1"/>
    <col min="6" max="6" width="4.3046875" customWidth="1"/>
    <col min="7" max="7" width="27.7109375" bestFit="1" customWidth="1"/>
    <col min="8" max="8" width="9.55078125" bestFit="1" customWidth="1"/>
    <col min="9" max="9" width="9.28125" bestFit="1" customWidth="1"/>
    <col min="10" max="10" width="10.76171875" bestFit="1" customWidth="1"/>
    <col min="11" max="28" width="9.14453125" customWidth="1"/>
  </cols>
  <sheetData>
    <row r="1" spans="1:28" ht="15.75" thickBot="1" x14ac:dyDescent="0.25">
      <c r="A1" s="122"/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</row>
    <row r="2" spans="1:28" ht="15.75" thickBot="1" x14ac:dyDescent="0.25">
      <c r="A2" s="122"/>
      <c r="B2" s="259" t="s">
        <v>195</v>
      </c>
      <c r="C2" s="260"/>
      <c r="D2" s="261"/>
      <c r="E2" s="38" t="s">
        <v>0</v>
      </c>
      <c r="F2" s="122"/>
      <c r="G2" s="259" t="s">
        <v>196</v>
      </c>
      <c r="H2" s="260"/>
      <c r="I2" s="262"/>
      <c r="J2" s="38" t="s">
        <v>0</v>
      </c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</row>
    <row r="3" spans="1:28" ht="15.75" customHeight="1" thickBot="1" x14ac:dyDescent="0.25">
      <c r="A3" s="122"/>
      <c r="B3" s="123"/>
      <c r="C3" s="124" t="s">
        <v>92</v>
      </c>
      <c r="D3" s="125" t="s">
        <v>132</v>
      </c>
      <c r="E3" s="263">
        <f>ROUNDUP(C16/D10,1)</f>
        <v>7</v>
      </c>
      <c r="F3" s="122"/>
      <c r="G3" s="123"/>
      <c r="H3" s="124" t="s">
        <v>107</v>
      </c>
      <c r="I3" s="125" t="s">
        <v>132</v>
      </c>
      <c r="J3" s="266">
        <f>ROUNDUP(H16/I6,1)</f>
        <v>7</v>
      </c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</row>
    <row r="4" spans="1:28" ht="41.25" x14ac:dyDescent="0.2">
      <c r="A4" s="122"/>
      <c r="B4" s="126" t="s">
        <v>21</v>
      </c>
      <c r="C4" s="157">
        <v>0.52500000000000002</v>
      </c>
      <c r="D4" s="127">
        <f>48*12*C4/16*1.15</f>
        <v>21.734999999999999</v>
      </c>
      <c r="E4" s="264"/>
      <c r="F4" s="122"/>
      <c r="G4" s="144" t="s">
        <v>179</v>
      </c>
      <c r="H4" s="161">
        <v>1.93</v>
      </c>
      <c r="I4" s="128">
        <f>48*12*H4/16*1.15</f>
        <v>79.902000000000001</v>
      </c>
      <c r="J4" s="264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</row>
    <row r="5" spans="1:28" ht="15" customHeight="1" thickBot="1" x14ac:dyDescent="0.25">
      <c r="A5" s="122"/>
      <c r="B5" s="129" t="s">
        <v>14</v>
      </c>
      <c r="C5" s="130"/>
      <c r="D5" s="131">
        <v>5</v>
      </c>
      <c r="E5" s="264"/>
      <c r="F5" s="122"/>
      <c r="G5" s="132" t="s">
        <v>33</v>
      </c>
      <c r="H5" s="162">
        <v>7.0000000000000007E-2</v>
      </c>
      <c r="I5" s="133">
        <f>48*12*H5/16*1.15</f>
        <v>2.8980000000000001</v>
      </c>
      <c r="J5" s="264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</row>
    <row r="6" spans="1:28" ht="15" customHeight="1" thickBot="1" x14ac:dyDescent="0.25">
      <c r="A6" s="122"/>
      <c r="B6" s="134" t="s">
        <v>22</v>
      </c>
      <c r="C6" s="158">
        <v>0.52500000000000002</v>
      </c>
      <c r="D6" s="131">
        <f>48*12*C6/16*1.15</f>
        <v>21.734999999999999</v>
      </c>
      <c r="E6" s="264"/>
      <c r="F6" s="122"/>
      <c r="G6" s="136" t="s">
        <v>17</v>
      </c>
      <c r="H6" s="163">
        <f>SUM(H4:H5)</f>
        <v>2</v>
      </c>
      <c r="I6" s="137">
        <f>SUM(I4:I5)</f>
        <v>82.8</v>
      </c>
      <c r="J6" s="267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</row>
    <row r="7" spans="1:28" ht="15.75" customHeight="1" x14ac:dyDescent="0.2">
      <c r="A7" s="122"/>
      <c r="B7" s="134" t="s">
        <v>13</v>
      </c>
      <c r="C7" s="135"/>
      <c r="D7" s="131">
        <v>5</v>
      </c>
      <c r="E7" s="264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</row>
    <row r="8" spans="1:28" ht="15.75" customHeight="1" x14ac:dyDescent="0.2">
      <c r="A8" s="122"/>
      <c r="B8" s="134" t="s">
        <v>23</v>
      </c>
      <c r="C8" s="158">
        <v>0.52500000000000002</v>
      </c>
      <c r="D8" s="131">
        <f>48*12*C8/16*1.15</f>
        <v>21.734999999999999</v>
      </c>
      <c r="E8" s="264"/>
      <c r="F8" s="122"/>
      <c r="G8" s="258" t="s">
        <v>133</v>
      </c>
      <c r="H8" s="258"/>
      <c r="I8" s="94">
        <f>ROUNDDOWN(250/I6,2)</f>
        <v>3.01</v>
      </c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</row>
    <row r="9" spans="1:28" ht="15.75" customHeight="1" thickBot="1" x14ac:dyDescent="0.25">
      <c r="A9" s="122"/>
      <c r="B9" s="138" t="s">
        <v>24</v>
      </c>
      <c r="C9" s="159">
        <v>0.52500000000000002</v>
      </c>
      <c r="D9" s="139">
        <f>48*12*C9/16*1.15</f>
        <v>21.734999999999999</v>
      </c>
      <c r="E9" s="264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</row>
    <row r="10" spans="1:28" ht="16.5" customHeight="1" thickBot="1" x14ac:dyDescent="0.25">
      <c r="A10" s="122"/>
      <c r="B10" s="140" t="s">
        <v>17</v>
      </c>
      <c r="C10" s="160">
        <f>SUM(C4:C9)</f>
        <v>2.1</v>
      </c>
      <c r="D10" s="141">
        <f>SUM(D4,D6,D8,D9)</f>
        <v>86.94</v>
      </c>
      <c r="E10" s="265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</row>
    <row r="11" spans="1:28" ht="16.5" customHeight="1" x14ac:dyDescent="0.2">
      <c r="A11" s="122"/>
      <c r="B11" s="122"/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</row>
    <row r="12" spans="1:28" ht="16.5" customHeight="1" x14ac:dyDescent="0.2">
      <c r="A12" s="122"/>
      <c r="B12" s="258" t="s">
        <v>133</v>
      </c>
      <c r="C12" s="258"/>
      <c r="D12" s="94">
        <f>ROUNDDOWN(250/D10,2)</f>
        <v>2.87</v>
      </c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</row>
    <row r="13" spans="1:28" ht="16.5" customHeight="1" x14ac:dyDescent="0.2">
      <c r="A13" s="122"/>
      <c r="B13" s="122"/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</row>
    <row r="14" spans="1:28" ht="14.25" customHeight="1" x14ac:dyDescent="0.2">
      <c r="A14" s="122"/>
      <c r="B14" s="122" t="s">
        <v>29</v>
      </c>
      <c r="C14" s="142">
        <v>336</v>
      </c>
      <c r="D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</row>
    <row r="15" spans="1:28" ht="15.75" customHeight="1" x14ac:dyDescent="0.2">
      <c r="A15" s="122"/>
      <c r="B15" s="122"/>
      <c r="C15" s="122"/>
      <c r="D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</row>
    <row r="16" spans="1:28" ht="14.25" customHeight="1" x14ac:dyDescent="0.2">
      <c r="A16" s="122"/>
      <c r="B16" s="122" t="s">
        <v>8</v>
      </c>
      <c r="C16" s="143">
        <f>((C14*12*C10/16)*1.15)-C17</f>
        <v>608.58000000000004</v>
      </c>
      <c r="D16" s="122"/>
      <c r="F16" s="122"/>
      <c r="G16" s="122" t="s">
        <v>8</v>
      </c>
      <c r="H16" s="143">
        <f>((C14*12*H6/16)*1.15)-H17</f>
        <v>579.59999999999991</v>
      </c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</row>
    <row r="17" spans="1:28" ht="15" customHeight="1" x14ac:dyDescent="0.2">
      <c r="A17" s="122"/>
      <c r="B17" s="122" t="s">
        <v>9</v>
      </c>
      <c r="C17" s="142">
        <v>0</v>
      </c>
      <c r="D17" s="122"/>
      <c r="F17" s="122"/>
      <c r="G17" s="122" t="s">
        <v>9</v>
      </c>
      <c r="H17" s="142">
        <v>0</v>
      </c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</row>
    <row r="18" spans="1:28" x14ac:dyDescent="0.2">
      <c r="A18" s="122"/>
      <c r="B18" s="122" t="s">
        <v>10</v>
      </c>
      <c r="C18" s="143">
        <f>E3*D10</f>
        <v>608.57999999999993</v>
      </c>
      <c r="D18" s="122"/>
      <c r="F18" s="122"/>
      <c r="G18" s="122" t="s">
        <v>10</v>
      </c>
      <c r="H18" s="143">
        <f>J3*I6</f>
        <v>579.6</v>
      </c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</row>
    <row r="19" spans="1:28" x14ac:dyDescent="0.2">
      <c r="A19" s="122"/>
      <c r="B19" s="122"/>
      <c r="C19" s="122"/>
      <c r="D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</row>
    <row r="20" spans="1:28" x14ac:dyDescent="0.2">
      <c r="A20" s="122"/>
      <c r="B20" s="122" t="s">
        <v>11</v>
      </c>
      <c r="C20" s="122"/>
      <c r="D20" s="122"/>
      <c r="F20" s="122"/>
      <c r="G20" s="122" t="s">
        <v>11</v>
      </c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</row>
    <row r="21" spans="1:28" ht="41.25" x14ac:dyDescent="0.2">
      <c r="A21" s="122"/>
      <c r="B21" s="122" t="s">
        <v>21</v>
      </c>
      <c r="C21" s="143">
        <f>E3*D4</f>
        <v>152.14499999999998</v>
      </c>
      <c r="D21" s="122" t="s">
        <v>12</v>
      </c>
      <c r="F21" s="122"/>
      <c r="G21" s="198" t="s">
        <v>179</v>
      </c>
      <c r="H21" s="143">
        <f>J3*I4</f>
        <v>559.31399999999996</v>
      </c>
      <c r="I21" s="122" t="s">
        <v>12</v>
      </c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</row>
    <row r="22" spans="1:28" ht="15.75" customHeight="1" x14ac:dyDescent="0.2">
      <c r="A22" s="122"/>
      <c r="B22" s="122" t="s">
        <v>22</v>
      </c>
      <c r="C22" s="143">
        <f>E3*D6</f>
        <v>152.14499999999998</v>
      </c>
      <c r="D22" s="122" t="s">
        <v>12</v>
      </c>
      <c r="F22" s="122"/>
      <c r="G22" s="122" t="s">
        <v>33</v>
      </c>
      <c r="H22" s="143">
        <f>J3*I5</f>
        <v>20.286000000000001</v>
      </c>
      <c r="I22" s="122" t="s">
        <v>12</v>
      </c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</row>
    <row r="23" spans="1:28" ht="15.75" customHeight="1" x14ac:dyDescent="0.2">
      <c r="A23" s="122"/>
      <c r="B23" s="122" t="s">
        <v>23</v>
      </c>
      <c r="C23" s="143">
        <f>E3*D8</f>
        <v>152.14499999999998</v>
      </c>
      <c r="D23" s="122" t="s">
        <v>12</v>
      </c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</row>
    <row r="24" spans="1:28" ht="15.75" customHeight="1" x14ac:dyDescent="0.2">
      <c r="A24" s="122"/>
      <c r="B24" s="122" t="s">
        <v>24</v>
      </c>
      <c r="C24" s="143">
        <f>E3*D9</f>
        <v>152.14499999999998</v>
      </c>
      <c r="D24" s="122" t="s">
        <v>12</v>
      </c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</row>
    <row r="25" spans="1:28" ht="15.75" customHeight="1" x14ac:dyDescent="0.2">
      <c r="A25" s="122"/>
      <c r="B25" s="122" t="s">
        <v>13</v>
      </c>
      <c r="C25" s="143">
        <f>D7*E3</f>
        <v>35</v>
      </c>
      <c r="D25" s="122" t="s">
        <v>12</v>
      </c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</row>
    <row r="26" spans="1:28" ht="15.75" customHeight="1" x14ac:dyDescent="0.2">
      <c r="A26" s="122"/>
      <c r="B26" s="122" t="s">
        <v>14</v>
      </c>
      <c r="C26" s="143">
        <f>D5*E3</f>
        <v>35</v>
      </c>
      <c r="D26" s="122" t="s">
        <v>12</v>
      </c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</row>
    <row r="27" spans="1:28" ht="15.75" customHeight="1" x14ac:dyDescent="0.2">
      <c r="A27" s="122"/>
      <c r="B27" s="122"/>
      <c r="C27" s="122"/>
      <c r="D27" s="122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</row>
    <row r="28" spans="1:28" ht="15.75" customHeight="1" x14ac:dyDescent="0.2">
      <c r="A28" s="122"/>
      <c r="B28" s="122"/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</row>
    <row r="29" spans="1:28" ht="15.75" customHeight="1" x14ac:dyDescent="0.2">
      <c r="A29" s="122"/>
      <c r="B29" s="122"/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</row>
    <row r="30" spans="1:28" ht="15.75" customHeight="1" x14ac:dyDescent="0.2">
      <c r="A30" s="122"/>
      <c r="B30" s="122"/>
      <c r="C30" s="122"/>
      <c r="D30" s="122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</row>
    <row r="31" spans="1:28" ht="15.75" customHeight="1" x14ac:dyDescent="0.2">
      <c r="A31" s="122"/>
      <c r="B31" s="122"/>
      <c r="C31" s="122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</row>
    <row r="32" spans="1:28" ht="15.75" customHeight="1" x14ac:dyDescent="0.2">
      <c r="A32" s="122"/>
      <c r="B32" s="122"/>
      <c r="C32" s="122"/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</row>
    <row r="33" spans="1:28" ht="15.75" customHeight="1" x14ac:dyDescent="0.2">
      <c r="A33" s="122"/>
      <c r="B33" s="122"/>
      <c r="C33" s="122"/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</row>
    <row r="34" spans="1:28" ht="15.75" customHeight="1" x14ac:dyDescent="0.2">
      <c r="A34" s="122"/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</row>
    <row r="35" spans="1:28" ht="15.75" customHeight="1" x14ac:dyDescent="0.2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</row>
    <row r="36" spans="1:28" ht="15.75" customHeight="1" x14ac:dyDescent="0.2">
      <c r="A36" s="122"/>
      <c r="B36" s="122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</row>
    <row r="37" spans="1:28" ht="15.75" customHeight="1" x14ac:dyDescent="0.2">
      <c r="A37" s="122"/>
      <c r="B37" s="122"/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</row>
    <row r="38" spans="1:28" ht="15.75" customHeight="1" x14ac:dyDescent="0.2">
      <c r="A38" s="122"/>
      <c r="B38" s="122"/>
      <c r="C38" s="122"/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</row>
    <row r="39" spans="1:28" ht="15.75" customHeight="1" x14ac:dyDescent="0.2">
      <c r="A39" s="122"/>
      <c r="B39" s="122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</row>
    <row r="40" spans="1:28" ht="15.75" customHeight="1" x14ac:dyDescent="0.2">
      <c r="A40" s="122"/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</row>
    <row r="41" spans="1:28" ht="15.75" customHeight="1" x14ac:dyDescent="0.2">
      <c r="A41" s="122"/>
      <c r="B41" s="122"/>
      <c r="C41" s="122"/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</row>
    <row r="42" spans="1:28" ht="15.75" customHeight="1" x14ac:dyDescent="0.2">
      <c r="A42" s="122"/>
      <c r="B42" s="122"/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</row>
    <row r="43" spans="1:28" ht="15.75" customHeight="1" x14ac:dyDescent="0.2">
      <c r="A43" s="122"/>
      <c r="B43" s="122"/>
      <c r="C43" s="122"/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</row>
    <row r="44" spans="1:28" ht="15.75" customHeight="1" x14ac:dyDescent="0.2">
      <c r="A44" s="122"/>
      <c r="B44" s="122"/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</row>
    <row r="45" spans="1:28" ht="15.75" customHeight="1" x14ac:dyDescent="0.2">
      <c r="A45" s="122"/>
      <c r="B45" s="122"/>
      <c r="C45" s="122"/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</row>
    <row r="46" spans="1:28" ht="15.75" customHeight="1" x14ac:dyDescent="0.2">
      <c r="A46" s="122"/>
      <c r="B46" s="122"/>
      <c r="C46" s="122"/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</row>
    <row r="47" spans="1:28" ht="15.75" customHeight="1" x14ac:dyDescent="0.2">
      <c r="A47" s="122"/>
      <c r="B47" s="122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</row>
    <row r="48" spans="1:28" ht="15.75" customHeight="1" x14ac:dyDescent="0.2">
      <c r="A48" s="122"/>
      <c r="B48" s="122"/>
      <c r="C48" s="122"/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</row>
    <row r="49" spans="1:28" ht="15.75" customHeight="1" x14ac:dyDescent="0.2">
      <c r="A49" s="122"/>
      <c r="B49" s="122"/>
      <c r="C49" s="122"/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</row>
    <row r="50" spans="1:28" ht="15.75" customHeight="1" x14ac:dyDescent="0.2">
      <c r="A50" s="122"/>
      <c r="B50" s="122"/>
      <c r="C50" s="122"/>
      <c r="D50" s="122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</row>
    <row r="51" spans="1:28" ht="15.75" customHeight="1" x14ac:dyDescent="0.2">
      <c r="A51" s="122"/>
      <c r="B51" s="122"/>
      <c r="C51" s="122"/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</row>
    <row r="52" spans="1:28" ht="15.75" customHeight="1" x14ac:dyDescent="0.2">
      <c r="A52" s="122"/>
      <c r="B52" s="122"/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</row>
    <row r="53" spans="1:28" ht="15.75" customHeight="1" x14ac:dyDescent="0.2">
      <c r="A53" s="122"/>
      <c r="B53" s="122"/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</row>
    <row r="54" spans="1:28" ht="15.75" customHeight="1" x14ac:dyDescent="0.2">
      <c r="A54" s="122"/>
      <c r="B54" s="122"/>
      <c r="C54" s="122"/>
      <c r="D54" s="122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</row>
    <row r="55" spans="1:28" ht="15.75" customHeight="1" x14ac:dyDescent="0.2">
      <c r="A55" s="122"/>
      <c r="B55" s="122"/>
      <c r="C55" s="122"/>
      <c r="D55" s="122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</row>
    <row r="56" spans="1:28" ht="15.75" customHeight="1" x14ac:dyDescent="0.2">
      <c r="A56" s="122"/>
      <c r="B56" s="122"/>
      <c r="C56" s="122"/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</row>
    <row r="57" spans="1:28" ht="15.75" customHeight="1" x14ac:dyDescent="0.2">
      <c r="A57" s="122"/>
      <c r="B57" s="122"/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</row>
    <row r="58" spans="1:28" ht="15.75" customHeight="1" x14ac:dyDescent="0.2">
      <c r="A58" s="122"/>
      <c r="B58" s="122"/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</row>
    <row r="59" spans="1:28" ht="15.75" customHeight="1" x14ac:dyDescent="0.2">
      <c r="A59" s="122"/>
      <c r="B59" s="122"/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</row>
    <row r="60" spans="1:28" ht="15.75" customHeight="1" x14ac:dyDescent="0.2">
      <c r="A60" s="122"/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</row>
    <row r="61" spans="1:28" ht="15.75" customHeight="1" x14ac:dyDescent="0.2">
      <c r="A61" s="122"/>
      <c r="B61" s="122"/>
      <c r="C61" s="122"/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</row>
    <row r="62" spans="1:28" ht="15.75" customHeight="1" x14ac:dyDescent="0.2">
      <c r="A62" s="122"/>
      <c r="B62" s="122"/>
      <c r="C62" s="122"/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</row>
    <row r="63" spans="1:28" ht="15.75" customHeight="1" x14ac:dyDescent="0.2">
      <c r="A63" s="122"/>
      <c r="B63" s="122"/>
      <c r="C63" s="122"/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  <c r="AA63" s="122"/>
      <c r="AB63" s="122"/>
    </row>
    <row r="64" spans="1:28" ht="15.75" customHeight="1" x14ac:dyDescent="0.2">
      <c r="A64" s="122"/>
      <c r="B64" s="122"/>
      <c r="C64" s="122"/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2"/>
      <c r="AB64" s="122"/>
    </row>
    <row r="65" spans="1:28" ht="15.75" customHeight="1" x14ac:dyDescent="0.2">
      <c r="A65" s="122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</row>
    <row r="66" spans="1:28" ht="15.75" customHeight="1" x14ac:dyDescent="0.2">
      <c r="A66" s="122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</row>
    <row r="67" spans="1:28" ht="15.75" customHeight="1" x14ac:dyDescent="0.2">
      <c r="A67" s="122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</row>
    <row r="68" spans="1:28" ht="15.75" customHeight="1" x14ac:dyDescent="0.2">
      <c r="A68" s="122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</row>
    <row r="69" spans="1:28" ht="15.75" customHeight="1" x14ac:dyDescent="0.2">
      <c r="A69" s="122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</row>
    <row r="70" spans="1:28" ht="15.75" customHeight="1" x14ac:dyDescent="0.2">
      <c r="A70" s="122"/>
      <c r="B70" s="122"/>
      <c r="C70" s="122"/>
      <c r="D70" s="122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</row>
    <row r="71" spans="1:28" ht="15.75" customHeight="1" x14ac:dyDescent="0.2">
      <c r="A71" s="122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</row>
    <row r="72" spans="1:28" ht="15.75" customHeight="1" x14ac:dyDescent="0.2">
      <c r="A72" s="122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</row>
    <row r="73" spans="1:28" ht="15.75" customHeight="1" x14ac:dyDescent="0.2">
      <c r="A73" s="122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</row>
    <row r="74" spans="1:28" ht="15.75" customHeight="1" x14ac:dyDescent="0.2">
      <c r="A74" s="122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</row>
    <row r="75" spans="1:28" ht="15.75" customHeight="1" x14ac:dyDescent="0.2">
      <c r="A75" s="122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</row>
    <row r="76" spans="1:28" ht="15.75" customHeight="1" x14ac:dyDescent="0.2">
      <c r="A76" s="122"/>
      <c r="B76" s="122"/>
      <c r="C76" s="122"/>
      <c r="D76" s="122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  <c r="AA76" s="122"/>
      <c r="AB76" s="122"/>
    </row>
    <row r="77" spans="1:28" ht="15.75" customHeight="1" x14ac:dyDescent="0.2">
      <c r="A77" s="122"/>
      <c r="B77" s="122"/>
      <c r="C77" s="122"/>
      <c r="D77" s="122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  <c r="AA77" s="122"/>
      <c r="AB77" s="122"/>
    </row>
    <row r="78" spans="1:28" ht="15.75" customHeight="1" x14ac:dyDescent="0.2">
      <c r="A78" s="122"/>
      <c r="B78" s="122"/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</row>
    <row r="79" spans="1:28" ht="15.75" customHeight="1" x14ac:dyDescent="0.2">
      <c r="A79" s="122"/>
      <c r="B79" s="122"/>
      <c r="C79" s="122"/>
      <c r="D79" s="122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  <c r="AA79" s="122"/>
      <c r="AB79" s="122"/>
    </row>
    <row r="80" spans="1:28" ht="15.75" customHeight="1" x14ac:dyDescent="0.2">
      <c r="A80" s="122"/>
      <c r="B80" s="122"/>
      <c r="C80" s="122"/>
      <c r="D80" s="122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  <c r="AA80" s="122"/>
      <c r="AB80" s="122"/>
    </row>
    <row r="81" spans="1:28" ht="15.75" customHeight="1" x14ac:dyDescent="0.2">
      <c r="A81" s="122"/>
      <c r="B81" s="122"/>
      <c r="C81" s="122"/>
      <c r="D81" s="122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  <c r="AA81" s="122"/>
      <c r="AB81" s="122"/>
    </row>
    <row r="82" spans="1:28" ht="15.75" customHeight="1" x14ac:dyDescent="0.2">
      <c r="A82" s="122"/>
      <c r="B82" s="122"/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</row>
    <row r="83" spans="1:28" ht="15.75" customHeight="1" x14ac:dyDescent="0.2">
      <c r="A83" s="122"/>
      <c r="B83" s="122"/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  <c r="AA83" s="122"/>
      <c r="AB83" s="122"/>
    </row>
    <row r="84" spans="1:28" ht="15.75" customHeight="1" x14ac:dyDescent="0.2">
      <c r="A84" s="122"/>
      <c r="B84" s="122"/>
      <c r="C84" s="122"/>
      <c r="D84" s="122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  <c r="AA84" s="122"/>
      <c r="AB84" s="122"/>
    </row>
    <row r="85" spans="1:28" ht="15.75" customHeight="1" x14ac:dyDescent="0.2">
      <c r="A85" s="122"/>
      <c r="B85" s="122"/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</row>
    <row r="86" spans="1:28" ht="15.75" customHeight="1" x14ac:dyDescent="0.2">
      <c r="A86" s="122"/>
      <c r="B86" s="122"/>
      <c r="C86" s="122"/>
      <c r="D86" s="122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  <c r="AA86" s="122"/>
      <c r="AB86" s="122"/>
    </row>
    <row r="87" spans="1:28" ht="15.75" customHeight="1" x14ac:dyDescent="0.2">
      <c r="A87" s="122"/>
      <c r="B87" s="122"/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  <c r="AA87" s="122"/>
      <c r="AB87" s="122"/>
    </row>
    <row r="88" spans="1:28" ht="15.75" customHeight="1" x14ac:dyDescent="0.2">
      <c r="A88" s="122"/>
      <c r="B88" s="122"/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</row>
    <row r="89" spans="1:28" ht="15.75" customHeight="1" x14ac:dyDescent="0.2">
      <c r="A89" s="122"/>
      <c r="B89" s="122"/>
      <c r="C89" s="122"/>
      <c r="D89" s="122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  <c r="AA89" s="122"/>
      <c r="AB89" s="122"/>
    </row>
    <row r="90" spans="1:28" ht="15.75" customHeight="1" x14ac:dyDescent="0.2">
      <c r="A90" s="122"/>
      <c r="B90" s="122"/>
      <c r="C90" s="122"/>
      <c r="D90" s="122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  <c r="AA90" s="122"/>
      <c r="AB90" s="122"/>
    </row>
    <row r="91" spans="1:28" ht="15.75" customHeight="1" x14ac:dyDescent="0.2">
      <c r="A91" s="122"/>
      <c r="B91" s="122"/>
      <c r="C91" s="122"/>
      <c r="D91" s="122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  <c r="AA91" s="122"/>
      <c r="AB91" s="122"/>
    </row>
    <row r="92" spans="1:28" ht="15.75" customHeight="1" x14ac:dyDescent="0.2">
      <c r="A92" s="122"/>
      <c r="B92" s="122"/>
      <c r="C92" s="122"/>
      <c r="D92" s="122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2"/>
      <c r="AB92" s="122"/>
    </row>
    <row r="93" spans="1:28" ht="15.75" customHeight="1" x14ac:dyDescent="0.2">
      <c r="A93" s="122"/>
      <c r="B93" s="122"/>
      <c r="C93" s="122"/>
      <c r="D93" s="122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</row>
    <row r="94" spans="1:28" ht="15.75" customHeight="1" x14ac:dyDescent="0.2">
      <c r="A94" s="122"/>
      <c r="B94" s="122"/>
      <c r="C94" s="122"/>
      <c r="D94" s="122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  <c r="AA94" s="122"/>
      <c r="AB94" s="122"/>
    </row>
    <row r="95" spans="1:28" ht="15.75" customHeight="1" x14ac:dyDescent="0.2">
      <c r="A95" s="122"/>
      <c r="B95" s="122"/>
      <c r="C95" s="122"/>
      <c r="D95" s="122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  <c r="AA95" s="122"/>
      <c r="AB95" s="122"/>
    </row>
    <row r="96" spans="1:28" ht="15.75" customHeight="1" x14ac:dyDescent="0.2">
      <c r="A96" s="122"/>
      <c r="B96" s="122"/>
      <c r="C96" s="122"/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  <c r="AA96" s="122"/>
      <c r="AB96" s="122"/>
    </row>
    <row r="97" spans="1:28" ht="15.75" customHeight="1" x14ac:dyDescent="0.2">
      <c r="A97" s="122"/>
      <c r="B97" s="122"/>
      <c r="C97" s="122"/>
      <c r="D97" s="122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  <c r="AA97" s="122"/>
      <c r="AB97" s="122"/>
    </row>
    <row r="98" spans="1:28" ht="15.75" customHeight="1" x14ac:dyDescent="0.2">
      <c r="A98" s="122"/>
      <c r="B98" s="122"/>
      <c r="C98" s="122"/>
      <c r="D98" s="122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  <c r="AA98" s="122"/>
      <c r="AB98" s="122"/>
    </row>
    <row r="99" spans="1:28" ht="15.75" customHeight="1" x14ac:dyDescent="0.2">
      <c r="A99" s="122"/>
      <c r="B99" s="122"/>
      <c r="C99" s="122"/>
      <c r="D99" s="122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  <c r="AA99" s="122"/>
      <c r="AB99" s="122"/>
    </row>
    <row r="100" spans="1:28" ht="15.75" customHeight="1" x14ac:dyDescent="0.2">
      <c r="A100" s="122"/>
      <c r="B100" s="122"/>
      <c r="C100" s="122"/>
      <c r="D100" s="122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  <c r="AA100" s="122"/>
      <c r="AB100" s="122"/>
    </row>
    <row r="101" spans="1:28" ht="15.75" customHeight="1" x14ac:dyDescent="0.2">
      <c r="A101" s="122"/>
      <c r="B101" s="122"/>
      <c r="C101" s="122"/>
      <c r="D101" s="122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  <c r="AA101" s="122"/>
      <c r="AB101" s="122"/>
    </row>
    <row r="102" spans="1:28" ht="15.75" customHeight="1" x14ac:dyDescent="0.2">
      <c r="A102" s="122"/>
      <c r="B102" s="122"/>
      <c r="C102" s="122"/>
      <c r="D102" s="122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  <c r="AA102" s="122"/>
      <c r="AB102" s="122"/>
    </row>
    <row r="103" spans="1:28" ht="15.75" customHeight="1" x14ac:dyDescent="0.2">
      <c r="A103" s="122"/>
      <c r="B103" s="122"/>
      <c r="C103" s="122"/>
      <c r="D103" s="122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  <c r="AA103" s="122"/>
      <c r="AB103" s="122"/>
    </row>
    <row r="104" spans="1:28" ht="15.75" customHeight="1" x14ac:dyDescent="0.2">
      <c r="A104" s="122"/>
      <c r="B104" s="122"/>
      <c r="C104" s="122"/>
      <c r="D104" s="122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  <c r="AA104" s="122"/>
      <c r="AB104" s="122"/>
    </row>
    <row r="105" spans="1:28" ht="15.75" customHeight="1" x14ac:dyDescent="0.2">
      <c r="A105" s="122"/>
      <c r="B105" s="122"/>
      <c r="C105" s="122"/>
      <c r="D105" s="122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</row>
    <row r="106" spans="1:28" ht="15.75" customHeight="1" x14ac:dyDescent="0.2">
      <c r="A106" s="122"/>
      <c r="B106" s="122"/>
      <c r="C106" s="122"/>
      <c r="D106" s="122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2"/>
      <c r="AB106" s="122"/>
    </row>
    <row r="107" spans="1:28" ht="15.75" customHeight="1" x14ac:dyDescent="0.2">
      <c r="A107" s="122"/>
      <c r="B107" s="122"/>
      <c r="C107" s="122"/>
      <c r="D107" s="122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  <c r="AA107" s="122"/>
      <c r="AB107" s="122"/>
    </row>
    <row r="108" spans="1:28" ht="15.75" customHeight="1" x14ac:dyDescent="0.2">
      <c r="A108" s="122"/>
      <c r="B108" s="122"/>
      <c r="C108" s="122"/>
      <c r="D108" s="122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</row>
    <row r="109" spans="1:28" ht="15.75" customHeight="1" x14ac:dyDescent="0.2">
      <c r="A109" s="122"/>
      <c r="B109" s="122"/>
      <c r="C109" s="122"/>
      <c r="D109" s="122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</row>
    <row r="110" spans="1:28" ht="15.75" customHeight="1" x14ac:dyDescent="0.2">
      <c r="A110" s="122"/>
      <c r="B110" s="122"/>
      <c r="C110" s="122"/>
      <c r="D110" s="122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</row>
    <row r="111" spans="1:28" ht="15.75" customHeight="1" x14ac:dyDescent="0.2">
      <c r="A111" s="122"/>
      <c r="B111" s="122"/>
      <c r="C111" s="122"/>
      <c r="D111" s="122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  <c r="AA111" s="122"/>
      <c r="AB111" s="122"/>
    </row>
    <row r="112" spans="1:28" ht="15.75" customHeight="1" x14ac:dyDescent="0.2">
      <c r="A112" s="122"/>
      <c r="B112" s="122"/>
      <c r="C112" s="122"/>
      <c r="D112" s="122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  <c r="AA112" s="122"/>
      <c r="AB112" s="122"/>
    </row>
    <row r="113" spans="1:28" ht="15.75" customHeight="1" x14ac:dyDescent="0.2">
      <c r="A113" s="122"/>
      <c r="B113" s="122"/>
      <c r="C113" s="122"/>
      <c r="D113" s="122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  <c r="AA113" s="122"/>
      <c r="AB113" s="122"/>
    </row>
    <row r="114" spans="1:28" ht="15.75" customHeight="1" x14ac:dyDescent="0.2">
      <c r="A114" s="122"/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</row>
    <row r="115" spans="1:28" ht="15.75" customHeight="1" x14ac:dyDescent="0.2">
      <c r="A115" s="122"/>
      <c r="B115" s="122"/>
      <c r="C115" s="122"/>
      <c r="D115" s="122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  <c r="AA115" s="122"/>
      <c r="AB115" s="122"/>
    </row>
    <row r="116" spans="1:28" ht="15.75" customHeight="1" x14ac:dyDescent="0.2">
      <c r="A116" s="122"/>
      <c r="B116" s="122"/>
      <c r="C116" s="122"/>
      <c r="D116" s="122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  <c r="AA116" s="122"/>
      <c r="AB116" s="122"/>
    </row>
    <row r="117" spans="1:28" ht="15.75" customHeight="1" x14ac:dyDescent="0.2">
      <c r="A117" s="122"/>
      <c r="B117" s="122"/>
      <c r="C117" s="122"/>
      <c r="D117" s="122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  <c r="AA117" s="122"/>
      <c r="AB117" s="122"/>
    </row>
    <row r="118" spans="1:28" ht="15.75" customHeight="1" x14ac:dyDescent="0.2">
      <c r="A118" s="122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</row>
    <row r="119" spans="1:28" ht="15.75" customHeight="1" x14ac:dyDescent="0.2">
      <c r="A119" s="122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</row>
    <row r="120" spans="1:28" ht="15.75" customHeight="1" x14ac:dyDescent="0.2">
      <c r="A120" s="122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</row>
    <row r="121" spans="1:28" ht="15.75" customHeight="1" x14ac:dyDescent="0.2">
      <c r="A121" s="122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</row>
    <row r="122" spans="1:28" ht="15.75" customHeight="1" x14ac:dyDescent="0.2">
      <c r="A122" s="122"/>
      <c r="B122" s="122"/>
      <c r="C122" s="122"/>
      <c r="D122" s="122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  <c r="AA122" s="122"/>
      <c r="AB122" s="122"/>
    </row>
    <row r="123" spans="1:28" ht="15.75" customHeight="1" x14ac:dyDescent="0.2">
      <c r="A123" s="122"/>
      <c r="B123" s="122"/>
      <c r="C123" s="122"/>
      <c r="D123" s="122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  <c r="AA123" s="122"/>
      <c r="AB123" s="122"/>
    </row>
    <row r="124" spans="1:28" ht="15.75" customHeight="1" x14ac:dyDescent="0.2">
      <c r="A124" s="122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  <c r="AA124" s="122"/>
      <c r="AB124" s="122"/>
    </row>
    <row r="125" spans="1:28" ht="15.75" customHeight="1" x14ac:dyDescent="0.2">
      <c r="A125" s="122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  <c r="AA125" s="122"/>
      <c r="AB125" s="122"/>
    </row>
    <row r="126" spans="1:28" ht="15.75" customHeight="1" x14ac:dyDescent="0.2">
      <c r="A126" s="122"/>
      <c r="B126" s="122"/>
      <c r="C126" s="122"/>
      <c r="D126" s="122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  <c r="AA126" s="122"/>
      <c r="AB126" s="122"/>
    </row>
    <row r="127" spans="1:28" ht="15.75" customHeight="1" x14ac:dyDescent="0.2">
      <c r="A127" s="122"/>
      <c r="B127" s="122"/>
      <c r="C127" s="122"/>
      <c r="D127" s="122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  <c r="AA127" s="122"/>
      <c r="AB127" s="122"/>
    </row>
    <row r="128" spans="1:28" ht="15.75" customHeight="1" x14ac:dyDescent="0.2">
      <c r="A128" s="122"/>
      <c r="B128" s="122"/>
      <c r="C128" s="122"/>
      <c r="D128" s="122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  <c r="AA128" s="122"/>
      <c r="AB128" s="122"/>
    </row>
    <row r="129" spans="1:28" ht="15.75" customHeight="1" x14ac:dyDescent="0.2">
      <c r="A129" s="122"/>
      <c r="B129" s="122"/>
      <c r="C129" s="122"/>
      <c r="D129" s="122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  <c r="AA129" s="122"/>
      <c r="AB129" s="122"/>
    </row>
    <row r="130" spans="1:28" ht="15.75" customHeight="1" x14ac:dyDescent="0.2">
      <c r="A130" s="122"/>
      <c r="B130" s="122"/>
      <c r="C130" s="122"/>
      <c r="D130" s="122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  <c r="AA130" s="122"/>
      <c r="AB130" s="122"/>
    </row>
    <row r="131" spans="1:28" ht="15.75" customHeight="1" x14ac:dyDescent="0.2">
      <c r="A131" s="122"/>
      <c r="B131" s="122"/>
      <c r="C131" s="122"/>
      <c r="D131" s="122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  <c r="AA131" s="122"/>
      <c r="AB131" s="122"/>
    </row>
    <row r="132" spans="1:28" ht="15.75" customHeight="1" x14ac:dyDescent="0.2">
      <c r="A132" s="122"/>
      <c r="B132" s="122"/>
      <c r="C132" s="122"/>
      <c r="D132" s="122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  <c r="AA132" s="122"/>
      <c r="AB132" s="122"/>
    </row>
    <row r="133" spans="1:28" ht="15.75" customHeight="1" x14ac:dyDescent="0.2">
      <c r="A133" s="122"/>
      <c r="B133" s="122"/>
      <c r="C133" s="122"/>
      <c r="D133" s="122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  <c r="AA133" s="122"/>
      <c r="AB133" s="122"/>
    </row>
    <row r="134" spans="1:28" ht="15.75" customHeight="1" x14ac:dyDescent="0.2">
      <c r="A134" s="122"/>
      <c r="B134" s="122"/>
      <c r="C134" s="122"/>
      <c r="D134" s="122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  <c r="AA134" s="122"/>
      <c r="AB134" s="122"/>
    </row>
    <row r="135" spans="1:28" ht="15.75" customHeight="1" x14ac:dyDescent="0.2">
      <c r="A135" s="122"/>
      <c r="B135" s="122"/>
      <c r="C135" s="122"/>
      <c r="D135" s="122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  <c r="AA135" s="122"/>
      <c r="AB135" s="122"/>
    </row>
    <row r="136" spans="1:28" ht="15.75" customHeight="1" x14ac:dyDescent="0.2">
      <c r="A136" s="122"/>
      <c r="B136" s="122"/>
      <c r="C136" s="122"/>
      <c r="D136" s="122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  <c r="AA136" s="122"/>
      <c r="AB136" s="122"/>
    </row>
    <row r="137" spans="1:28" ht="15.75" customHeight="1" x14ac:dyDescent="0.2">
      <c r="A137" s="122"/>
      <c r="B137" s="122"/>
      <c r="C137" s="122"/>
      <c r="D137" s="122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  <c r="AA137" s="122"/>
      <c r="AB137" s="122"/>
    </row>
    <row r="138" spans="1:28" ht="15.75" customHeight="1" x14ac:dyDescent="0.2">
      <c r="A138" s="122"/>
      <c r="B138" s="122"/>
      <c r="C138" s="122"/>
      <c r="D138" s="122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  <c r="AA138" s="122"/>
      <c r="AB138" s="122"/>
    </row>
    <row r="139" spans="1:28" ht="15.75" customHeight="1" x14ac:dyDescent="0.2">
      <c r="A139" s="122"/>
      <c r="B139" s="122"/>
      <c r="C139" s="122"/>
      <c r="D139" s="122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  <c r="AA139" s="122"/>
      <c r="AB139" s="122"/>
    </row>
    <row r="140" spans="1:28" ht="15.75" customHeight="1" x14ac:dyDescent="0.2">
      <c r="A140" s="122"/>
      <c r="B140" s="122"/>
      <c r="C140" s="122"/>
      <c r="D140" s="122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  <c r="AA140" s="122"/>
      <c r="AB140" s="122"/>
    </row>
    <row r="141" spans="1:28" ht="15.75" customHeight="1" x14ac:dyDescent="0.2">
      <c r="A141" s="122"/>
      <c r="B141" s="122"/>
      <c r="C141" s="122"/>
      <c r="D141" s="122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  <c r="AA141" s="122"/>
      <c r="AB141" s="122"/>
    </row>
    <row r="142" spans="1:28" ht="15.75" customHeight="1" x14ac:dyDescent="0.2">
      <c r="A142" s="122"/>
      <c r="B142" s="122"/>
      <c r="C142" s="122"/>
      <c r="D142" s="122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</row>
    <row r="143" spans="1:28" ht="15.75" customHeight="1" x14ac:dyDescent="0.2">
      <c r="A143" s="122"/>
      <c r="B143" s="122"/>
      <c r="C143" s="122"/>
      <c r="D143" s="122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</row>
    <row r="144" spans="1:28" ht="15.75" customHeight="1" x14ac:dyDescent="0.2">
      <c r="A144" s="122"/>
      <c r="B144" s="122"/>
      <c r="C144" s="122"/>
      <c r="D144" s="122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</row>
    <row r="145" spans="1:28" ht="15.75" customHeight="1" x14ac:dyDescent="0.2">
      <c r="A145" s="122"/>
      <c r="B145" s="122"/>
      <c r="C145" s="122"/>
      <c r="D145" s="122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</row>
    <row r="146" spans="1:28" ht="15.75" customHeight="1" x14ac:dyDescent="0.2">
      <c r="A146" s="122"/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</row>
    <row r="147" spans="1:28" ht="15.75" customHeight="1" x14ac:dyDescent="0.2">
      <c r="A147" s="122"/>
      <c r="B147" s="122"/>
      <c r="C147" s="122"/>
      <c r="D147" s="122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</row>
    <row r="148" spans="1:28" ht="15.75" customHeight="1" x14ac:dyDescent="0.2">
      <c r="A148" s="122"/>
      <c r="B148" s="122"/>
      <c r="C148" s="122"/>
      <c r="D148" s="122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</row>
    <row r="149" spans="1:28" ht="15.75" customHeight="1" x14ac:dyDescent="0.2">
      <c r="A149" s="122"/>
      <c r="B149" s="122"/>
      <c r="C149" s="122"/>
      <c r="D149" s="122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</row>
    <row r="150" spans="1:28" ht="15.75" customHeight="1" x14ac:dyDescent="0.2">
      <c r="A150" s="122"/>
      <c r="B150" s="122"/>
      <c r="C150" s="122"/>
      <c r="D150" s="122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</row>
    <row r="151" spans="1:28" ht="15.75" customHeight="1" x14ac:dyDescent="0.2">
      <c r="A151" s="122"/>
      <c r="B151" s="122"/>
      <c r="C151" s="122"/>
      <c r="D151" s="122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</row>
    <row r="152" spans="1:28" ht="15.75" customHeight="1" x14ac:dyDescent="0.2">
      <c r="A152" s="122"/>
      <c r="B152" s="122"/>
      <c r="C152" s="122"/>
      <c r="D152" s="122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2"/>
      <c r="AB152" s="122"/>
    </row>
    <row r="153" spans="1:28" ht="15.75" customHeight="1" x14ac:dyDescent="0.2">
      <c r="A153" s="122"/>
      <c r="B153" s="122"/>
      <c r="C153" s="122"/>
      <c r="D153" s="122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2"/>
      <c r="AB153" s="122"/>
    </row>
    <row r="154" spans="1:28" ht="15.75" customHeight="1" x14ac:dyDescent="0.2">
      <c r="A154" s="122"/>
      <c r="B154" s="122"/>
      <c r="C154" s="122"/>
      <c r="D154" s="122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  <c r="AA154" s="122"/>
      <c r="AB154" s="122"/>
    </row>
    <row r="155" spans="1:28" ht="15.75" customHeight="1" x14ac:dyDescent="0.2">
      <c r="A155" s="122"/>
      <c r="B155" s="122"/>
      <c r="C155" s="122"/>
      <c r="D155" s="122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  <c r="AA155" s="122"/>
      <c r="AB155" s="122"/>
    </row>
    <row r="156" spans="1:28" ht="15.75" customHeight="1" x14ac:dyDescent="0.2">
      <c r="A156" s="122"/>
      <c r="B156" s="122"/>
      <c r="C156" s="122"/>
      <c r="D156" s="122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  <c r="AA156" s="122"/>
      <c r="AB156" s="122"/>
    </row>
    <row r="157" spans="1:28" ht="15.75" customHeight="1" x14ac:dyDescent="0.2">
      <c r="A157" s="122"/>
      <c r="B157" s="122"/>
      <c r="C157" s="122"/>
      <c r="D157" s="122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  <c r="AA157" s="122"/>
      <c r="AB157" s="122"/>
    </row>
    <row r="158" spans="1:28" ht="15.75" customHeight="1" x14ac:dyDescent="0.2">
      <c r="A158" s="122"/>
      <c r="B158" s="122"/>
      <c r="C158" s="122"/>
      <c r="D158" s="122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  <c r="AA158" s="122"/>
      <c r="AB158" s="122"/>
    </row>
    <row r="159" spans="1:28" ht="15.75" customHeight="1" x14ac:dyDescent="0.2">
      <c r="A159" s="122"/>
      <c r="B159" s="122"/>
      <c r="C159" s="122"/>
      <c r="D159" s="122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  <c r="AA159" s="122"/>
      <c r="AB159" s="122"/>
    </row>
    <row r="160" spans="1:28" ht="15.75" customHeight="1" x14ac:dyDescent="0.2">
      <c r="A160" s="122"/>
      <c r="B160" s="122"/>
      <c r="C160" s="122"/>
      <c r="D160" s="122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  <c r="AA160" s="122"/>
      <c r="AB160" s="122"/>
    </row>
    <row r="161" spans="1:28" ht="15.75" customHeight="1" x14ac:dyDescent="0.2">
      <c r="A161" s="122"/>
      <c r="B161" s="122"/>
      <c r="C161" s="122"/>
      <c r="D161" s="122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  <c r="AA161" s="122"/>
      <c r="AB161" s="122"/>
    </row>
    <row r="162" spans="1:28" ht="15.75" customHeight="1" x14ac:dyDescent="0.2">
      <c r="A162" s="122"/>
      <c r="B162" s="122"/>
      <c r="C162" s="122"/>
      <c r="D162" s="122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  <c r="AA162" s="122"/>
      <c r="AB162" s="122"/>
    </row>
    <row r="163" spans="1:28" ht="15.75" customHeight="1" x14ac:dyDescent="0.2">
      <c r="A163" s="122"/>
      <c r="B163" s="122"/>
      <c r="C163" s="122"/>
      <c r="D163" s="122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  <c r="AA163" s="122"/>
      <c r="AB163" s="122"/>
    </row>
    <row r="164" spans="1:28" ht="15.75" customHeight="1" x14ac:dyDescent="0.2">
      <c r="A164" s="122"/>
      <c r="B164" s="122"/>
      <c r="C164" s="122"/>
      <c r="D164" s="122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  <c r="AA164" s="122"/>
      <c r="AB164" s="122"/>
    </row>
    <row r="165" spans="1:28" ht="15.75" customHeight="1" x14ac:dyDescent="0.2">
      <c r="A165" s="122"/>
      <c r="B165" s="122"/>
      <c r="C165" s="122"/>
      <c r="D165" s="122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  <c r="AA165" s="122"/>
      <c r="AB165" s="122"/>
    </row>
    <row r="166" spans="1:28" ht="15.75" customHeight="1" x14ac:dyDescent="0.2">
      <c r="A166" s="122"/>
      <c r="B166" s="122"/>
      <c r="C166" s="122"/>
      <c r="D166" s="122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  <c r="AA166" s="122"/>
      <c r="AB166" s="122"/>
    </row>
    <row r="167" spans="1:28" ht="15.75" customHeight="1" x14ac:dyDescent="0.2">
      <c r="A167" s="122"/>
      <c r="B167" s="122"/>
      <c r="C167" s="122"/>
      <c r="D167" s="122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  <c r="AA167" s="122"/>
      <c r="AB167" s="122"/>
    </row>
    <row r="168" spans="1:28" ht="15.75" customHeight="1" x14ac:dyDescent="0.2">
      <c r="A168" s="122"/>
      <c r="B168" s="122"/>
      <c r="C168" s="122"/>
      <c r="D168" s="122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  <c r="AA168" s="122"/>
      <c r="AB168" s="122"/>
    </row>
    <row r="169" spans="1:28" ht="15.75" customHeight="1" x14ac:dyDescent="0.2">
      <c r="A169" s="122"/>
      <c r="B169" s="122"/>
      <c r="C169" s="122"/>
      <c r="D169" s="122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  <c r="AA169" s="122"/>
      <c r="AB169" s="122"/>
    </row>
    <row r="170" spans="1:28" ht="15.75" customHeight="1" x14ac:dyDescent="0.2">
      <c r="A170" s="122"/>
      <c r="B170" s="122"/>
      <c r="C170" s="122"/>
      <c r="D170" s="122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  <c r="AA170" s="122"/>
      <c r="AB170" s="122"/>
    </row>
    <row r="171" spans="1:28" ht="15.75" customHeight="1" x14ac:dyDescent="0.2">
      <c r="A171" s="122"/>
      <c r="B171" s="122"/>
      <c r="C171" s="122"/>
      <c r="D171" s="122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  <c r="AA171" s="122"/>
      <c r="AB171" s="122"/>
    </row>
    <row r="172" spans="1:28" ht="15.75" customHeight="1" x14ac:dyDescent="0.2">
      <c r="A172" s="122"/>
      <c r="B172" s="122"/>
      <c r="C172" s="122"/>
      <c r="D172" s="122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  <c r="AA172" s="122"/>
      <c r="AB172" s="122"/>
    </row>
    <row r="173" spans="1:28" ht="15.75" customHeight="1" x14ac:dyDescent="0.2">
      <c r="A173" s="122"/>
      <c r="B173" s="122"/>
      <c r="C173" s="122"/>
      <c r="D173" s="122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  <c r="AA173" s="122"/>
      <c r="AB173" s="122"/>
    </row>
    <row r="174" spans="1:28" ht="15.75" customHeight="1" x14ac:dyDescent="0.2">
      <c r="A174" s="122"/>
      <c r="B174" s="122"/>
      <c r="C174" s="122"/>
      <c r="D174" s="122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  <c r="AA174" s="122"/>
      <c r="AB174" s="122"/>
    </row>
    <row r="175" spans="1:28" ht="15.75" customHeight="1" x14ac:dyDescent="0.2">
      <c r="A175" s="122"/>
      <c r="B175" s="122"/>
      <c r="C175" s="122"/>
      <c r="D175" s="122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  <c r="AA175" s="122"/>
      <c r="AB175" s="122"/>
    </row>
    <row r="176" spans="1:28" ht="15.75" customHeight="1" x14ac:dyDescent="0.2">
      <c r="A176" s="122"/>
      <c r="B176" s="122"/>
      <c r="C176" s="122"/>
      <c r="D176" s="122"/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  <c r="AA176" s="122"/>
      <c r="AB176" s="122"/>
    </row>
    <row r="177" spans="1:28" ht="15.75" customHeight="1" x14ac:dyDescent="0.2">
      <c r="A177" s="122"/>
      <c r="B177" s="122"/>
      <c r="C177" s="122"/>
      <c r="D177" s="122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  <c r="AA177" s="122"/>
      <c r="AB177" s="122"/>
    </row>
    <row r="178" spans="1:28" ht="15.75" customHeight="1" x14ac:dyDescent="0.2">
      <c r="A178" s="122"/>
      <c r="B178" s="122"/>
      <c r="C178" s="122"/>
      <c r="D178" s="122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  <c r="AA178" s="122"/>
      <c r="AB178" s="122"/>
    </row>
    <row r="179" spans="1:28" ht="15.75" customHeight="1" x14ac:dyDescent="0.2">
      <c r="A179" s="122"/>
      <c r="B179" s="122"/>
      <c r="C179" s="122"/>
      <c r="D179" s="122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  <c r="AA179" s="122"/>
      <c r="AB179" s="122"/>
    </row>
    <row r="180" spans="1:28" ht="15.75" customHeight="1" x14ac:dyDescent="0.2">
      <c r="A180" s="122"/>
      <c r="B180" s="122"/>
      <c r="C180" s="122"/>
      <c r="D180" s="122"/>
      <c r="E180" s="122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  <c r="AA180" s="122"/>
      <c r="AB180" s="122"/>
    </row>
    <row r="181" spans="1:28" ht="15.75" customHeight="1" x14ac:dyDescent="0.2">
      <c r="A181" s="122"/>
      <c r="B181" s="122"/>
      <c r="C181" s="122"/>
      <c r="D181" s="122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  <c r="AA181" s="122"/>
      <c r="AB181" s="122"/>
    </row>
    <row r="182" spans="1:28" ht="15.75" customHeight="1" x14ac:dyDescent="0.2">
      <c r="A182" s="122"/>
      <c r="B182" s="122"/>
      <c r="C182" s="122"/>
      <c r="D182" s="122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  <c r="AA182" s="122"/>
      <c r="AB182" s="122"/>
    </row>
    <row r="183" spans="1:28" ht="15.75" customHeight="1" x14ac:dyDescent="0.2">
      <c r="A183" s="122"/>
      <c r="B183" s="122"/>
      <c r="C183" s="122"/>
      <c r="D183" s="122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  <c r="AA183" s="122"/>
      <c r="AB183" s="122"/>
    </row>
    <row r="184" spans="1:28" ht="15.75" customHeight="1" x14ac:dyDescent="0.2">
      <c r="A184" s="122"/>
      <c r="B184" s="122"/>
      <c r="C184" s="122"/>
      <c r="D184" s="122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  <c r="AA184" s="122"/>
      <c r="AB184" s="122"/>
    </row>
    <row r="185" spans="1:28" ht="15.75" customHeight="1" x14ac:dyDescent="0.2">
      <c r="A185" s="122"/>
      <c r="B185" s="122"/>
      <c r="C185" s="122"/>
      <c r="D185" s="122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  <c r="AA185" s="122"/>
      <c r="AB185" s="122"/>
    </row>
    <row r="186" spans="1:28" ht="15.75" customHeight="1" x14ac:dyDescent="0.2">
      <c r="A186" s="122"/>
      <c r="B186" s="122"/>
      <c r="C186" s="122"/>
      <c r="D186" s="122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  <c r="AA186" s="122"/>
      <c r="AB186" s="122"/>
    </row>
    <row r="187" spans="1:28" ht="15.75" customHeight="1" x14ac:dyDescent="0.2">
      <c r="A187" s="122"/>
      <c r="B187" s="122"/>
      <c r="C187" s="122"/>
      <c r="D187" s="122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  <c r="AA187" s="122"/>
      <c r="AB187" s="122"/>
    </row>
    <row r="188" spans="1:28" ht="15.75" customHeight="1" x14ac:dyDescent="0.2">
      <c r="A188" s="122"/>
      <c r="B188" s="122"/>
      <c r="C188" s="122"/>
      <c r="D188" s="122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  <c r="AA188" s="122"/>
      <c r="AB188" s="122"/>
    </row>
    <row r="189" spans="1:28" ht="15.75" customHeight="1" x14ac:dyDescent="0.2">
      <c r="A189" s="122"/>
      <c r="B189" s="122"/>
      <c r="C189" s="122"/>
      <c r="D189" s="122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  <c r="AA189" s="122"/>
      <c r="AB189" s="122"/>
    </row>
    <row r="190" spans="1:28" ht="15.75" customHeight="1" x14ac:dyDescent="0.2">
      <c r="A190" s="122"/>
      <c r="B190" s="122"/>
      <c r="C190" s="122"/>
      <c r="D190" s="122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  <c r="AA190" s="122"/>
      <c r="AB190" s="122"/>
    </row>
    <row r="191" spans="1:28" ht="15.75" customHeight="1" x14ac:dyDescent="0.2">
      <c r="A191" s="122"/>
      <c r="B191" s="122"/>
      <c r="C191" s="122"/>
      <c r="D191" s="122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  <c r="AA191" s="122"/>
      <c r="AB191" s="122"/>
    </row>
    <row r="192" spans="1:28" ht="15.75" customHeight="1" x14ac:dyDescent="0.2">
      <c r="A192" s="122"/>
      <c r="B192" s="122"/>
      <c r="C192" s="122"/>
      <c r="D192" s="122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  <c r="AA192" s="122"/>
      <c r="AB192" s="122"/>
    </row>
    <row r="193" spans="1:28" ht="15.75" customHeight="1" x14ac:dyDescent="0.2">
      <c r="A193" s="122"/>
      <c r="B193" s="122"/>
      <c r="C193" s="122"/>
      <c r="D193" s="122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  <c r="AA193" s="122"/>
      <c r="AB193" s="122"/>
    </row>
    <row r="194" spans="1:28" ht="15.75" customHeight="1" x14ac:dyDescent="0.2">
      <c r="A194" s="122"/>
      <c r="B194" s="122"/>
      <c r="C194" s="122"/>
      <c r="D194" s="122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  <c r="AA194" s="122"/>
      <c r="AB194" s="122"/>
    </row>
    <row r="195" spans="1:28" ht="15.75" customHeight="1" x14ac:dyDescent="0.2">
      <c r="A195" s="122"/>
      <c r="B195" s="122"/>
      <c r="C195" s="122"/>
      <c r="D195" s="122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  <c r="AA195" s="122"/>
      <c r="AB195" s="122"/>
    </row>
    <row r="196" spans="1:28" ht="15.75" customHeight="1" x14ac:dyDescent="0.2">
      <c r="A196" s="122"/>
      <c r="B196" s="122"/>
      <c r="C196" s="122"/>
      <c r="D196" s="122"/>
      <c r="E196" s="122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  <c r="AA196" s="122"/>
      <c r="AB196" s="122"/>
    </row>
    <row r="197" spans="1:28" ht="15.75" customHeight="1" x14ac:dyDescent="0.2">
      <c r="A197" s="122"/>
      <c r="B197" s="122"/>
      <c r="C197" s="122"/>
      <c r="D197" s="122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  <c r="AA197" s="122"/>
      <c r="AB197" s="122"/>
    </row>
    <row r="198" spans="1:28" ht="15.75" customHeight="1" x14ac:dyDescent="0.2">
      <c r="A198" s="122"/>
      <c r="B198" s="122"/>
      <c r="C198" s="122"/>
      <c r="D198" s="122"/>
      <c r="E198" s="122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  <c r="AA198" s="122"/>
      <c r="AB198" s="122"/>
    </row>
    <row r="199" spans="1:28" ht="15.75" customHeight="1" x14ac:dyDescent="0.2">
      <c r="A199" s="122"/>
      <c r="B199" s="122"/>
      <c r="C199" s="122"/>
      <c r="D199" s="122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  <c r="AA199" s="122"/>
      <c r="AB199" s="122"/>
    </row>
    <row r="200" spans="1:28" ht="15.75" customHeight="1" x14ac:dyDescent="0.2">
      <c r="A200" s="122"/>
      <c r="B200" s="122"/>
      <c r="C200" s="122"/>
      <c r="D200" s="122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  <c r="AA200" s="122"/>
      <c r="AB200" s="122"/>
    </row>
    <row r="201" spans="1:28" ht="15.75" customHeight="1" x14ac:dyDescent="0.2">
      <c r="A201" s="122"/>
      <c r="B201" s="122"/>
      <c r="C201" s="122"/>
      <c r="D201" s="122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  <c r="AA201" s="122"/>
      <c r="AB201" s="122"/>
    </row>
    <row r="202" spans="1:28" ht="15.75" customHeight="1" x14ac:dyDescent="0.2">
      <c r="A202" s="122"/>
      <c r="B202" s="122"/>
      <c r="C202" s="122"/>
      <c r="D202" s="122"/>
      <c r="E202" s="122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  <c r="AA202" s="122"/>
      <c r="AB202" s="122"/>
    </row>
    <row r="203" spans="1:28" ht="15.75" customHeight="1" x14ac:dyDescent="0.2">
      <c r="A203" s="122"/>
      <c r="B203" s="122"/>
      <c r="C203" s="122"/>
      <c r="D203" s="122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  <c r="AA203" s="122"/>
      <c r="AB203" s="122"/>
    </row>
    <row r="204" spans="1:28" ht="15.75" customHeight="1" x14ac:dyDescent="0.2">
      <c r="A204" s="122"/>
      <c r="B204" s="122"/>
      <c r="C204" s="122"/>
      <c r="D204" s="122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  <c r="AA204" s="122"/>
      <c r="AB204" s="122"/>
    </row>
    <row r="205" spans="1:28" ht="15.75" customHeight="1" x14ac:dyDescent="0.2">
      <c r="A205" s="122"/>
      <c r="B205" s="122"/>
      <c r="C205" s="122"/>
      <c r="D205" s="122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  <c r="AA205" s="122"/>
      <c r="AB205" s="122"/>
    </row>
    <row r="206" spans="1:28" ht="15.75" customHeight="1" x14ac:dyDescent="0.2">
      <c r="A206" s="122"/>
      <c r="B206" s="122"/>
      <c r="C206" s="122"/>
      <c r="D206" s="122"/>
      <c r="E206" s="122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  <c r="AA206" s="122"/>
      <c r="AB206" s="122"/>
    </row>
    <row r="207" spans="1:28" ht="15.75" customHeight="1" x14ac:dyDescent="0.2">
      <c r="A207" s="122"/>
      <c r="B207" s="122"/>
      <c r="C207" s="122"/>
      <c r="D207" s="122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  <c r="AA207" s="122"/>
      <c r="AB207" s="122"/>
    </row>
    <row r="208" spans="1:28" ht="15.75" customHeight="1" x14ac:dyDescent="0.2">
      <c r="A208" s="122"/>
      <c r="B208" s="122"/>
      <c r="C208" s="122"/>
      <c r="D208" s="122"/>
      <c r="E208" s="122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  <c r="AA208" s="122"/>
      <c r="AB208" s="122"/>
    </row>
    <row r="209" spans="1:28" ht="15.75" customHeight="1" x14ac:dyDescent="0.2">
      <c r="A209" s="122"/>
      <c r="B209" s="122"/>
      <c r="C209" s="122"/>
      <c r="D209" s="122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  <c r="AA209" s="122"/>
      <c r="AB209" s="122"/>
    </row>
    <row r="210" spans="1:28" ht="15.75" customHeight="1" x14ac:dyDescent="0.2">
      <c r="A210" s="122"/>
      <c r="B210" s="122"/>
      <c r="C210" s="122"/>
      <c r="D210" s="122"/>
      <c r="E210" s="122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  <c r="AA210" s="122"/>
      <c r="AB210" s="122"/>
    </row>
    <row r="211" spans="1:28" ht="15.75" customHeight="1" x14ac:dyDescent="0.2">
      <c r="A211" s="122"/>
      <c r="B211" s="122"/>
      <c r="C211" s="122"/>
      <c r="D211" s="122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  <c r="AA211" s="122"/>
      <c r="AB211" s="122"/>
    </row>
    <row r="212" spans="1:28" ht="15.75" customHeight="1" x14ac:dyDescent="0.2">
      <c r="A212" s="122"/>
      <c r="B212" s="122"/>
      <c r="C212" s="122"/>
      <c r="D212" s="122"/>
      <c r="E212" s="122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  <c r="AA212" s="122"/>
      <c r="AB212" s="122"/>
    </row>
    <row r="213" spans="1:28" ht="15.75" customHeight="1" x14ac:dyDescent="0.2">
      <c r="A213" s="122"/>
      <c r="B213" s="122"/>
      <c r="C213" s="122"/>
      <c r="D213" s="122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  <c r="AA213" s="122"/>
      <c r="AB213" s="122"/>
    </row>
    <row r="214" spans="1:28" ht="15.75" customHeight="1" x14ac:dyDescent="0.2">
      <c r="A214" s="122"/>
      <c r="B214" s="122"/>
      <c r="C214" s="122"/>
      <c r="D214" s="122"/>
      <c r="E214" s="122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  <c r="AA214" s="122"/>
      <c r="AB214" s="122"/>
    </row>
    <row r="215" spans="1:28" ht="15.75" customHeight="1" x14ac:dyDescent="0.2">
      <c r="A215" s="122"/>
      <c r="B215" s="122"/>
      <c r="C215" s="122"/>
      <c r="D215" s="122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  <c r="AA215" s="122"/>
      <c r="AB215" s="122"/>
    </row>
    <row r="216" spans="1:28" ht="15.75" customHeight="1" x14ac:dyDescent="0.2">
      <c r="A216" s="122"/>
      <c r="B216" s="122"/>
      <c r="C216" s="122"/>
      <c r="D216" s="122"/>
      <c r="E216" s="122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  <c r="AA216" s="122"/>
      <c r="AB216" s="122"/>
    </row>
    <row r="217" spans="1:28" ht="15.75" customHeight="1" x14ac:dyDescent="0.2">
      <c r="A217" s="122"/>
      <c r="B217" s="122"/>
      <c r="C217" s="122"/>
      <c r="D217" s="122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  <c r="AA217" s="122"/>
      <c r="AB217" s="122"/>
    </row>
    <row r="218" spans="1:28" ht="15.75" customHeight="1" x14ac:dyDescent="0.2">
      <c r="A218" s="122"/>
      <c r="B218" s="122"/>
      <c r="C218" s="122"/>
      <c r="D218" s="122"/>
      <c r="E218" s="122"/>
      <c r="F218" s="12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  <c r="AA218" s="122"/>
      <c r="AB218" s="122"/>
    </row>
    <row r="219" spans="1:28" ht="15.75" customHeight="1" x14ac:dyDescent="0.2">
      <c r="A219" s="122"/>
      <c r="B219" s="122"/>
      <c r="C219" s="122"/>
      <c r="D219" s="122"/>
      <c r="E219" s="122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  <c r="AA219" s="122"/>
      <c r="AB219" s="122"/>
    </row>
    <row r="220" spans="1:28" ht="15.75" customHeight="1" x14ac:dyDescent="0.2">
      <c r="A220" s="122"/>
      <c r="B220" s="122"/>
      <c r="C220" s="122"/>
      <c r="D220" s="122"/>
      <c r="E220" s="122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  <c r="AA220" s="122"/>
      <c r="AB220" s="122"/>
    </row>
    <row r="221" spans="1:28" ht="15.75" customHeight="1" x14ac:dyDescent="0.2">
      <c r="A221" s="122"/>
      <c r="B221" s="122"/>
      <c r="C221" s="122"/>
      <c r="D221" s="122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  <c r="AA221" s="122"/>
      <c r="AB221" s="122"/>
    </row>
    <row r="222" spans="1:28" ht="15.75" customHeight="1" x14ac:dyDescent="0.2">
      <c r="A222" s="122"/>
      <c r="B222" s="122"/>
      <c r="C222" s="122"/>
      <c r="D222" s="122"/>
      <c r="E222" s="122"/>
      <c r="F222" s="122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  <c r="AA222" s="122"/>
      <c r="AB222" s="122"/>
    </row>
    <row r="223" spans="1:28" ht="15.75" customHeight="1" x14ac:dyDescent="0.2">
      <c r="A223" s="122"/>
      <c r="B223" s="122"/>
      <c r="C223" s="122"/>
      <c r="D223" s="122"/>
      <c r="E223" s="122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  <c r="AA223" s="122"/>
      <c r="AB223" s="122"/>
    </row>
    <row r="224" spans="1:28" ht="15.75" customHeight="1" x14ac:dyDescent="0.2">
      <c r="A224" s="122"/>
      <c r="B224" s="122"/>
      <c r="C224" s="122"/>
      <c r="D224" s="122"/>
      <c r="E224" s="122"/>
      <c r="F224" s="122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  <c r="AA224" s="122"/>
      <c r="AB224" s="122"/>
    </row>
    <row r="225" spans="1:28" ht="15.75" customHeight="1" x14ac:dyDescent="0.2">
      <c r="A225" s="122"/>
      <c r="B225" s="122"/>
      <c r="C225" s="122"/>
      <c r="D225" s="122"/>
      <c r="E225" s="122"/>
      <c r="F225" s="12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  <c r="AA225" s="122"/>
      <c r="AB225" s="122"/>
    </row>
    <row r="226" spans="1:28" ht="15.75" customHeight="1" x14ac:dyDescent="0.2">
      <c r="A226" s="122"/>
      <c r="B226" s="122"/>
      <c r="C226" s="122"/>
      <c r="D226" s="122"/>
      <c r="E226" s="122"/>
      <c r="F226" s="12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  <c r="AA226" s="122"/>
      <c r="AB226" s="122"/>
    </row>
    <row r="227" spans="1:28" ht="15.75" customHeight="1" x14ac:dyDescent="0.2">
      <c r="A227" s="122"/>
      <c r="B227" s="122"/>
      <c r="C227" s="122"/>
      <c r="D227" s="122"/>
      <c r="E227" s="122"/>
      <c r="F227" s="12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  <c r="AA227" s="122"/>
      <c r="AB227" s="122"/>
    </row>
    <row r="228" spans="1:28" ht="15.75" customHeight="1" x14ac:dyDescent="0.2">
      <c r="A228" s="122"/>
      <c r="B228" s="122"/>
      <c r="C228" s="122"/>
      <c r="D228" s="122"/>
      <c r="E228" s="122"/>
      <c r="F228" s="122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  <c r="AA228" s="122"/>
      <c r="AB228" s="122"/>
    </row>
    <row r="229" spans="1:28" ht="15.75" customHeight="1" x14ac:dyDescent="0.2">
      <c r="A229" s="122"/>
      <c r="B229" s="122"/>
      <c r="C229" s="122"/>
      <c r="D229" s="122"/>
      <c r="E229" s="122"/>
      <c r="F229" s="12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  <c r="AA229" s="122"/>
      <c r="AB229" s="122"/>
    </row>
    <row r="230" spans="1:28" ht="15.75" customHeight="1" x14ac:dyDescent="0.2">
      <c r="A230" s="122"/>
      <c r="B230" s="122"/>
      <c r="C230" s="122"/>
      <c r="D230" s="122"/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  <c r="AA230" s="122"/>
      <c r="AB230" s="122"/>
    </row>
    <row r="231" spans="1:28" ht="15.75" customHeight="1" x14ac:dyDescent="0.2">
      <c r="A231" s="122"/>
      <c r="B231" s="122"/>
      <c r="C231" s="122"/>
      <c r="D231" s="122"/>
      <c r="E231" s="122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  <c r="AA231" s="122"/>
      <c r="AB231" s="122"/>
    </row>
    <row r="232" spans="1:28" ht="15.75" customHeight="1" x14ac:dyDescent="0.2">
      <c r="A232" s="122"/>
      <c r="B232" s="122"/>
      <c r="C232" s="122"/>
      <c r="D232" s="122"/>
      <c r="E232" s="122"/>
      <c r="F232" s="122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  <c r="AA232" s="122"/>
      <c r="AB232" s="122"/>
    </row>
    <row r="233" spans="1:28" ht="15.75" customHeight="1" x14ac:dyDescent="0.2">
      <c r="A233" s="122"/>
      <c r="B233" s="122"/>
      <c r="C233" s="122"/>
      <c r="D233" s="122"/>
      <c r="E233" s="122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  <c r="AA233" s="122"/>
      <c r="AB233" s="122"/>
    </row>
    <row r="234" spans="1:28" ht="15.75" customHeight="1" x14ac:dyDescent="0.2">
      <c r="A234" s="122"/>
      <c r="B234" s="122"/>
      <c r="C234" s="122"/>
      <c r="D234" s="122"/>
      <c r="E234" s="122"/>
      <c r="F234" s="122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  <c r="AA234" s="122"/>
      <c r="AB234" s="122"/>
    </row>
    <row r="235" spans="1:28" ht="15.75" customHeight="1" x14ac:dyDescent="0.2">
      <c r="A235" s="122"/>
      <c r="B235" s="122"/>
      <c r="C235" s="122"/>
      <c r="D235" s="122"/>
      <c r="E235" s="122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  <c r="AA235" s="122"/>
      <c r="AB235" s="122"/>
    </row>
    <row r="236" spans="1:28" ht="15.75" customHeight="1" x14ac:dyDescent="0.2">
      <c r="A236" s="122"/>
      <c r="B236" s="122"/>
      <c r="C236" s="122"/>
      <c r="D236" s="122"/>
      <c r="E236" s="122"/>
      <c r="F236" s="122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  <c r="AA236" s="122"/>
      <c r="AB236" s="122"/>
    </row>
    <row r="237" spans="1:28" ht="15.75" customHeight="1" x14ac:dyDescent="0.2">
      <c r="A237" s="122"/>
      <c r="B237" s="122"/>
      <c r="C237" s="122"/>
      <c r="D237" s="122"/>
      <c r="E237" s="122"/>
      <c r="F237" s="122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  <c r="AA237" s="122"/>
      <c r="AB237" s="122"/>
    </row>
    <row r="238" spans="1:28" ht="15.75" customHeight="1" x14ac:dyDescent="0.2">
      <c r="A238" s="122"/>
      <c r="B238" s="122"/>
      <c r="C238" s="122"/>
      <c r="D238" s="122"/>
      <c r="E238" s="122"/>
      <c r="F238" s="122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  <c r="AA238" s="122"/>
      <c r="AB238" s="122"/>
    </row>
    <row r="239" spans="1:28" ht="15.75" customHeight="1" x14ac:dyDescent="0.2">
      <c r="A239" s="122"/>
      <c r="B239" s="122"/>
      <c r="C239" s="122"/>
      <c r="D239" s="122"/>
      <c r="E239" s="122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  <c r="AA239" s="122"/>
      <c r="AB239" s="122"/>
    </row>
    <row r="240" spans="1:28" ht="15.75" customHeight="1" x14ac:dyDescent="0.2">
      <c r="A240" s="122"/>
      <c r="B240" s="122"/>
      <c r="C240" s="122"/>
      <c r="D240" s="122"/>
      <c r="E240" s="122"/>
      <c r="F240" s="122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  <c r="AA240" s="122"/>
      <c r="AB240" s="122"/>
    </row>
    <row r="241" spans="1:28" ht="15.75" customHeight="1" x14ac:dyDescent="0.2">
      <c r="A241" s="122"/>
      <c r="B241" s="122"/>
      <c r="C241" s="122"/>
      <c r="D241" s="122"/>
      <c r="E241" s="122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  <c r="AA241" s="122"/>
      <c r="AB241" s="122"/>
    </row>
    <row r="242" spans="1:28" ht="15.75" customHeight="1" x14ac:dyDescent="0.2">
      <c r="A242" s="122"/>
      <c r="B242" s="122"/>
      <c r="C242" s="122"/>
      <c r="D242" s="122"/>
      <c r="E242" s="122"/>
      <c r="F242" s="122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  <c r="AA242" s="122"/>
      <c r="AB242" s="122"/>
    </row>
    <row r="243" spans="1:28" ht="15.75" customHeight="1" x14ac:dyDescent="0.2">
      <c r="A243" s="122"/>
      <c r="B243" s="122"/>
      <c r="C243" s="122"/>
      <c r="D243" s="122"/>
      <c r="E243" s="122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  <c r="AA243" s="122"/>
      <c r="AB243" s="122"/>
    </row>
    <row r="244" spans="1:28" ht="15.75" customHeight="1" x14ac:dyDescent="0.2">
      <c r="A244" s="122"/>
      <c r="B244" s="122"/>
      <c r="C244" s="122"/>
      <c r="D244" s="122"/>
      <c r="E244" s="122"/>
      <c r="F244" s="122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  <c r="AA244" s="122"/>
      <c r="AB244" s="122"/>
    </row>
    <row r="245" spans="1:28" ht="15.75" customHeight="1" x14ac:dyDescent="0.2">
      <c r="A245" s="122"/>
      <c r="B245" s="122"/>
      <c r="C245" s="122"/>
      <c r="D245" s="122"/>
      <c r="E245" s="122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  <c r="AA245" s="122"/>
      <c r="AB245" s="122"/>
    </row>
    <row r="246" spans="1:28" ht="15.75" customHeight="1" x14ac:dyDescent="0.2">
      <c r="A246" s="122"/>
      <c r="B246" s="122"/>
      <c r="C246" s="122"/>
      <c r="D246" s="122"/>
      <c r="E246" s="122"/>
      <c r="F246" s="122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  <c r="AA246" s="122"/>
      <c r="AB246" s="122"/>
    </row>
    <row r="247" spans="1:28" ht="15.75" customHeight="1" x14ac:dyDescent="0.2">
      <c r="A247" s="122"/>
      <c r="B247" s="122"/>
      <c r="C247" s="122"/>
      <c r="D247" s="122"/>
      <c r="E247" s="122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  <c r="AA247" s="122"/>
      <c r="AB247" s="122"/>
    </row>
    <row r="248" spans="1:28" ht="15.75" customHeight="1" x14ac:dyDescent="0.2">
      <c r="A248" s="122"/>
      <c r="B248" s="122"/>
      <c r="C248" s="122"/>
      <c r="D248" s="122"/>
      <c r="E248" s="122"/>
      <c r="F248" s="122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  <c r="AA248" s="122"/>
      <c r="AB248" s="122"/>
    </row>
    <row r="249" spans="1:28" ht="15.75" customHeight="1" x14ac:dyDescent="0.2">
      <c r="A249" s="122"/>
      <c r="B249" s="122"/>
      <c r="C249" s="122"/>
      <c r="D249" s="122"/>
      <c r="E249" s="122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  <c r="AA249" s="122"/>
      <c r="AB249" s="122"/>
    </row>
    <row r="250" spans="1:28" ht="15.75" customHeight="1" x14ac:dyDescent="0.2">
      <c r="A250" s="122"/>
      <c r="B250" s="122"/>
      <c r="C250" s="122"/>
      <c r="D250" s="122"/>
      <c r="E250" s="122"/>
      <c r="F250" s="122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  <c r="AA250" s="122"/>
      <c r="AB250" s="122"/>
    </row>
    <row r="251" spans="1:28" ht="15.75" customHeight="1" x14ac:dyDescent="0.2">
      <c r="A251" s="122"/>
      <c r="B251" s="122"/>
      <c r="C251" s="122"/>
      <c r="D251" s="122"/>
      <c r="E251" s="122"/>
      <c r="F251" s="122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  <c r="AA251" s="122"/>
      <c r="AB251" s="122"/>
    </row>
    <row r="252" spans="1:28" ht="15.75" customHeight="1" x14ac:dyDescent="0.2">
      <c r="A252" s="122"/>
      <c r="B252" s="122"/>
      <c r="C252" s="122"/>
      <c r="D252" s="122"/>
      <c r="E252" s="122"/>
      <c r="F252" s="122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  <c r="AA252" s="122"/>
      <c r="AB252" s="122"/>
    </row>
    <row r="253" spans="1:28" ht="15.75" customHeight="1" x14ac:dyDescent="0.2">
      <c r="A253" s="122"/>
      <c r="B253" s="122"/>
      <c r="C253" s="122"/>
      <c r="D253" s="122"/>
      <c r="E253" s="122"/>
      <c r="F253" s="122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  <c r="AA253" s="122"/>
      <c r="AB253" s="122"/>
    </row>
    <row r="254" spans="1:28" ht="15.75" customHeight="1" x14ac:dyDescent="0.2">
      <c r="A254" s="122"/>
      <c r="B254" s="122"/>
      <c r="C254" s="122"/>
      <c r="D254" s="122"/>
      <c r="E254" s="122"/>
      <c r="F254" s="122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  <c r="AA254" s="122"/>
      <c r="AB254" s="122"/>
    </row>
    <row r="255" spans="1:28" ht="15.75" customHeight="1" x14ac:dyDescent="0.2">
      <c r="A255" s="122"/>
      <c r="B255" s="122"/>
      <c r="C255" s="122"/>
      <c r="D255" s="122"/>
      <c r="E255" s="122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  <c r="AA255" s="122"/>
      <c r="AB255" s="122"/>
    </row>
    <row r="256" spans="1:28" ht="15.75" customHeight="1" x14ac:dyDescent="0.2">
      <c r="A256" s="122"/>
      <c r="B256" s="122"/>
      <c r="C256" s="122"/>
      <c r="D256" s="122"/>
      <c r="E256" s="122"/>
      <c r="F256" s="122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  <c r="AA256" s="122"/>
      <c r="AB256" s="122"/>
    </row>
    <row r="257" spans="1:28" ht="15.75" customHeight="1" x14ac:dyDescent="0.2">
      <c r="A257" s="122"/>
      <c r="B257" s="122"/>
      <c r="C257" s="122"/>
      <c r="D257" s="122"/>
      <c r="E257" s="122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  <c r="AA257" s="122"/>
      <c r="AB257" s="122"/>
    </row>
    <row r="258" spans="1:28" ht="15.75" customHeight="1" x14ac:dyDescent="0.2">
      <c r="A258" s="122"/>
      <c r="B258" s="122"/>
      <c r="C258" s="122"/>
      <c r="D258" s="122"/>
      <c r="E258" s="122"/>
      <c r="F258" s="122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  <c r="AA258" s="122"/>
      <c r="AB258" s="122"/>
    </row>
    <row r="259" spans="1:28" ht="15.75" customHeight="1" x14ac:dyDescent="0.2">
      <c r="A259" s="122"/>
      <c r="B259" s="122"/>
      <c r="C259" s="122"/>
      <c r="D259" s="122"/>
      <c r="E259" s="122"/>
      <c r="F259" s="122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  <c r="AA259" s="122"/>
      <c r="AB259" s="122"/>
    </row>
    <row r="260" spans="1:28" ht="15.75" customHeight="1" x14ac:dyDescent="0.2">
      <c r="A260" s="122"/>
      <c r="B260" s="122"/>
      <c r="C260" s="122"/>
      <c r="D260" s="122"/>
      <c r="E260" s="122"/>
      <c r="F260" s="122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  <c r="AA260" s="122"/>
      <c r="AB260" s="122"/>
    </row>
    <row r="261" spans="1:28" ht="15.75" customHeight="1" x14ac:dyDescent="0.2">
      <c r="A261" s="122"/>
      <c r="B261" s="122"/>
      <c r="C261" s="122"/>
      <c r="D261" s="122"/>
      <c r="E261" s="122"/>
      <c r="F261" s="122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  <c r="AA261" s="122"/>
      <c r="AB261" s="122"/>
    </row>
    <row r="262" spans="1:28" ht="15.75" customHeight="1" x14ac:dyDescent="0.2">
      <c r="A262" s="122"/>
      <c r="B262" s="122"/>
      <c r="C262" s="122"/>
      <c r="D262" s="122"/>
      <c r="E262" s="122"/>
      <c r="F262" s="122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  <c r="AA262" s="122"/>
      <c r="AB262" s="122"/>
    </row>
    <row r="263" spans="1:28" ht="15.75" customHeight="1" x14ac:dyDescent="0.2">
      <c r="A263" s="122"/>
      <c r="B263" s="122"/>
      <c r="C263" s="122"/>
      <c r="D263" s="122"/>
      <c r="E263" s="122"/>
      <c r="F263" s="122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  <c r="AA263" s="122"/>
      <c r="AB263" s="122"/>
    </row>
    <row r="264" spans="1:28" ht="15.75" customHeight="1" x14ac:dyDescent="0.2">
      <c r="A264" s="122"/>
      <c r="B264" s="122"/>
      <c r="C264" s="122"/>
      <c r="D264" s="122"/>
      <c r="E264" s="122"/>
      <c r="F264" s="122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  <c r="AA264" s="122"/>
      <c r="AB264" s="122"/>
    </row>
    <row r="265" spans="1:28" ht="15.75" customHeight="1" x14ac:dyDescent="0.2">
      <c r="A265" s="122"/>
      <c r="B265" s="122"/>
      <c r="C265" s="122"/>
      <c r="D265" s="122"/>
      <c r="E265" s="122"/>
      <c r="F265" s="122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  <c r="AA265" s="122"/>
      <c r="AB265" s="122"/>
    </row>
    <row r="266" spans="1:28" ht="15.75" customHeight="1" x14ac:dyDescent="0.2">
      <c r="A266" s="122"/>
      <c r="B266" s="122"/>
      <c r="C266" s="122"/>
      <c r="D266" s="122"/>
      <c r="E266" s="122"/>
      <c r="F266" s="122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  <c r="AA266" s="122"/>
      <c r="AB266" s="122"/>
    </row>
    <row r="267" spans="1:28" ht="15.75" customHeight="1" x14ac:dyDescent="0.2">
      <c r="A267" s="122"/>
      <c r="B267" s="122"/>
      <c r="C267" s="122"/>
      <c r="D267" s="122"/>
      <c r="E267" s="122"/>
      <c r="F267" s="122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  <c r="AA267" s="122"/>
      <c r="AB267" s="122"/>
    </row>
    <row r="268" spans="1:28" ht="15.75" customHeight="1" x14ac:dyDescent="0.2">
      <c r="A268" s="122"/>
      <c r="B268" s="122"/>
      <c r="C268" s="122"/>
      <c r="D268" s="122"/>
      <c r="E268" s="122"/>
      <c r="F268" s="122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  <c r="AA268" s="122"/>
      <c r="AB268" s="122"/>
    </row>
    <row r="269" spans="1:28" ht="15.75" customHeight="1" x14ac:dyDescent="0.2">
      <c r="A269" s="122"/>
      <c r="B269" s="122"/>
      <c r="C269" s="122"/>
      <c r="D269" s="122"/>
      <c r="E269" s="122"/>
      <c r="F269" s="122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  <c r="AA269" s="122"/>
      <c r="AB269" s="122"/>
    </row>
    <row r="270" spans="1:28" ht="15.75" customHeight="1" x14ac:dyDescent="0.2">
      <c r="A270" s="122"/>
      <c r="B270" s="122"/>
      <c r="C270" s="122"/>
      <c r="D270" s="122"/>
      <c r="E270" s="122"/>
      <c r="F270" s="122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  <c r="AA270" s="122"/>
      <c r="AB270" s="122"/>
    </row>
    <row r="271" spans="1:28" ht="15.75" customHeight="1" x14ac:dyDescent="0.2">
      <c r="A271" s="122"/>
      <c r="B271" s="122"/>
      <c r="C271" s="122"/>
      <c r="D271" s="122"/>
      <c r="E271" s="122"/>
      <c r="F271" s="122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  <c r="AA271" s="122"/>
      <c r="AB271" s="122"/>
    </row>
    <row r="272" spans="1:28" ht="15.75" customHeight="1" x14ac:dyDescent="0.2">
      <c r="A272" s="122"/>
      <c r="B272" s="122"/>
      <c r="C272" s="122"/>
      <c r="D272" s="122"/>
      <c r="E272" s="122"/>
      <c r="F272" s="122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  <c r="AA272" s="122"/>
      <c r="AB272" s="122"/>
    </row>
    <row r="273" spans="1:28" ht="15.75" customHeight="1" x14ac:dyDescent="0.2">
      <c r="A273" s="122"/>
      <c r="B273" s="122"/>
      <c r="C273" s="122"/>
      <c r="D273" s="122"/>
      <c r="E273" s="122"/>
      <c r="F273" s="122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  <c r="AA273" s="122"/>
      <c r="AB273" s="122"/>
    </row>
    <row r="274" spans="1:28" ht="15.75" customHeight="1" x14ac:dyDescent="0.2">
      <c r="A274" s="122"/>
      <c r="B274" s="122"/>
      <c r="C274" s="122"/>
      <c r="D274" s="122"/>
      <c r="E274" s="122"/>
      <c r="F274" s="122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  <c r="AA274" s="122"/>
      <c r="AB274" s="122"/>
    </row>
    <row r="275" spans="1:28" ht="15.75" customHeight="1" x14ac:dyDescent="0.2">
      <c r="A275" s="122"/>
      <c r="B275" s="122"/>
      <c r="C275" s="122"/>
      <c r="D275" s="122"/>
      <c r="E275" s="122"/>
      <c r="F275" s="122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  <c r="AA275" s="122"/>
      <c r="AB275" s="122"/>
    </row>
    <row r="276" spans="1:28" ht="15.75" customHeight="1" x14ac:dyDescent="0.2">
      <c r="A276" s="122"/>
      <c r="B276" s="122"/>
      <c r="C276" s="122"/>
      <c r="D276" s="122"/>
      <c r="E276" s="122"/>
      <c r="F276" s="122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  <c r="AA276" s="122"/>
      <c r="AB276" s="122"/>
    </row>
    <row r="277" spans="1:28" ht="15.75" customHeight="1" x14ac:dyDescent="0.2">
      <c r="A277" s="122"/>
      <c r="B277" s="122"/>
      <c r="C277" s="122"/>
      <c r="D277" s="122"/>
      <c r="E277" s="122"/>
      <c r="F277" s="122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  <c r="AA277" s="122"/>
      <c r="AB277" s="122"/>
    </row>
    <row r="278" spans="1:28" ht="15.75" customHeight="1" x14ac:dyDescent="0.2">
      <c r="A278" s="122"/>
      <c r="B278" s="122"/>
      <c r="C278" s="122"/>
      <c r="D278" s="122"/>
      <c r="E278" s="122"/>
      <c r="F278" s="122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  <c r="AA278" s="122"/>
      <c r="AB278" s="122"/>
    </row>
    <row r="279" spans="1:28" ht="15.75" customHeight="1" x14ac:dyDescent="0.2">
      <c r="A279" s="122"/>
      <c r="B279" s="122"/>
      <c r="C279" s="122"/>
      <c r="D279" s="122"/>
      <c r="E279" s="122"/>
      <c r="F279" s="122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  <c r="AA279" s="122"/>
      <c r="AB279" s="122"/>
    </row>
    <row r="280" spans="1:28" ht="15.75" customHeight="1" x14ac:dyDescent="0.2">
      <c r="A280" s="122"/>
      <c r="B280" s="122"/>
      <c r="C280" s="122"/>
      <c r="D280" s="122"/>
      <c r="E280" s="122"/>
      <c r="F280" s="122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  <c r="AA280" s="122"/>
      <c r="AB280" s="122"/>
    </row>
    <row r="281" spans="1:28" ht="15.75" customHeight="1" x14ac:dyDescent="0.2">
      <c r="A281" s="122"/>
      <c r="B281" s="122"/>
      <c r="C281" s="122"/>
      <c r="D281" s="122"/>
      <c r="E281" s="122"/>
      <c r="F281" s="122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  <c r="AA281" s="122"/>
      <c r="AB281" s="122"/>
    </row>
    <row r="282" spans="1:28" ht="15.75" customHeight="1" x14ac:dyDescent="0.2">
      <c r="A282" s="122"/>
      <c r="B282" s="122"/>
      <c r="C282" s="122"/>
      <c r="D282" s="122"/>
      <c r="E282" s="122"/>
      <c r="F282" s="122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  <c r="AA282" s="122"/>
      <c r="AB282" s="122"/>
    </row>
    <row r="283" spans="1:28" ht="15.75" customHeight="1" x14ac:dyDescent="0.2">
      <c r="A283" s="122"/>
      <c r="B283" s="122"/>
      <c r="C283" s="122"/>
      <c r="D283" s="122"/>
      <c r="E283" s="122"/>
      <c r="F283" s="122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  <c r="AA283" s="122"/>
      <c r="AB283" s="122"/>
    </row>
    <row r="284" spans="1:28" ht="15.75" customHeight="1" x14ac:dyDescent="0.2">
      <c r="A284" s="122"/>
      <c r="B284" s="122"/>
      <c r="C284" s="122"/>
      <c r="D284" s="122"/>
      <c r="E284" s="122"/>
      <c r="F284" s="122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  <c r="AA284" s="122"/>
      <c r="AB284" s="122"/>
    </row>
    <row r="285" spans="1:28" ht="15.75" customHeight="1" x14ac:dyDescent="0.2">
      <c r="A285" s="122"/>
      <c r="B285" s="122"/>
      <c r="C285" s="122"/>
      <c r="D285" s="122"/>
      <c r="E285" s="122"/>
      <c r="F285" s="122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  <c r="AA285" s="122"/>
      <c r="AB285" s="122"/>
    </row>
    <row r="286" spans="1:28" ht="15.75" customHeight="1" x14ac:dyDescent="0.2">
      <c r="A286" s="122"/>
      <c r="B286" s="122"/>
      <c r="C286" s="122"/>
      <c r="D286" s="122"/>
      <c r="E286" s="122"/>
      <c r="F286" s="122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  <c r="AA286" s="122"/>
      <c r="AB286" s="122"/>
    </row>
    <row r="287" spans="1:28" ht="15.75" customHeight="1" x14ac:dyDescent="0.2">
      <c r="A287" s="122"/>
      <c r="B287" s="122"/>
      <c r="C287" s="122"/>
      <c r="D287" s="122"/>
      <c r="E287" s="122"/>
      <c r="F287" s="122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  <c r="AA287" s="122"/>
      <c r="AB287" s="122"/>
    </row>
    <row r="288" spans="1:28" ht="15.75" customHeight="1" x14ac:dyDescent="0.2">
      <c r="A288" s="122"/>
      <c r="B288" s="122"/>
      <c r="C288" s="122"/>
      <c r="D288" s="122"/>
      <c r="E288" s="122"/>
      <c r="F288" s="122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  <c r="AA288" s="122"/>
      <c r="AB288" s="122"/>
    </row>
    <row r="289" spans="1:28" ht="15.75" customHeight="1" x14ac:dyDescent="0.2">
      <c r="A289" s="122"/>
      <c r="B289" s="122"/>
      <c r="C289" s="122"/>
      <c r="D289" s="122"/>
      <c r="E289" s="122"/>
      <c r="F289" s="122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  <c r="AA289" s="122"/>
      <c r="AB289" s="122"/>
    </row>
    <row r="290" spans="1:28" ht="15.75" customHeight="1" x14ac:dyDescent="0.2">
      <c r="A290" s="122"/>
      <c r="B290" s="122"/>
      <c r="C290" s="122"/>
      <c r="D290" s="122"/>
      <c r="E290" s="122"/>
      <c r="F290" s="122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  <c r="AA290" s="122"/>
      <c r="AB290" s="122"/>
    </row>
    <row r="291" spans="1:28" ht="15.75" customHeight="1" x14ac:dyDescent="0.2">
      <c r="A291" s="122"/>
      <c r="B291" s="122"/>
      <c r="C291" s="122"/>
      <c r="D291" s="122"/>
      <c r="E291" s="122"/>
      <c r="F291" s="122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  <c r="AA291" s="122"/>
      <c r="AB291" s="122"/>
    </row>
    <row r="292" spans="1:28" ht="15.75" customHeight="1" x14ac:dyDescent="0.2">
      <c r="A292" s="122"/>
      <c r="B292" s="122"/>
      <c r="C292" s="122"/>
      <c r="D292" s="122"/>
      <c r="E292" s="122"/>
      <c r="F292" s="122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  <c r="AA292" s="122"/>
      <c r="AB292" s="122"/>
    </row>
    <row r="293" spans="1:28" ht="15.75" customHeight="1" x14ac:dyDescent="0.2">
      <c r="A293" s="122"/>
      <c r="B293" s="122"/>
      <c r="C293" s="122"/>
      <c r="D293" s="122"/>
      <c r="E293" s="122"/>
      <c r="F293" s="122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  <c r="AA293" s="122"/>
      <c r="AB293" s="122"/>
    </row>
    <row r="294" spans="1:28" ht="15.75" customHeight="1" x14ac:dyDescent="0.2">
      <c r="A294" s="122"/>
      <c r="B294" s="122"/>
      <c r="C294" s="122"/>
      <c r="D294" s="122"/>
      <c r="E294" s="122"/>
      <c r="F294" s="122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  <c r="AA294" s="122"/>
      <c r="AB294" s="122"/>
    </row>
    <row r="295" spans="1:28" ht="15.75" customHeight="1" x14ac:dyDescent="0.2">
      <c r="A295" s="122"/>
      <c r="B295" s="122"/>
      <c r="C295" s="122"/>
      <c r="D295" s="122"/>
      <c r="E295" s="122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  <c r="AA295" s="122"/>
      <c r="AB295" s="122"/>
    </row>
    <row r="296" spans="1:28" ht="15.75" customHeight="1" x14ac:dyDescent="0.2">
      <c r="A296" s="122"/>
      <c r="B296" s="122"/>
      <c r="C296" s="122"/>
      <c r="D296" s="122"/>
      <c r="E296" s="122"/>
      <c r="F296" s="122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  <c r="AA296" s="122"/>
      <c r="AB296" s="122"/>
    </row>
    <row r="297" spans="1:28" ht="15.75" customHeight="1" x14ac:dyDescent="0.2">
      <c r="A297" s="122"/>
      <c r="B297" s="122"/>
      <c r="C297" s="122"/>
      <c r="D297" s="122"/>
      <c r="E297" s="122"/>
      <c r="F297" s="122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  <c r="AA297" s="122"/>
      <c r="AB297" s="122"/>
    </row>
    <row r="298" spans="1:28" ht="15.75" customHeight="1" x14ac:dyDescent="0.2">
      <c r="A298" s="122"/>
      <c r="B298" s="122"/>
      <c r="C298" s="122"/>
      <c r="D298" s="122"/>
      <c r="E298" s="122"/>
      <c r="F298" s="122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  <c r="AA298" s="122"/>
      <c r="AB298" s="122"/>
    </row>
    <row r="299" spans="1:28" ht="15.75" customHeight="1" x14ac:dyDescent="0.2">
      <c r="A299" s="122"/>
      <c r="B299" s="122"/>
      <c r="C299" s="122"/>
      <c r="D299" s="122"/>
      <c r="E299" s="122"/>
      <c r="F299" s="122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  <c r="AA299" s="122"/>
      <c r="AB299" s="122"/>
    </row>
    <row r="300" spans="1:28" ht="15.75" customHeight="1" x14ac:dyDescent="0.2">
      <c r="A300" s="122"/>
      <c r="B300" s="122"/>
      <c r="C300" s="122"/>
      <c r="D300" s="122"/>
      <c r="E300" s="122"/>
      <c r="F300" s="122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  <c r="AA300" s="122"/>
      <c r="AB300" s="122"/>
    </row>
    <row r="301" spans="1:28" ht="15.75" customHeight="1" x14ac:dyDescent="0.2">
      <c r="A301" s="122"/>
      <c r="B301" s="122"/>
      <c r="C301" s="122"/>
      <c r="D301" s="122"/>
      <c r="E301" s="122"/>
      <c r="F301" s="122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  <c r="AA301" s="122"/>
      <c r="AB301" s="122"/>
    </row>
    <row r="302" spans="1:28" ht="15.75" customHeight="1" x14ac:dyDescent="0.2">
      <c r="A302" s="122"/>
      <c r="B302" s="122"/>
      <c r="C302" s="122"/>
      <c r="D302" s="122"/>
      <c r="E302" s="122"/>
      <c r="F302" s="122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  <c r="AA302" s="122"/>
      <c r="AB302" s="122"/>
    </row>
    <row r="303" spans="1:28" ht="15.75" customHeight="1" x14ac:dyDescent="0.2">
      <c r="A303" s="122"/>
      <c r="B303" s="122"/>
      <c r="C303" s="122"/>
      <c r="D303" s="122"/>
      <c r="E303" s="122"/>
      <c r="F303" s="122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  <c r="AA303" s="122"/>
      <c r="AB303" s="122"/>
    </row>
    <row r="304" spans="1:28" ht="15.75" customHeight="1" x14ac:dyDescent="0.2">
      <c r="A304" s="122"/>
      <c r="B304" s="122"/>
      <c r="C304" s="122"/>
      <c r="D304" s="122"/>
      <c r="E304" s="122"/>
      <c r="F304" s="122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  <c r="AA304" s="122"/>
      <c r="AB304" s="122"/>
    </row>
    <row r="305" spans="1:28" ht="15.75" customHeight="1" x14ac:dyDescent="0.2">
      <c r="A305" s="122"/>
      <c r="B305" s="122"/>
      <c r="C305" s="122"/>
      <c r="D305" s="122"/>
      <c r="E305" s="122"/>
      <c r="F305" s="122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  <c r="AA305" s="122"/>
      <c r="AB305" s="122"/>
    </row>
    <row r="306" spans="1:28" ht="15.75" customHeight="1" x14ac:dyDescent="0.2">
      <c r="A306" s="122"/>
      <c r="B306" s="122"/>
      <c r="C306" s="122"/>
      <c r="D306" s="122"/>
      <c r="E306" s="122"/>
      <c r="F306" s="122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  <c r="AA306" s="122"/>
      <c r="AB306" s="122"/>
    </row>
    <row r="307" spans="1:28" ht="15.75" customHeight="1" x14ac:dyDescent="0.2">
      <c r="A307" s="122"/>
      <c r="B307" s="122"/>
      <c r="C307" s="122"/>
      <c r="D307" s="122"/>
      <c r="E307" s="122"/>
      <c r="F307" s="122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  <c r="AA307" s="122"/>
      <c r="AB307" s="122"/>
    </row>
    <row r="308" spans="1:28" ht="15.75" customHeight="1" x14ac:dyDescent="0.2">
      <c r="A308" s="122"/>
      <c r="B308" s="122"/>
      <c r="C308" s="122"/>
      <c r="D308" s="122"/>
      <c r="E308" s="122"/>
      <c r="F308" s="122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  <c r="AA308" s="122"/>
      <c r="AB308" s="122"/>
    </row>
    <row r="309" spans="1:28" ht="15.75" customHeight="1" x14ac:dyDescent="0.2">
      <c r="A309" s="122"/>
      <c r="B309" s="122"/>
      <c r="C309" s="122"/>
      <c r="D309" s="122"/>
      <c r="E309" s="122"/>
      <c r="F309" s="122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  <c r="AA309" s="122"/>
      <c r="AB309" s="122"/>
    </row>
    <row r="310" spans="1:28" ht="15.75" customHeight="1" x14ac:dyDescent="0.2">
      <c r="A310" s="122"/>
      <c r="B310" s="122"/>
      <c r="C310" s="122"/>
      <c r="D310" s="122"/>
      <c r="E310" s="122"/>
      <c r="F310" s="122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  <c r="AA310" s="122"/>
      <c r="AB310" s="122"/>
    </row>
    <row r="311" spans="1:28" ht="15.75" customHeight="1" x14ac:dyDescent="0.2">
      <c r="A311" s="122"/>
      <c r="B311" s="122"/>
      <c r="C311" s="122"/>
      <c r="D311" s="122"/>
      <c r="E311" s="122"/>
      <c r="F311" s="122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  <c r="AA311" s="122"/>
      <c r="AB311" s="122"/>
    </row>
    <row r="312" spans="1:28" ht="15.75" customHeight="1" x14ac:dyDescent="0.2">
      <c r="A312" s="122"/>
      <c r="B312" s="122"/>
      <c r="C312" s="122"/>
      <c r="D312" s="122"/>
      <c r="E312" s="122"/>
      <c r="F312" s="122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  <c r="AA312" s="122"/>
      <c r="AB312" s="122"/>
    </row>
    <row r="313" spans="1:28" ht="15.75" customHeight="1" x14ac:dyDescent="0.2">
      <c r="A313" s="122"/>
      <c r="B313" s="122"/>
      <c r="C313" s="122"/>
      <c r="D313" s="122"/>
      <c r="E313" s="122"/>
      <c r="F313" s="122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  <c r="AA313" s="122"/>
      <c r="AB313" s="122"/>
    </row>
    <row r="314" spans="1:28" ht="15.75" customHeight="1" x14ac:dyDescent="0.2">
      <c r="A314" s="122"/>
      <c r="B314" s="122"/>
      <c r="C314" s="122"/>
      <c r="D314" s="122"/>
      <c r="E314" s="122"/>
      <c r="F314" s="122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  <c r="AA314" s="122"/>
      <c r="AB314" s="122"/>
    </row>
    <row r="315" spans="1:28" ht="15.75" customHeight="1" x14ac:dyDescent="0.2">
      <c r="A315" s="122"/>
      <c r="B315" s="122"/>
      <c r="C315" s="122"/>
      <c r="D315" s="122"/>
      <c r="E315" s="122"/>
      <c r="F315" s="122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  <c r="AA315" s="122"/>
      <c r="AB315" s="122"/>
    </row>
    <row r="316" spans="1:28" ht="15.75" customHeight="1" x14ac:dyDescent="0.2">
      <c r="A316" s="122"/>
      <c r="B316" s="122"/>
      <c r="C316" s="122"/>
      <c r="D316" s="122"/>
      <c r="E316" s="122"/>
      <c r="F316" s="122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  <c r="AA316" s="122"/>
      <c r="AB316" s="122"/>
    </row>
    <row r="317" spans="1:28" ht="15.75" customHeight="1" x14ac:dyDescent="0.2">
      <c r="A317" s="122"/>
      <c r="B317" s="122"/>
      <c r="C317" s="122"/>
      <c r="D317" s="122"/>
      <c r="E317" s="122"/>
      <c r="F317" s="122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  <c r="AA317" s="122"/>
      <c r="AB317" s="122"/>
    </row>
    <row r="318" spans="1:28" ht="15.75" customHeight="1" x14ac:dyDescent="0.2">
      <c r="A318" s="122"/>
      <c r="B318" s="122"/>
      <c r="C318" s="122"/>
      <c r="D318" s="122"/>
      <c r="E318" s="122"/>
      <c r="F318" s="122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  <c r="AA318" s="122"/>
      <c r="AB318" s="122"/>
    </row>
    <row r="319" spans="1:28" ht="15.75" customHeight="1" x14ac:dyDescent="0.2">
      <c r="A319" s="122"/>
      <c r="B319" s="122"/>
      <c r="C319" s="122"/>
      <c r="D319" s="122"/>
      <c r="E319" s="122"/>
      <c r="F319" s="122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  <c r="AA319" s="122"/>
      <c r="AB319" s="122"/>
    </row>
    <row r="320" spans="1:28" ht="15.75" customHeight="1" x14ac:dyDescent="0.2">
      <c r="A320" s="122"/>
      <c r="B320" s="122"/>
      <c r="C320" s="122"/>
      <c r="D320" s="122"/>
      <c r="E320" s="122"/>
      <c r="F320" s="122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  <c r="AA320" s="122"/>
      <c r="AB320" s="122"/>
    </row>
    <row r="321" spans="1:28" ht="15.75" customHeight="1" x14ac:dyDescent="0.2">
      <c r="A321" s="122"/>
      <c r="B321" s="122"/>
      <c r="C321" s="122"/>
      <c r="D321" s="122"/>
      <c r="E321" s="122"/>
      <c r="F321" s="122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  <c r="AA321" s="122"/>
      <c r="AB321" s="122"/>
    </row>
    <row r="322" spans="1:28" ht="15.75" customHeight="1" x14ac:dyDescent="0.2">
      <c r="A322" s="122"/>
      <c r="B322" s="122"/>
      <c r="C322" s="122"/>
      <c r="D322" s="122"/>
      <c r="E322" s="122"/>
      <c r="F322" s="122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  <c r="AA322" s="122"/>
      <c r="AB322" s="122"/>
    </row>
    <row r="323" spans="1:28" ht="15.75" customHeight="1" x14ac:dyDescent="0.2">
      <c r="A323" s="122"/>
      <c r="B323" s="122"/>
      <c r="C323" s="122"/>
      <c r="D323" s="122"/>
      <c r="E323" s="122"/>
      <c r="F323" s="122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  <c r="AA323" s="122"/>
      <c r="AB323" s="122"/>
    </row>
    <row r="324" spans="1:28" ht="15.75" customHeight="1" x14ac:dyDescent="0.2">
      <c r="A324" s="122"/>
      <c r="B324" s="122"/>
      <c r="C324" s="122"/>
      <c r="D324" s="122"/>
      <c r="E324" s="122"/>
      <c r="F324" s="122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  <c r="AA324" s="122"/>
      <c r="AB324" s="122"/>
    </row>
    <row r="325" spans="1:28" ht="15.75" customHeight="1" x14ac:dyDescent="0.2">
      <c r="A325" s="122"/>
      <c r="B325" s="122"/>
      <c r="C325" s="122"/>
      <c r="D325" s="122"/>
      <c r="E325" s="122"/>
      <c r="F325" s="122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  <c r="AA325" s="122"/>
      <c r="AB325" s="122"/>
    </row>
    <row r="326" spans="1:28" ht="15.75" customHeight="1" x14ac:dyDescent="0.2">
      <c r="A326" s="122"/>
      <c r="B326" s="122"/>
      <c r="C326" s="122"/>
      <c r="D326" s="122"/>
      <c r="E326" s="122"/>
      <c r="F326" s="122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  <c r="AA326" s="122"/>
      <c r="AB326" s="122"/>
    </row>
    <row r="327" spans="1:28" ht="15.75" customHeight="1" x14ac:dyDescent="0.2">
      <c r="A327" s="122"/>
      <c r="B327" s="122"/>
      <c r="C327" s="122"/>
      <c r="D327" s="122"/>
      <c r="E327" s="122"/>
      <c r="F327" s="122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  <c r="AA327" s="122"/>
      <c r="AB327" s="122"/>
    </row>
    <row r="328" spans="1:28" ht="15.75" customHeight="1" x14ac:dyDescent="0.2">
      <c r="A328" s="122"/>
      <c r="B328" s="122"/>
      <c r="C328" s="122"/>
      <c r="D328" s="122"/>
      <c r="E328" s="122"/>
      <c r="F328" s="122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  <c r="AA328" s="122"/>
      <c r="AB328" s="122"/>
    </row>
    <row r="329" spans="1:28" ht="15.75" customHeight="1" x14ac:dyDescent="0.2">
      <c r="A329" s="122"/>
      <c r="B329" s="122"/>
      <c r="C329" s="122"/>
      <c r="D329" s="122"/>
      <c r="E329" s="122"/>
      <c r="F329" s="122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  <c r="AA329" s="122"/>
      <c r="AB329" s="122"/>
    </row>
    <row r="330" spans="1:28" ht="15.75" customHeight="1" x14ac:dyDescent="0.2">
      <c r="A330" s="122"/>
      <c r="B330" s="122"/>
      <c r="C330" s="122"/>
      <c r="D330" s="122"/>
      <c r="E330" s="122"/>
      <c r="F330" s="122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  <c r="AA330" s="122"/>
      <c r="AB330" s="122"/>
    </row>
    <row r="331" spans="1:28" ht="15.75" customHeight="1" x14ac:dyDescent="0.2">
      <c r="A331" s="122"/>
      <c r="B331" s="122"/>
      <c r="C331" s="122"/>
      <c r="D331" s="122"/>
      <c r="E331" s="122"/>
      <c r="F331" s="122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  <c r="AA331" s="122"/>
      <c r="AB331" s="122"/>
    </row>
    <row r="332" spans="1:28" ht="15.75" customHeight="1" x14ac:dyDescent="0.2">
      <c r="A332" s="122"/>
      <c r="B332" s="122"/>
      <c r="C332" s="122"/>
      <c r="D332" s="122"/>
      <c r="E332" s="122"/>
      <c r="F332" s="122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  <c r="AA332" s="122"/>
      <c r="AB332" s="122"/>
    </row>
    <row r="333" spans="1:28" ht="15.75" customHeight="1" x14ac:dyDescent="0.2">
      <c r="A333" s="122"/>
      <c r="B333" s="122"/>
      <c r="C333" s="122"/>
      <c r="D333" s="122"/>
      <c r="E333" s="122"/>
      <c r="F333" s="122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  <c r="AA333" s="122"/>
      <c r="AB333" s="122"/>
    </row>
    <row r="334" spans="1:28" ht="15.75" customHeight="1" x14ac:dyDescent="0.2">
      <c r="A334" s="122"/>
      <c r="B334" s="122"/>
      <c r="C334" s="122"/>
      <c r="D334" s="122"/>
      <c r="E334" s="122"/>
      <c r="F334" s="122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  <c r="AA334" s="122"/>
      <c r="AB334" s="122"/>
    </row>
    <row r="335" spans="1:28" ht="15.75" customHeight="1" x14ac:dyDescent="0.2">
      <c r="A335" s="122"/>
      <c r="B335" s="122"/>
      <c r="C335" s="122"/>
      <c r="D335" s="122"/>
      <c r="E335" s="122"/>
      <c r="F335" s="122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  <c r="AA335" s="122"/>
      <c r="AB335" s="122"/>
    </row>
    <row r="336" spans="1:28" ht="15.75" customHeight="1" x14ac:dyDescent="0.2">
      <c r="A336" s="122"/>
      <c r="B336" s="122"/>
      <c r="C336" s="122"/>
      <c r="D336" s="122"/>
      <c r="E336" s="122"/>
      <c r="F336" s="122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  <c r="AA336" s="122"/>
      <c r="AB336" s="122"/>
    </row>
    <row r="337" spans="1:28" ht="15.75" customHeight="1" x14ac:dyDescent="0.2">
      <c r="A337" s="122"/>
      <c r="B337" s="122"/>
      <c r="C337" s="122"/>
      <c r="D337" s="122"/>
      <c r="E337" s="122"/>
      <c r="F337" s="122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  <c r="AA337" s="122"/>
      <c r="AB337" s="122"/>
    </row>
    <row r="338" spans="1:28" ht="15.75" customHeight="1" x14ac:dyDescent="0.2">
      <c r="A338" s="122"/>
      <c r="B338" s="122"/>
      <c r="C338" s="122"/>
      <c r="D338" s="122"/>
      <c r="E338" s="122"/>
      <c r="F338" s="122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  <c r="AA338" s="122"/>
      <c r="AB338" s="122"/>
    </row>
    <row r="339" spans="1:28" ht="15.75" customHeight="1" x14ac:dyDescent="0.2">
      <c r="A339" s="122"/>
      <c r="B339" s="122"/>
      <c r="C339" s="122"/>
      <c r="D339" s="122"/>
      <c r="E339" s="122"/>
      <c r="F339" s="122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  <c r="AA339" s="122"/>
      <c r="AB339" s="122"/>
    </row>
    <row r="340" spans="1:28" ht="15.75" customHeight="1" x14ac:dyDescent="0.2">
      <c r="A340" s="122"/>
      <c r="B340" s="122"/>
      <c r="C340" s="122"/>
      <c r="D340" s="122"/>
      <c r="E340" s="122"/>
      <c r="F340" s="122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  <c r="AA340" s="122"/>
      <c r="AB340" s="122"/>
    </row>
    <row r="341" spans="1:28" ht="15.75" customHeight="1" x14ac:dyDescent="0.2">
      <c r="A341" s="122"/>
      <c r="B341" s="122"/>
      <c r="C341" s="122"/>
      <c r="D341" s="122"/>
      <c r="E341" s="122"/>
      <c r="F341" s="122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  <c r="AA341" s="122"/>
      <c r="AB341" s="122"/>
    </row>
    <row r="342" spans="1:28" ht="15.75" customHeight="1" x14ac:dyDescent="0.2">
      <c r="A342" s="122"/>
      <c r="B342" s="122"/>
      <c r="C342" s="122"/>
      <c r="D342" s="122"/>
      <c r="E342" s="122"/>
      <c r="F342" s="122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  <c r="AA342" s="122"/>
      <c r="AB342" s="122"/>
    </row>
    <row r="343" spans="1:28" ht="15.75" customHeight="1" x14ac:dyDescent="0.2">
      <c r="A343" s="122"/>
      <c r="B343" s="122"/>
      <c r="C343" s="122"/>
      <c r="D343" s="122"/>
      <c r="E343" s="122"/>
      <c r="F343" s="122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  <c r="AA343" s="122"/>
      <c r="AB343" s="122"/>
    </row>
    <row r="344" spans="1:28" ht="15.75" customHeight="1" x14ac:dyDescent="0.2">
      <c r="A344" s="122"/>
      <c r="B344" s="122"/>
      <c r="C344" s="122"/>
      <c r="D344" s="122"/>
      <c r="E344" s="122"/>
      <c r="F344" s="122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  <c r="AA344" s="122"/>
      <c r="AB344" s="122"/>
    </row>
    <row r="345" spans="1:28" ht="15.75" customHeight="1" x14ac:dyDescent="0.2">
      <c r="A345" s="122"/>
      <c r="B345" s="122"/>
      <c r="C345" s="122"/>
      <c r="D345" s="122"/>
      <c r="E345" s="122"/>
      <c r="F345" s="122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  <c r="AA345" s="122"/>
      <c r="AB345" s="122"/>
    </row>
    <row r="346" spans="1:28" ht="15.75" customHeight="1" x14ac:dyDescent="0.2">
      <c r="A346" s="122"/>
      <c r="B346" s="122"/>
      <c r="C346" s="122"/>
      <c r="D346" s="122"/>
      <c r="E346" s="122"/>
      <c r="F346" s="122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  <c r="AA346" s="122"/>
      <c r="AB346" s="122"/>
    </row>
    <row r="347" spans="1:28" ht="15.75" customHeight="1" x14ac:dyDescent="0.2">
      <c r="A347" s="122"/>
      <c r="B347" s="122"/>
      <c r="C347" s="122"/>
      <c r="D347" s="122"/>
      <c r="E347" s="122"/>
      <c r="F347" s="122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  <c r="AA347" s="122"/>
      <c r="AB347" s="122"/>
    </row>
    <row r="348" spans="1:28" ht="15.75" customHeight="1" x14ac:dyDescent="0.2">
      <c r="A348" s="122"/>
      <c r="B348" s="122"/>
      <c r="C348" s="122"/>
      <c r="D348" s="122"/>
      <c r="E348" s="122"/>
      <c r="F348" s="122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  <c r="AA348" s="122"/>
      <c r="AB348" s="122"/>
    </row>
    <row r="349" spans="1:28" ht="15.75" customHeight="1" x14ac:dyDescent="0.2">
      <c r="A349" s="122"/>
      <c r="B349" s="122"/>
      <c r="C349" s="122"/>
      <c r="D349" s="122"/>
      <c r="E349" s="122"/>
      <c r="F349" s="122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  <c r="AA349" s="122"/>
      <c r="AB349" s="122"/>
    </row>
    <row r="350" spans="1:28" ht="15.75" customHeight="1" x14ac:dyDescent="0.2">
      <c r="A350" s="122"/>
      <c r="B350" s="122"/>
      <c r="C350" s="122"/>
      <c r="D350" s="122"/>
      <c r="E350" s="122"/>
      <c r="F350" s="122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  <c r="AA350" s="122"/>
      <c r="AB350" s="122"/>
    </row>
    <row r="351" spans="1:28" ht="15.75" customHeight="1" x14ac:dyDescent="0.2">
      <c r="A351" s="122"/>
      <c r="B351" s="122"/>
      <c r="C351" s="122"/>
      <c r="D351" s="122"/>
      <c r="E351" s="122"/>
      <c r="F351" s="122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  <c r="AA351" s="122"/>
      <c r="AB351" s="122"/>
    </row>
    <row r="352" spans="1:28" ht="15.75" customHeight="1" x14ac:dyDescent="0.2">
      <c r="A352" s="122"/>
      <c r="B352" s="122"/>
      <c r="C352" s="122"/>
      <c r="D352" s="122"/>
      <c r="E352" s="122"/>
      <c r="F352" s="122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  <c r="AA352" s="122"/>
      <c r="AB352" s="122"/>
    </row>
    <row r="353" spans="1:28" ht="15.75" customHeight="1" x14ac:dyDescent="0.2">
      <c r="A353" s="122"/>
      <c r="B353" s="122"/>
      <c r="C353" s="122"/>
      <c r="D353" s="122"/>
      <c r="E353" s="122"/>
      <c r="F353" s="122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  <c r="AA353" s="122"/>
      <c r="AB353" s="122"/>
    </row>
    <row r="354" spans="1:28" ht="15.75" customHeight="1" x14ac:dyDescent="0.2">
      <c r="A354" s="122"/>
      <c r="B354" s="122"/>
      <c r="C354" s="122"/>
      <c r="D354" s="122"/>
      <c r="E354" s="122"/>
      <c r="F354" s="122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  <c r="AA354" s="122"/>
      <c r="AB354" s="122"/>
    </row>
    <row r="355" spans="1:28" ht="15.75" customHeight="1" x14ac:dyDescent="0.2">
      <c r="A355" s="122"/>
      <c r="B355" s="122"/>
      <c r="C355" s="122"/>
      <c r="D355" s="122"/>
      <c r="E355" s="122"/>
      <c r="F355" s="122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  <c r="AA355" s="122"/>
      <c r="AB355" s="122"/>
    </row>
    <row r="356" spans="1:28" ht="15.75" customHeight="1" x14ac:dyDescent="0.2">
      <c r="A356" s="122"/>
      <c r="B356" s="122"/>
      <c r="C356" s="122"/>
      <c r="D356" s="122"/>
      <c r="E356" s="122"/>
      <c r="F356" s="122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  <c r="AA356" s="122"/>
      <c r="AB356" s="122"/>
    </row>
    <row r="357" spans="1:28" ht="15.75" customHeight="1" x14ac:dyDescent="0.2">
      <c r="A357" s="122"/>
      <c r="B357" s="122"/>
      <c r="C357" s="122"/>
      <c r="D357" s="122"/>
      <c r="E357" s="122"/>
      <c r="F357" s="122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  <c r="AA357" s="122"/>
      <c r="AB357" s="122"/>
    </row>
    <row r="358" spans="1:28" ht="15.75" customHeight="1" x14ac:dyDescent="0.2">
      <c r="A358" s="122"/>
      <c r="B358" s="122"/>
      <c r="C358" s="122"/>
      <c r="D358" s="122"/>
      <c r="E358" s="122"/>
      <c r="F358" s="122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  <c r="AA358" s="122"/>
      <c r="AB358" s="122"/>
    </row>
    <row r="359" spans="1:28" ht="15.75" customHeight="1" x14ac:dyDescent="0.2">
      <c r="A359" s="122"/>
      <c r="B359" s="122"/>
      <c r="C359" s="122"/>
      <c r="D359" s="122"/>
      <c r="E359" s="122"/>
      <c r="F359" s="122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  <c r="AA359" s="122"/>
      <c r="AB359" s="122"/>
    </row>
    <row r="360" spans="1:28" ht="15.75" customHeight="1" x14ac:dyDescent="0.2">
      <c r="A360" s="122"/>
      <c r="B360" s="122"/>
      <c r="C360" s="122"/>
      <c r="D360" s="122"/>
      <c r="E360" s="122"/>
      <c r="F360" s="122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  <c r="AA360" s="122"/>
      <c r="AB360" s="122"/>
    </row>
    <row r="361" spans="1:28" ht="15.75" customHeight="1" x14ac:dyDescent="0.2">
      <c r="A361" s="122"/>
      <c r="B361" s="122"/>
      <c r="C361" s="122"/>
      <c r="D361" s="122"/>
      <c r="E361" s="122"/>
      <c r="F361" s="122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  <c r="AA361" s="122"/>
      <c r="AB361" s="122"/>
    </row>
    <row r="362" spans="1:28" ht="15.75" customHeight="1" x14ac:dyDescent="0.2">
      <c r="A362" s="122"/>
      <c r="B362" s="122"/>
      <c r="C362" s="122"/>
      <c r="D362" s="122"/>
      <c r="E362" s="122"/>
      <c r="F362" s="122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  <c r="AA362" s="122"/>
      <c r="AB362" s="122"/>
    </row>
    <row r="363" spans="1:28" ht="15.75" customHeight="1" x14ac:dyDescent="0.2">
      <c r="A363" s="122"/>
      <c r="B363" s="122"/>
      <c r="C363" s="122"/>
      <c r="D363" s="122"/>
      <c r="E363" s="122"/>
      <c r="F363" s="122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  <c r="AA363" s="122"/>
      <c r="AB363" s="122"/>
    </row>
    <row r="364" spans="1:28" ht="15.75" customHeight="1" x14ac:dyDescent="0.2">
      <c r="A364" s="122"/>
      <c r="B364" s="122"/>
      <c r="C364" s="122"/>
      <c r="D364" s="122"/>
      <c r="E364" s="122"/>
      <c r="F364" s="122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  <c r="AA364" s="122"/>
      <c r="AB364" s="122"/>
    </row>
    <row r="365" spans="1:28" ht="15.75" customHeight="1" x14ac:dyDescent="0.2">
      <c r="A365" s="122"/>
      <c r="B365" s="122"/>
      <c r="C365" s="122"/>
      <c r="D365" s="122"/>
      <c r="E365" s="122"/>
      <c r="F365" s="122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  <c r="AA365" s="122"/>
      <c r="AB365" s="122"/>
    </row>
    <row r="366" spans="1:28" ht="15.75" customHeight="1" x14ac:dyDescent="0.2">
      <c r="A366" s="122"/>
      <c r="B366" s="122"/>
      <c r="C366" s="122"/>
      <c r="D366" s="122"/>
      <c r="E366" s="122"/>
      <c r="F366" s="122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  <c r="AA366" s="122"/>
      <c r="AB366" s="122"/>
    </row>
    <row r="367" spans="1:28" ht="15.75" customHeight="1" x14ac:dyDescent="0.2">
      <c r="A367" s="122"/>
      <c r="B367" s="122"/>
      <c r="C367" s="122"/>
      <c r="D367" s="122"/>
      <c r="E367" s="122"/>
      <c r="F367" s="122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  <c r="AA367" s="122"/>
      <c r="AB367" s="122"/>
    </row>
    <row r="368" spans="1:28" ht="15.75" customHeight="1" x14ac:dyDescent="0.2">
      <c r="A368" s="122"/>
      <c r="B368" s="122"/>
      <c r="C368" s="122"/>
      <c r="D368" s="122"/>
      <c r="E368" s="122"/>
      <c r="F368" s="122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  <c r="AA368" s="122"/>
      <c r="AB368" s="122"/>
    </row>
    <row r="369" spans="1:28" ht="15.75" customHeight="1" x14ac:dyDescent="0.2">
      <c r="A369" s="122"/>
      <c r="B369" s="122"/>
      <c r="C369" s="122"/>
      <c r="D369" s="122"/>
      <c r="E369" s="122"/>
      <c r="F369" s="122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  <c r="AA369" s="122"/>
      <c r="AB369" s="122"/>
    </row>
    <row r="370" spans="1:28" ht="15.75" customHeight="1" x14ac:dyDescent="0.2">
      <c r="A370" s="122"/>
      <c r="B370" s="122"/>
      <c r="C370" s="122"/>
      <c r="D370" s="122"/>
      <c r="E370" s="122"/>
      <c r="F370" s="122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  <c r="AA370" s="122"/>
      <c r="AB370" s="122"/>
    </row>
    <row r="371" spans="1:28" ht="15.75" customHeight="1" x14ac:dyDescent="0.2">
      <c r="A371" s="122"/>
      <c r="B371" s="122"/>
      <c r="C371" s="122"/>
      <c r="D371" s="122"/>
      <c r="E371" s="122"/>
      <c r="F371" s="122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  <c r="AA371" s="122"/>
      <c r="AB371" s="122"/>
    </row>
    <row r="372" spans="1:28" ht="15.75" customHeight="1" x14ac:dyDescent="0.2">
      <c r="A372" s="122"/>
      <c r="B372" s="122"/>
      <c r="C372" s="122"/>
      <c r="D372" s="122"/>
      <c r="E372" s="122"/>
      <c r="F372" s="122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  <c r="AA372" s="122"/>
      <c r="AB372" s="122"/>
    </row>
    <row r="373" spans="1:28" ht="15.75" customHeight="1" x14ac:dyDescent="0.2">
      <c r="A373" s="122"/>
      <c r="B373" s="122"/>
      <c r="C373" s="122"/>
      <c r="D373" s="122"/>
      <c r="E373" s="122"/>
      <c r="F373" s="122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  <c r="AA373" s="122"/>
      <c r="AB373" s="122"/>
    </row>
    <row r="374" spans="1:28" ht="15.75" customHeight="1" x14ac:dyDescent="0.2">
      <c r="A374" s="122"/>
      <c r="B374" s="122"/>
      <c r="C374" s="122"/>
      <c r="D374" s="122"/>
      <c r="E374" s="122"/>
      <c r="F374" s="122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  <c r="AA374" s="122"/>
      <c r="AB374" s="122"/>
    </row>
    <row r="375" spans="1:28" ht="15.75" customHeight="1" x14ac:dyDescent="0.2">
      <c r="A375" s="122"/>
      <c r="B375" s="122"/>
      <c r="C375" s="122"/>
      <c r="D375" s="122"/>
      <c r="E375" s="122"/>
      <c r="F375" s="122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  <c r="AA375" s="122"/>
      <c r="AB375" s="122"/>
    </row>
    <row r="376" spans="1:28" ht="15.75" customHeight="1" x14ac:dyDescent="0.2">
      <c r="A376" s="122"/>
      <c r="B376" s="122"/>
      <c r="C376" s="122"/>
      <c r="D376" s="122"/>
      <c r="E376" s="122"/>
      <c r="F376" s="122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  <c r="AA376" s="122"/>
      <c r="AB376" s="122"/>
    </row>
    <row r="377" spans="1:28" ht="15.75" customHeight="1" x14ac:dyDescent="0.2">
      <c r="A377" s="122"/>
      <c r="B377" s="122"/>
      <c r="C377" s="122"/>
      <c r="D377" s="122"/>
      <c r="E377" s="122"/>
      <c r="F377" s="122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  <c r="AA377" s="122"/>
      <c r="AB377" s="122"/>
    </row>
    <row r="378" spans="1:28" ht="15.75" customHeight="1" x14ac:dyDescent="0.2">
      <c r="A378" s="122"/>
      <c r="B378" s="122"/>
      <c r="C378" s="122"/>
      <c r="D378" s="122"/>
      <c r="E378" s="122"/>
      <c r="F378" s="122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  <c r="AA378" s="122"/>
      <c r="AB378" s="122"/>
    </row>
    <row r="379" spans="1:28" ht="15.75" customHeight="1" x14ac:dyDescent="0.2">
      <c r="A379" s="122"/>
      <c r="B379" s="122"/>
      <c r="C379" s="122"/>
      <c r="D379" s="122"/>
      <c r="E379" s="122"/>
      <c r="F379" s="122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  <c r="AA379" s="122"/>
      <c r="AB379" s="122"/>
    </row>
    <row r="380" spans="1:28" ht="15.75" customHeight="1" x14ac:dyDescent="0.2">
      <c r="A380" s="122"/>
      <c r="B380" s="122"/>
      <c r="C380" s="122"/>
      <c r="D380" s="122"/>
      <c r="E380" s="122"/>
      <c r="F380" s="122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  <c r="AA380" s="122"/>
      <c r="AB380" s="122"/>
    </row>
    <row r="381" spans="1:28" ht="15.75" customHeight="1" x14ac:dyDescent="0.2">
      <c r="A381" s="122"/>
      <c r="B381" s="122"/>
      <c r="C381" s="122"/>
      <c r="D381" s="122"/>
      <c r="E381" s="122"/>
      <c r="F381" s="122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  <c r="AA381" s="122"/>
      <c r="AB381" s="122"/>
    </row>
    <row r="382" spans="1:28" ht="15.75" customHeight="1" x14ac:dyDescent="0.2">
      <c r="A382" s="122"/>
      <c r="B382" s="122"/>
      <c r="C382" s="122"/>
      <c r="D382" s="122"/>
      <c r="E382" s="122"/>
      <c r="F382" s="122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  <c r="AA382" s="122"/>
      <c r="AB382" s="122"/>
    </row>
    <row r="383" spans="1:28" ht="15.75" customHeight="1" x14ac:dyDescent="0.2">
      <c r="A383" s="122"/>
      <c r="B383" s="122"/>
      <c r="C383" s="122"/>
      <c r="D383" s="122"/>
      <c r="E383" s="122"/>
      <c r="F383" s="122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  <c r="AA383" s="122"/>
      <c r="AB383" s="122"/>
    </row>
    <row r="384" spans="1:28" ht="15.75" customHeight="1" x14ac:dyDescent="0.2">
      <c r="A384" s="122"/>
      <c r="B384" s="122"/>
      <c r="C384" s="122"/>
      <c r="D384" s="122"/>
      <c r="E384" s="122"/>
      <c r="F384" s="122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  <c r="AA384" s="122"/>
      <c r="AB384" s="122"/>
    </row>
    <row r="385" spans="1:28" ht="15.75" customHeight="1" x14ac:dyDescent="0.2">
      <c r="A385" s="122"/>
      <c r="B385" s="122"/>
      <c r="C385" s="122"/>
      <c r="D385" s="122"/>
      <c r="E385" s="122"/>
      <c r="F385" s="122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  <c r="AA385" s="122"/>
      <c r="AB385" s="122"/>
    </row>
    <row r="386" spans="1:28" ht="15.75" customHeight="1" x14ac:dyDescent="0.2">
      <c r="A386" s="122"/>
      <c r="B386" s="122"/>
      <c r="C386" s="122"/>
      <c r="D386" s="122"/>
      <c r="E386" s="122"/>
      <c r="F386" s="122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  <c r="AA386" s="122"/>
      <c r="AB386" s="122"/>
    </row>
    <row r="387" spans="1:28" ht="15.75" customHeight="1" x14ac:dyDescent="0.2">
      <c r="A387" s="122"/>
      <c r="B387" s="122"/>
      <c r="C387" s="122"/>
      <c r="D387" s="122"/>
      <c r="E387" s="122"/>
      <c r="F387" s="122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  <c r="AA387" s="122"/>
      <c r="AB387" s="122"/>
    </row>
    <row r="388" spans="1:28" ht="15.75" customHeight="1" x14ac:dyDescent="0.2">
      <c r="A388" s="122"/>
      <c r="B388" s="122"/>
      <c r="C388" s="122"/>
      <c r="D388" s="122"/>
      <c r="E388" s="122"/>
      <c r="F388" s="122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  <c r="AA388" s="122"/>
      <c r="AB388" s="122"/>
    </row>
    <row r="389" spans="1:28" ht="15.75" customHeight="1" x14ac:dyDescent="0.2">
      <c r="A389" s="122"/>
      <c r="B389" s="122"/>
      <c r="C389" s="122"/>
      <c r="D389" s="122"/>
      <c r="E389" s="122"/>
      <c r="F389" s="122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  <c r="AA389" s="122"/>
      <c r="AB389" s="122"/>
    </row>
    <row r="390" spans="1:28" ht="15.75" customHeight="1" x14ac:dyDescent="0.2">
      <c r="A390" s="122"/>
      <c r="B390" s="122"/>
      <c r="C390" s="122"/>
      <c r="D390" s="122"/>
      <c r="E390" s="122"/>
      <c r="F390" s="122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  <c r="AA390" s="122"/>
      <c r="AB390" s="122"/>
    </row>
    <row r="391" spans="1:28" ht="15.75" customHeight="1" x14ac:dyDescent="0.2">
      <c r="A391" s="122"/>
      <c r="B391" s="122"/>
      <c r="C391" s="122"/>
      <c r="D391" s="122"/>
      <c r="E391" s="122"/>
      <c r="F391" s="122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  <c r="AA391" s="122"/>
      <c r="AB391" s="122"/>
    </row>
    <row r="392" spans="1:28" ht="15.75" customHeight="1" x14ac:dyDescent="0.2">
      <c r="A392" s="122"/>
      <c r="B392" s="122"/>
      <c r="C392" s="122"/>
      <c r="D392" s="122"/>
      <c r="E392" s="122"/>
      <c r="F392" s="122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  <c r="AA392" s="122"/>
      <c r="AB392" s="122"/>
    </row>
    <row r="393" spans="1:28" ht="15.75" customHeight="1" x14ac:dyDescent="0.2">
      <c r="A393" s="122"/>
      <c r="B393" s="122"/>
      <c r="C393" s="122"/>
      <c r="D393" s="122"/>
      <c r="E393" s="122"/>
      <c r="F393" s="122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  <c r="AA393" s="122"/>
      <c r="AB393" s="122"/>
    </row>
    <row r="394" spans="1:28" ht="15.75" customHeight="1" x14ac:dyDescent="0.2">
      <c r="A394" s="122"/>
      <c r="B394" s="122"/>
      <c r="C394" s="122"/>
      <c r="D394" s="122"/>
      <c r="E394" s="122"/>
      <c r="F394" s="122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  <c r="AA394" s="122"/>
      <c r="AB394" s="122"/>
    </row>
    <row r="395" spans="1:28" ht="15.75" customHeight="1" x14ac:dyDescent="0.2">
      <c r="A395" s="122"/>
      <c r="B395" s="122"/>
      <c r="C395" s="122"/>
      <c r="D395" s="122"/>
      <c r="E395" s="122"/>
      <c r="F395" s="122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  <c r="AA395" s="122"/>
      <c r="AB395" s="122"/>
    </row>
    <row r="396" spans="1:28" ht="15.75" customHeight="1" x14ac:dyDescent="0.2">
      <c r="A396" s="122"/>
      <c r="B396" s="122"/>
      <c r="C396" s="122"/>
      <c r="D396" s="122"/>
      <c r="E396" s="122"/>
      <c r="F396" s="122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  <c r="AA396" s="122"/>
      <c r="AB396" s="122"/>
    </row>
    <row r="397" spans="1:28" ht="15.75" customHeight="1" x14ac:dyDescent="0.2">
      <c r="A397" s="122"/>
      <c r="B397" s="122"/>
      <c r="C397" s="122"/>
      <c r="D397" s="122"/>
      <c r="E397" s="122"/>
      <c r="F397" s="122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  <c r="AA397" s="122"/>
      <c r="AB397" s="122"/>
    </row>
    <row r="398" spans="1:28" ht="15.75" customHeight="1" x14ac:dyDescent="0.2">
      <c r="A398" s="122"/>
      <c r="B398" s="122"/>
      <c r="C398" s="122"/>
      <c r="D398" s="122"/>
      <c r="E398" s="122"/>
      <c r="F398" s="122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  <c r="AA398" s="122"/>
      <c r="AB398" s="122"/>
    </row>
    <row r="399" spans="1:28" ht="15.75" customHeight="1" x14ac:dyDescent="0.2">
      <c r="A399" s="122"/>
      <c r="B399" s="122"/>
      <c r="C399" s="122"/>
      <c r="D399" s="122"/>
      <c r="E399" s="122"/>
      <c r="F399" s="122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  <c r="AA399" s="122"/>
      <c r="AB399" s="122"/>
    </row>
    <row r="400" spans="1:28" ht="15.75" customHeight="1" x14ac:dyDescent="0.2">
      <c r="A400" s="122"/>
      <c r="B400" s="122"/>
      <c r="C400" s="122"/>
      <c r="D400" s="122"/>
      <c r="E400" s="122"/>
      <c r="F400" s="122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  <c r="AA400" s="122"/>
      <c r="AB400" s="122"/>
    </row>
    <row r="401" spans="1:28" ht="15.75" customHeight="1" x14ac:dyDescent="0.2">
      <c r="A401" s="122"/>
      <c r="B401" s="122"/>
      <c r="C401" s="122"/>
      <c r="D401" s="122"/>
      <c r="E401" s="122"/>
      <c r="F401" s="122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  <c r="AA401" s="122"/>
      <c r="AB401" s="122"/>
    </row>
    <row r="402" spans="1:28" ht="15.75" customHeight="1" x14ac:dyDescent="0.2">
      <c r="A402" s="122"/>
      <c r="B402" s="122"/>
      <c r="C402" s="122"/>
      <c r="D402" s="122"/>
      <c r="E402" s="122"/>
      <c r="F402" s="122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  <c r="AA402" s="122"/>
      <c r="AB402" s="122"/>
    </row>
    <row r="403" spans="1:28" ht="15.75" customHeight="1" x14ac:dyDescent="0.2">
      <c r="A403" s="122"/>
      <c r="B403" s="122"/>
      <c r="C403" s="122"/>
      <c r="D403" s="122"/>
      <c r="E403" s="122"/>
      <c r="F403" s="122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  <c r="AA403" s="122"/>
      <c r="AB403" s="122"/>
    </row>
    <row r="404" spans="1:28" ht="15.75" customHeight="1" x14ac:dyDescent="0.2">
      <c r="A404" s="122"/>
      <c r="B404" s="122"/>
      <c r="C404" s="122"/>
      <c r="D404" s="122"/>
      <c r="E404" s="122"/>
      <c r="F404" s="122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  <c r="AA404" s="122"/>
      <c r="AB404" s="122"/>
    </row>
    <row r="405" spans="1:28" ht="15.75" customHeight="1" x14ac:dyDescent="0.2">
      <c r="A405" s="122"/>
      <c r="B405" s="122"/>
      <c r="C405" s="122"/>
      <c r="D405" s="122"/>
      <c r="E405" s="122"/>
      <c r="F405" s="122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  <c r="AA405" s="122"/>
      <c r="AB405" s="122"/>
    </row>
    <row r="406" spans="1:28" ht="15.75" customHeight="1" x14ac:dyDescent="0.2">
      <c r="A406" s="122"/>
      <c r="B406" s="122"/>
      <c r="C406" s="122"/>
      <c r="D406" s="122"/>
      <c r="E406" s="122"/>
      <c r="F406" s="122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  <c r="AA406" s="122"/>
      <c r="AB406" s="122"/>
    </row>
    <row r="407" spans="1:28" ht="15.75" customHeight="1" x14ac:dyDescent="0.2">
      <c r="A407" s="122"/>
      <c r="B407" s="122"/>
      <c r="C407" s="122"/>
      <c r="D407" s="122"/>
      <c r="E407" s="122"/>
      <c r="F407" s="122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  <c r="AA407" s="122"/>
      <c r="AB407" s="122"/>
    </row>
    <row r="408" spans="1:28" ht="15.75" customHeight="1" x14ac:dyDescent="0.2">
      <c r="A408" s="122"/>
      <c r="B408" s="122"/>
      <c r="C408" s="122"/>
      <c r="D408" s="122"/>
      <c r="E408" s="122"/>
      <c r="F408" s="122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  <c r="AA408" s="122"/>
      <c r="AB408" s="122"/>
    </row>
    <row r="409" spans="1:28" ht="15.75" customHeight="1" x14ac:dyDescent="0.2">
      <c r="A409" s="122"/>
      <c r="B409" s="122"/>
      <c r="C409" s="122"/>
      <c r="D409" s="122"/>
      <c r="E409" s="122"/>
      <c r="F409" s="122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  <c r="AA409" s="122"/>
      <c r="AB409" s="122"/>
    </row>
    <row r="410" spans="1:28" ht="15.75" customHeight="1" x14ac:dyDescent="0.2">
      <c r="A410" s="122"/>
      <c r="B410" s="122"/>
      <c r="C410" s="122"/>
      <c r="D410" s="122"/>
      <c r="E410" s="122"/>
      <c r="F410" s="122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  <c r="AA410" s="122"/>
      <c r="AB410" s="122"/>
    </row>
    <row r="411" spans="1:28" ht="15.75" customHeight="1" x14ac:dyDescent="0.2">
      <c r="A411" s="122"/>
      <c r="B411" s="122"/>
      <c r="C411" s="122"/>
      <c r="D411" s="122"/>
      <c r="E411" s="122"/>
      <c r="F411" s="122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  <c r="AA411" s="122"/>
      <c r="AB411" s="122"/>
    </row>
    <row r="412" spans="1:28" ht="15.75" customHeight="1" x14ac:dyDescent="0.2">
      <c r="A412" s="122"/>
      <c r="B412" s="122"/>
      <c r="C412" s="122"/>
      <c r="D412" s="122"/>
      <c r="E412" s="122"/>
      <c r="F412" s="122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  <c r="AA412" s="122"/>
      <c r="AB412" s="122"/>
    </row>
    <row r="413" spans="1:28" ht="15.75" customHeight="1" x14ac:dyDescent="0.2">
      <c r="A413" s="122"/>
      <c r="B413" s="122"/>
      <c r="C413" s="122"/>
      <c r="D413" s="122"/>
      <c r="E413" s="122"/>
      <c r="F413" s="122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  <c r="AA413" s="122"/>
      <c r="AB413" s="122"/>
    </row>
    <row r="414" spans="1:28" ht="15.75" customHeight="1" x14ac:dyDescent="0.2">
      <c r="A414" s="122"/>
      <c r="B414" s="122"/>
      <c r="C414" s="122"/>
      <c r="D414" s="122"/>
      <c r="E414" s="122"/>
      <c r="F414" s="122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  <c r="AA414" s="122"/>
      <c r="AB414" s="122"/>
    </row>
    <row r="415" spans="1:28" ht="15.75" customHeight="1" x14ac:dyDescent="0.2">
      <c r="A415" s="122"/>
      <c r="B415" s="122"/>
      <c r="C415" s="122"/>
      <c r="D415" s="122"/>
      <c r="E415" s="122"/>
      <c r="F415" s="122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  <c r="AA415" s="122"/>
      <c r="AB415" s="122"/>
    </row>
    <row r="416" spans="1:28" ht="15.75" customHeight="1" x14ac:dyDescent="0.2">
      <c r="A416" s="122"/>
      <c r="B416" s="122"/>
      <c r="C416" s="122"/>
      <c r="D416" s="122"/>
      <c r="E416" s="122"/>
      <c r="F416" s="122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  <c r="AA416" s="122"/>
      <c r="AB416" s="122"/>
    </row>
    <row r="417" spans="1:28" ht="15.75" customHeight="1" x14ac:dyDescent="0.2">
      <c r="A417" s="122"/>
      <c r="B417" s="122"/>
      <c r="C417" s="122"/>
      <c r="D417" s="122"/>
      <c r="E417" s="122"/>
      <c r="F417" s="122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  <c r="AA417" s="122"/>
      <c r="AB417" s="122"/>
    </row>
    <row r="418" spans="1:28" ht="15.75" customHeight="1" x14ac:dyDescent="0.2">
      <c r="A418" s="122"/>
      <c r="B418" s="122"/>
      <c r="C418" s="122"/>
      <c r="D418" s="122"/>
      <c r="E418" s="122"/>
      <c r="F418" s="122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  <c r="AA418" s="122"/>
      <c r="AB418" s="122"/>
    </row>
    <row r="419" spans="1:28" ht="15.75" customHeight="1" x14ac:dyDescent="0.2">
      <c r="A419" s="122"/>
      <c r="B419" s="122"/>
      <c r="C419" s="122"/>
      <c r="D419" s="122"/>
      <c r="E419" s="122"/>
      <c r="F419" s="122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  <c r="AA419" s="122"/>
      <c r="AB419" s="122"/>
    </row>
    <row r="420" spans="1:28" ht="15.75" customHeight="1" x14ac:dyDescent="0.2">
      <c r="A420" s="122"/>
      <c r="B420" s="122"/>
      <c r="C420" s="122"/>
      <c r="D420" s="122"/>
      <c r="E420" s="122"/>
      <c r="F420" s="122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  <c r="AA420" s="122"/>
      <c r="AB420" s="122"/>
    </row>
    <row r="421" spans="1:28" ht="15.75" customHeight="1" x14ac:dyDescent="0.2">
      <c r="A421" s="122"/>
      <c r="B421" s="122"/>
      <c r="C421" s="122"/>
      <c r="D421" s="122"/>
      <c r="E421" s="122"/>
      <c r="F421" s="122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  <c r="AA421" s="122"/>
      <c r="AB421" s="122"/>
    </row>
    <row r="422" spans="1:28" ht="15.75" customHeight="1" x14ac:dyDescent="0.2">
      <c r="A422" s="122"/>
      <c r="B422" s="122"/>
      <c r="C422" s="122"/>
      <c r="D422" s="122"/>
      <c r="E422" s="122"/>
      <c r="F422" s="122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  <c r="AA422" s="122"/>
      <c r="AB422" s="122"/>
    </row>
    <row r="423" spans="1:28" ht="15.75" customHeight="1" x14ac:dyDescent="0.2">
      <c r="A423" s="122"/>
      <c r="B423" s="122"/>
      <c r="C423" s="122"/>
      <c r="D423" s="122"/>
      <c r="E423" s="122"/>
      <c r="F423" s="122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  <c r="AA423" s="122"/>
      <c r="AB423" s="122"/>
    </row>
    <row r="424" spans="1:28" ht="15.75" customHeight="1" x14ac:dyDescent="0.2">
      <c r="A424" s="122"/>
      <c r="B424" s="122"/>
      <c r="C424" s="122"/>
      <c r="D424" s="122"/>
      <c r="E424" s="122"/>
      <c r="F424" s="122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  <c r="AA424" s="122"/>
      <c r="AB424" s="122"/>
    </row>
    <row r="425" spans="1:28" ht="15.75" customHeight="1" x14ac:dyDescent="0.2">
      <c r="A425" s="122"/>
      <c r="B425" s="122"/>
      <c r="C425" s="122"/>
      <c r="D425" s="122"/>
      <c r="E425" s="122"/>
      <c r="F425" s="122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  <c r="AA425" s="122"/>
      <c r="AB425" s="122"/>
    </row>
    <row r="426" spans="1:28" ht="15.75" customHeight="1" x14ac:dyDescent="0.2">
      <c r="A426" s="122"/>
      <c r="B426" s="122"/>
      <c r="C426" s="122"/>
      <c r="D426" s="122"/>
      <c r="E426" s="122"/>
      <c r="F426" s="122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  <c r="AA426" s="122"/>
      <c r="AB426" s="122"/>
    </row>
    <row r="427" spans="1:28" ht="15.75" customHeight="1" x14ac:dyDescent="0.2">
      <c r="A427" s="122"/>
      <c r="B427" s="122"/>
      <c r="C427" s="122"/>
      <c r="D427" s="122"/>
      <c r="E427" s="122"/>
      <c r="F427" s="122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  <c r="AA427" s="122"/>
      <c r="AB427" s="122"/>
    </row>
    <row r="428" spans="1:28" ht="15.75" customHeight="1" x14ac:dyDescent="0.2">
      <c r="A428" s="122"/>
      <c r="B428" s="122"/>
      <c r="C428" s="122"/>
      <c r="D428" s="122"/>
      <c r="E428" s="122"/>
      <c r="F428" s="122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  <c r="AA428" s="122"/>
      <c r="AB428" s="122"/>
    </row>
    <row r="429" spans="1:28" ht="15.75" customHeight="1" x14ac:dyDescent="0.2">
      <c r="A429" s="122"/>
      <c r="B429" s="122"/>
      <c r="C429" s="122"/>
      <c r="D429" s="122"/>
      <c r="E429" s="122"/>
      <c r="F429" s="122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  <c r="AA429" s="122"/>
      <c r="AB429" s="122"/>
    </row>
    <row r="430" spans="1:28" ht="15.75" customHeight="1" x14ac:dyDescent="0.2">
      <c r="A430" s="122"/>
      <c r="B430" s="122"/>
      <c r="C430" s="122"/>
      <c r="D430" s="122"/>
      <c r="E430" s="122"/>
      <c r="F430" s="122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  <c r="AA430" s="122"/>
      <c r="AB430" s="122"/>
    </row>
    <row r="431" spans="1:28" ht="15.75" customHeight="1" x14ac:dyDescent="0.2">
      <c r="A431" s="122"/>
      <c r="B431" s="122"/>
      <c r="C431" s="122"/>
      <c r="D431" s="122"/>
      <c r="E431" s="122"/>
      <c r="F431" s="122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  <c r="AA431" s="122"/>
      <c r="AB431" s="122"/>
    </row>
    <row r="432" spans="1:28" ht="15.75" customHeight="1" x14ac:dyDescent="0.2">
      <c r="A432" s="122"/>
      <c r="B432" s="122"/>
      <c r="C432" s="122"/>
      <c r="D432" s="122"/>
      <c r="E432" s="122"/>
      <c r="F432" s="122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  <c r="AA432" s="122"/>
      <c r="AB432" s="122"/>
    </row>
    <row r="433" spans="1:28" ht="15.75" customHeight="1" x14ac:dyDescent="0.2">
      <c r="A433" s="122"/>
      <c r="B433" s="122"/>
      <c r="C433" s="122"/>
      <c r="D433" s="122"/>
      <c r="E433" s="122"/>
      <c r="F433" s="122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  <c r="AA433" s="122"/>
      <c r="AB433" s="122"/>
    </row>
    <row r="434" spans="1:28" ht="15.75" customHeight="1" x14ac:dyDescent="0.2">
      <c r="A434" s="122"/>
      <c r="B434" s="122"/>
      <c r="C434" s="122"/>
      <c r="D434" s="122"/>
      <c r="E434" s="122"/>
      <c r="F434" s="122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  <c r="AA434" s="122"/>
      <c r="AB434" s="122"/>
    </row>
    <row r="435" spans="1:28" ht="15.75" customHeight="1" x14ac:dyDescent="0.2">
      <c r="A435" s="122"/>
      <c r="B435" s="122"/>
      <c r="C435" s="122"/>
      <c r="D435" s="122"/>
      <c r="E435" s="122"/>
      <c r="F435" s="122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  <c r="AA435" s="122"/>
      <c r="AB435" s="122"/>
    </row>
    <row r="436" spans="1:28" ht="15.75" customHeight="1" x14ac:dyDescent="0.2">
      <c r="A436" s="122"/>
      <c r="B436" s="122"/>
      <c r="C436" s="122"/>
      <c r="D436" s="122"/>
      <c r="E436" s="122"/>
      <c r="F436" s="122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  <c r="AA436" s="122"/>
      <c r="AB436" s="122"/>
    </row>
    <row r="437" spans="1:28" ht="15.75" customHeight="1" x14ac:dyDescent="0.2">
      <c r="A437" s="122"/>
      <c r="B437" s="122"/>
      <c r="C437" s="122"/>
      <c r="D437" s="122"/>
      <c r="E437" s="122"/>
      <c r="F437" s="122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  <c r="AA437" s="122"/>
      <c r="AB437" s="122"/>
    </row>
    <row r="438" spans="1:28" ht="15.75" customHeight="1" x14ac:dyDescent="0.2">
      <c r="A438" s="122"/>
      <c r="B438" s="122"/>
      <c r="C438" s="122"/>
      <c r="D438" s="122"/>
      <c r="E438" s="122"/>
      <c r="F438" s="122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  <c r="AA438" s="122"/>
      <c r="AB438" s="122"/>
    </row>
    <row r="439" spans="1:28" ht="15.75" customHeight="1" x14ac:dyDescent="0.2">
      <c r="A439" s="122"/>
      <c r="B439" s="122"/>
      <c r="C439" s="122"/>
      <c r="D439" s="122"/>
      <c r="E439" s="122"/>
      <c r="F439" s="122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  <c r="AA439" s="122"/>
      <c r="AB439" s="122"/>
    </row>
    <row r="440" spans="1:28" ht="15.75" customHeight="1" x14ac:dyDescent="0.2">
      <c r="A440" s="122"/>
      <c r="B440" s="122"/>
      <c r="C440" s="122"/>
      <c r="D440" s="122"/>
      <c r="E440" s="122"/>
      <c r="F440" s="122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  <c r="AA440" s="122"/>
      <c r="AB440" s="122"/>
    </row>
    <row r="441" spans="1:28" ht="15.75" customHeight="1" x14ac:dyDescent="0.2">
      <c r="A441" s="122"/>
      <c r="B441" s="122"/>
      <c r="C441" s="122"/>
      <c r="D441" s="122"/>
      <c r="E441" s="122"/>
      <c r="F441" s="122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  <c r="AA441" s="122"/>
      <c r="AB441" s="122"/>
    </row>
    <row r="442" spans="1:28" ht="15.75" customHeight="1" x14ac:dyDescent="0.2">
      <c r="A442" s="122"/>
      <c r="B442" s="122"/>
      <c r="C442" s="122"/>
      <c r="D442" s="122"/>
      <c r="E442" s="122"/>
      <c r="F442" s="122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  <c r="AA442" s="122"/>
      <c r="AB442" s="122"/>
    </row>
    <row r="443" spans="1:28" ht="15.75" customHeight="1" x14ac:dyDescent="0.2">
      <c r="A443" s="122"/>
      <c r="B443" s="122"/>
      <c r="C443" s="122"/>
      <c r="D443" s="122"/>
      <c r="E443" s="122"/>
      <c r="F443" s="122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  <c r="AA443" s="122"/>
      <c r="AB443" s="122"/>
    </row>
    <row r="444" spans="1:28" ht="15.75" customHeight="1" x14ac:dyDescent="0.2">
      <c r="A444" s="122"/>
      <c r="B444" s="122"/>
      <c r="C444" s="122"/>
      <c r="D444" s="122"/>
      <c r="E444" s="122"/>
      <c r="F444" s="122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  <c r="AA444" s="122"/>
      <c r="AB444" s="122"/>
    </row>
    <row r="445" spans="1:28" ht="15.75" customHeight="1" x14ac:dyDescent="0.2">
      <c r="A445" s="122"/>
      <c r="B445" s="122"/>
      <c r="C445" s="122"/>
      <c r="D445" s="122"/>
      <c r="E445" s="122"/>
      <c r="F445" s="122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  <c r="AA445" s="122"/>
      <c r="AB445" s="122"/>
    </row>
    <row r="446" spans="1:28" ht="15.75" customHeight="1" x14ac:dyDescent="0.2">
      <c r="A446" s="122"/>
      <c r="B446" s="122"/>
      <c r="C446" s="122"/>
      <c r="D446" s="122"/>
      <c r="E446" s="122"/>
      <c r="F446" s="122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  <c r="AA446" s="122"/>
      <c r="AB446" s="122"/>
    </row>
    <row r="447" spans="1:28" ht="15.75" customHeight="1" x14ac:dyDescent="0.2">
      <c r="A447" s="122"/>
      <c r="B447" s="122"/>
      <c r="C447" s="122"/>
      <c r="D447" s="122"/>
      <c r="E447" s="122"/>
      <c r="F447" s="122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  <c r="AA447" s="122"/>
      <c r="AB447" s="122"/>
    </row>
    <row r="448" spans="1:28" ht="15.75" customHeight="1" x14ac:dyDescent="0.2">
      <c r="A448" s="122"/>
      <c r="B448" s="122"/>
      <c r="C448" s="122"/>
      <c r="D448" s="122"/>
      <c r="E448" s="122"/>
      <c r="F448" s="122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  <c r="AA448" s="122"/>
      <c r="AB448" s="122"/>
    </row>
    <row r="449" spans="1:28" ht="15.75" customHeight="1" x14ac:dyDescent="0.2">
      <c r="A449" s="122"/>
      <c r="B449" s="122"/>
      <c r="C449" s="122"/>
      <c r="D449" s="122"/>
      <c r="E449" s="122"/>
      <c r="F449" s="122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  <c r="AA449" s="122"/>
      <c r="AB449" s="122"/>
    </row>
    <row r="450" spans="1:28" ht="15.75" customHeight="1" x14ac:dyDescent="0.2">
      <c r="A450" s="122"/>
      <c r="B450" s="122"/>
      <c r="C450" s="122"/>
      <c r="D450" s="122"/>
      <c r="E450" s="122"/>
      <c r="F450" s="122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  <c r="AA450" s="122"/>
      <c r="AB450" s="122"/>
    </row>
    <row r="451" spans="1:28" ht="15.75" customHeight="1" x14ac:dyDescent="0.2">
      <c r="A451" s="122"/>
      <c r="B451" s="122"/>
      <c r="C451" s="122"/>
      <c r="D451" s="122"/>
      <c r="E451" s="122"/>
      <c r="F451" s="122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  <c r="AA451" s="122"/>
      <c r="AB451" s="122"/>
    </row>
    <row r="452" spans="1:28" ht="15.75" customHeight="1" x14ac:dyDescent="0.2">
      <c r="A452" s="122"/>
      <c r="B452" s="122"/>
      <c r="C452" s="122"/>
      <c r="D452" s="122"/>
      <c r="E452" s="122"/>
      <c r="F452" s="122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  <c r="AA452" s="122"/>
      <c r="AB452" s="122"/>
    </row>
    <row r="453" spans="1:28" ht="15.75" customHeight="1" x14ac:dyDescent="0.2">
      <c r="A453" s="122"/>
      <c r="B453" s="122"/>
      <c r="C453" s="122"/>
      <c r="D453" s="122"/>
      <c r="E453" s="122"/>
      <c r="F453" s="122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  <c r="AA453" s="122"/>
      <c r="AB453" s="122"/>
    </row>
    <row r="454" spans="1:28" ht="15.75" customHeight="1" x14ac:dyDescent="0.2">
      <c r="A454" s="122"/>
      <c r="B454" s="122"/>
      <c r="C454" s="122"/>
      <c r="D454" s="122"/>
      <c r="E454" s="122"/>
      <c r="F454" s="122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  <c r="AA454" s="122"/>
      <c r="AB454" s="122"/>
    </row>
    <row r="455" spans="1:28" ht="15.75" customHeight="1" x14ac:dyDescent="0.2">
      <c r="A455" s="122"/>
      <c r="B455" s="122"/>
      <c r="C455" s="122"/>
      <c r="D455" s="122"/>
      <c r="E455" s="122"/>
      <c r="F455" s="122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  <c r="AA455" s="122"/>
      <c r="AB455" s="122"/>
    </row>
    <row r="456" spans="1:28" ht="15.75" customHeight="1" x14ac:dyDescent="0.2">
      <c r="A456" s="122"/>
      <c r="B456" s="122"/>
      <c r="C456" s="122"/>
      <c r="D456" s="122"/>
      <c r="E456" s="122"/>
      <c r="F456" s="122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  <c r="AA456" s="122"/>
      <c r="AB456" s="122"/>
    </row>
    <row r="457" spans="1:28" ht="15.75" customHeight="1" x14ac:dyDescent="0.2">
      <c r="A457" s="122"/>
      <c r="B457" s="122"/>
      <c r="C457" s="122"/>
      <c r="D457" s="122"/>
      <c r="E457" s="122"/>
      <c r="F457" s="122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  <c r="AA457" s="122"/>
      <c r="AB457" s="122"/>
    </row>
    <row r="458" spans="1:28" ht="15.75" customHeight="1" x14ac:dyDescent="0.2">
      <c r="A458" s="122"/>
      <c r="B458" s="122"/>
      <c r="C458" s="122"/>
      <c r="D458" s="122"/>
      <c r="E458" s="122"/>
      <c r="F458" s="122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  <c r="AA458" s="122"/>
      <c r="AB458" s="122"/>
    </row>
    <row r="459" spans="1:28" ht="15.75" customHeight="1" x14ac:dyDescent="0.2">
      <c r="A459" s="122"/>
      <c r="B459" s="122"/>
      <c r="C459" s="122"/>
      <c r="D459" s="122"/>
      <c r="E459" s="122"/>
      <c r="F459" s="122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  <c r="AA459" s="122"/>
      <c r="AB459" s="122"/>
    </row>
    <row r="460" spans="1:28" ht="15.75" customHeight="1" x14ac:dyDescent="0.2">
      <c r="A460" s="122"/>
      <c r="B460" s="122"/>
      <c r="C460" s="122"/>
      <c r="D460" s="122"/>
      <c r="E460" s="122"/>
      <c r="F460" s="122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  <c r="AA460" s="122"/>
      <c r="AB460" s="122"/>
    </row>
    <row r="461" spans="1:28" ht="15.75" customHeight="1" x14ac:dyDescent="0.2">
      <c r="A461" s="122"/>
      <c r="B461" s="122"/>
      <c r="C461" s="122"/>
      <c r="D461" s="122"/>
      <c r="E461" s="122"/>
      <c r="F461" s="122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  <c r="AA461" s="122"/>
      <c r="AB461" s="122"/>
    </row>
    <row r="462" spans="1:28" ht="15.75" customHeight="1" x14ac:dyDescent="0.2">
      <c r="A462" s="122"/>
      <c r="B462" s="122"/>
      <c r="C462" s="122"/>
      <c r="D462" s="122"/>
      <c r="E462" s="122"/>
      <c r="F462" s="122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  <c r="AA462" s="122"/>
      <c r="AB462" s="122"/>
    </row>
    <row r="463" spans="1:28" ht="15.75" customHeight="1" x14ac:dyDescent="0.2">
      <c r="A463" s="122"/>
      <c r="B463" s="122"/>
      <c r="C463" s="122"/>
      <c r="D463" s="122"/>
      <c r="E463" s="122"/>
      <c r="F463" s="122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  <c r="AA463" s="122"/>
      <c r="AB463" s="122"/>
    </row>
    <row r="464" spans="1:28" ht="15.75" customHeight="1" x14ac:dyDescent="0.2">
      <c r="A464" s="122"/>
      <c r="B464" s="122"/>
      <c r="C464" s="122"/>
      <c r="D464" s="122"/>
      <c r="E464" s="122"/>
      <c r="F464" s="122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  <c r="AA464" s="122"/>
      <c r="AB464" s="122"/>
    </row>
    <row r="465" spans="1:28" ht="15.75" customHeight="1" x14ac:dyDescent="0.2">
      <c r="A465" s="122"/>
      <c r="B465" s="122"/>
      <c r="C465" s="122"/>
      <c r="D465" s="122"/>
      <c r="E465" s="122"/>
      <c r="F465" s="122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  <c r="AA465" s="122"/>
      <c r="AB465" s="122"/>
    </row>
    <row r="466" spans="1:28" ht="15.75" customHeight="1" x14ac:dyDescent="0.2">
      <c r="A466" s="122"/>
      <c r="B466" s="122"/>
      <c r="C466" s="122"/>
      <c r="D466" s="122"/>
      <c r="E466" s="122"/>
      <c r="F466" s="122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  <c r="AA466" s="122"/>
      <c r="AB466" s="122"/>
    </row>
    <row r="467" spans="1:28" ht="15.75" customHeight="1" x14ac:dyDescent="0.2">
      <c r="A467" s="122"/>
      <c r="B467" s="122"/>
      <c r="C467" s="122"/>
      <c r="D467" s="122"/>
      <c r="E467" s="122"/>
      <c r="F467" s="122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  <c r="AA467" s="122"/>
      <c r="AB467" s="122"/>
    </row>
    <row r="468" spans="1:28" ht="15.75" customHeight="1" x14ac:dyDescent="0.2">
      <c r="A468" s="122"/>
      <c r="B468" s="122"/>
      <c r="C468" s="122"/>
      <c r="D468" s="122"/>
      <c r="E468" s="122"/>
      <c r="F468" s="122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  <c r="AA468" s="122"/>
      <c r="AB468" s="122"/>
    </row>
    <row r="469" spans="1:28" ht="15.75" customHeight="1" x14ac:dyDescent="0.2">
      <c r="A469" s="122"/>
      <c r="B469" s="122"/>
      <c r="C469" s="122"/>
      <c r="D469" s="122"/>
      <c r="E469" s="122"/>
      <c r="F469" s="122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  <c r="AA469" s="122"/>
      <c r="AB469" s="122"/>
    </row>
    <row r="470" spans="1:28" ht="15.75" customHeight="1" x14ac:dyDescent="0.2">
      <c r="A470" s="122"/>
      <c r="B470" s="122"/>
      <c r="C470" s="122"/>
      <c r="D470" s="122"/>
      <c r="E470" s="122"/>
      <c r="F470" s="122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  <c r="AA470" s="122"/>
      <c r="AB470" s="122"/>
    </row>
    <row r="471" spans="1:28" ht="15.75" customHeight="1" x14ac:dyDescent="0.2">
      <c r="A471" s="122"/>
      <c r="B471" s="122"/>
      <c r="C471" s="122"/>
      <c r="D471" s="122"/>
      <c r="E471" s="122"/>
      <c r="F471" s="122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  <c r="AA471" s="122"/>
      <c r="AB471" s="122"/>
    </row>
    <row r="472" spans="1:28" ht="15.75" customHeight="1" x14ac:dyDescent="0.2">
      <c r="A472" s="122"/>
      <c r="B472" s="122"/>
      <c r="C472" s="122"/>
      <c r="D472" s="122"/>
      <c r="E472" s="122"/>
      <c r="F472" s="122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  <c r="AA472" s="122"/>
      <c r="AB472" s="122"/>
    </row>
    <row r="473" spans="1:28" ht="15.75" customHeight="1" x14ac:dyDescent="0.2">
      <c r="A473" s="122"/>
      <c r="B473" s="122"/>
      <c r="C473" s="122"/>
      <c r="D473" s="122"/>
      <c r="E473" s="122"/>
      <c r="F473" s="122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  <c r="AA473" s="122"/>
      <c r="AB473" s="122"/>
    </row>
    <row r="474" spans="1:28" ht="15.75" customHeight="1" x14ac:dyDescent="0.2">
      <c r="A474" s="122"/>
      <c r="B474" s="122"/>
      <c r="C474" s="122"/>
      <c r="D474" s="122"/>
      <c r="E474" s="122"/>
      <c r="F474" s="122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  <c r="AA474" s="122"/>
      <c r="AB474" s="122"/>
    </row>
    <row r="475" spans="1:28" ht="15.75" customHeight="1" x14ac:dyDescent="0.2">
      <c r="A475" s="122"/>
      <c r="B475" s="122"/>
      <c r="C475" s="122"/>
      <c r="D475" s="122"/>
      <c r="E475" s="122"/>
      <c r="F475" s="122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  <c r="AA475" s="122"/>
      <c r="AB475" s="122"/>
    </row>
    <row r="476" spans="1:28" ht="15.75" customHeight="1" x14ac:dyDescent="0.2">
      <c r="A476" s="122"/>
      <c r="B476" s="122"/>
      <c r="C476" s="122"/>
      <c r="D476" s="122"/>
      <c r="E476" s="122"/>
      <c r="F476" s="122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  <c r="AA476" s="122"/>
      <c r="AB476" s="122"/>
    </row>
    <row r="477" spans="1:28" ht="15.75" customHeight="1" x14ac:dyDescent="0.2">
      <c r="A477" s="122"/>
      <c r="B477" s="122"/>
      <c r="C477" s="122"/>
      <c r="D477" s="122"/>
      <c r="E477" s="122"/>
      <c r="F477" s="122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  <c r="AA477" s="122"/>
      <c r="AB477" s="122"/>
    </row>
    <row r="478" spans="1:28" ht="15.75" customHeight="1" x14ac:dyDescent="0.2">
      <c r="A478" s="122"/>
      <c r="B478" s="122"/>
      <c r="C478" s="122"/>
      <c r="D478" s="122"/>
      <c r="E478" s="122"/>
      <c r="F478" s="122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  <c r="AA478" s="122"/>
      <c r="AB478" s="122"/>
    </row>
    <row r="479" spans="1:28" ht="15.75" customHeight="1" x14ac:dyDescent="0.2">
      <c r="A479" s="122"/>
      <c r="B479" s="122"/>
      <c r="C479" s="122"/>
      <c r="D479" s="122"/>
      <c r="E479" s="122"/>
      <c r="F479" s="122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  <c r="AA479" s="122"/>
      <c r="AB479" s="122"/>
    </row>
    <row r="480" spans="1:28" ht="15.75" customHeight="1" x14ac:dyDescent="0.2">
      <c r="A480" s="122"/>
      <c r="B480" s="122"/>
      <c r="C480" s="122"/>
      <c r="D480" s="122"/>
      <c r="E480" s="122"/>
      <c r="F480" s="122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  <c r="AA480" s="122"/>
      <c r="AB480" s="122"/>
    </row>
    <row r="481" spans="1:28" ht="15.75" customHeight="1" x14ac:dyDescent="0.2">
      <c r="A481" s="122"/>
      <c r="B481" s="122"/>
      <c r="C481" s="122"/>
      <c r="D481" s="122"/>
      <c r="E481" s="122"/>
      <c r="F481" s="122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  <c r="AA481" s="122"/>
      <c r="AB481" s="122"/>
    </row>
    <row r="482" spans="1:28" ht="15.75" customHeight="1" x14ac:dyDescent="0.2">
      <c r="A482" s="122"/>
      <c r="B482" s="122"/>
      <c r="C482" s="122"/>
      <c r="D482" s="122"/>
      <c r="E482" s="122"/>
      <c r="F482" s="122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  <c r="AA482" s="122"/>
      <c r="AB482" s="122"/>
    </row>
    <row r="483" spans="1:28" ht="15.75" customHeight="1" x14ac:dyDescent="0.2">
      <c r="A483" s="122"/>
      <c r="B483" s="122"/>
      <c r="C483" s="122"/>
      <c r="D483" s="122"/>
      <c r="E483" s="122"/>
      <c r="F483" s="122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  <c r="AA483" s="122"/>
      <c r="AB483" s="122"/>
    </row>
    <row r="484" spans="1:28" ht="15.75" customHeight="1" x14ac:dyDescent="0.2">
      <c r="A484" s="122"/>
      <c r="B484" s="122"/>
      <c r="C484" s="122"/>
      <c r="D484" s="122"/>
      <c r="E484" s="122"/>
      <c r="F484" s="122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  <c r="AA484" s="122"/>
      <c r="AB484" s="122"/>
    </row>
    <row r="485" spans="1:28" ht="15.75" customHeight="1" x14ac:dyDescent="0.2">
      <c r="A485" s="122"/>
      <c r="B485" s="122"/>
      <c r="C485" s="122"/>
      <c r="D485" s="122"/>
      <c r="E485" s="122"/>
      <c r="F485" s="122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  <c r="AA485" s="122"/>
      <c r="AB485" s="122"/>
    </row>
    <row r="486" spans="1:28" ht="15.75" customHeight="1" x14ac:dyDescent="0.2">
      <c r="A486" s="122"/>
      <c r="B486" s="122"/>
      <c r="C486" s="122"/>
      <c r="D486" s="122"/>
      <c r="E486" s="122"/>
      <c r="F486" s="122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  <c r="AA486" s="122"/>
      <c r="AB486" s="122"/>
    </row>
    <row r="487" spans="1:28" ht="15.75" customHeight="1" x14ac:dyDescent="0.2">
      <c r="A487" s="122"/>
      <c r="B487" s="122"/>
      <c r="C487" s="122"/>
      <c r="D487" s="122"/>
      <c r="E487" s="122"/>
      <c r="F487" s="122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  <c r="AA487" s="122"/>
      <c r="AB487" s="122"/>
    </row>
    <row r="488" spans="1:28" ht="15.75" customHeight="1" x14ac:dyDescent="0.2">
      <c r="A488" s="122"/>
      <c r="B488" s="122"/>
      <c r="C488" s="122"/>
      <c r="D488" s="122"/>
      <c r="E488" s="122"/>
      <c r="F488" s="122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  <c r="AA488" s="122"/>
      <c r="AB488" s="122"/>
    </row>
    <row r="489" spans="1:28" ht="15.75" customHeight="1" x14ac:dyDescent="0.2">
      <c r="A489" s="122"/>
      <c r="B489" s="122"/>
      <c r="C489" s="122"/>
      <c r="D489" s="122"/>
      <c r="E489" s="122"/>
      <c r="F489" s="122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  <c r="AA489" s="122"/>
      <c r="AB489" s="122"/>
    </row>
    <row r="490" spans="1:28" ht="15.75" customHeight="1" x14ac:dyDescent="0.2">
      <c r="A490" s="122"/>
      <c r="B490" s="122"/>
      <c r="C490" s="122"/>
      <c r="D490" s="122"/>
      <c r="E490" s="122"/>
      <c r="F490" s="122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  <c r="AA490" s="122"/>
      <c r="AB490" s="122"/>
    </row>
    <row r="491" spans="1:28" ht="15.75" customHeight="1" x14ac:dyDescent="0.2">
      <c r="A491" s="122"/>
      <c r="B491" s="122"/>
      <c r="C491" s="122"/>
      <c r="D491" s="122"/>
      <c r="E491" s="122"/>
      <c r="F491" s="122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  <c r="AA491" s="122"/>
      <c r="AB491" s="122"/>
    </row>
    <row r="492" spans="1:28" ht="15.75" customHeight="1" x14ac:dyDescent="0.2">
      <c r="A492" s="122"/>
      <c r="B492" s="122"/>
      <c r="C492" s="122"/>
      <c r="D492" s="122"/>
      <c r="E492" s="122"/>
      <c r="F492" s="122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  <c r="AA492" s="122"/>
      <c r="AB492" s="122"/>
    </row>
    <row r="493" spans="1:28" ht="15.75" customHeight="1" x14ac:dyDescent="0.2">
      <c r="A493" s="122"/>
      <c r="B493" s="122"/>
      <c r="C493" s="122"/>
      <c r="D493" s="122"/>
      <c r="E493" s="122"/>
      <c r="F493" s="122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  <c r="AA493" s="122"/>
      <c r="AB493" s="122"/>
    </row>
    <row r="494" spans="1:28" ht="15.75" customHeight="1" x14ac:dyDescent="0.2">
      <c r="A494" s="122"/>
      <c r="B494" s="122"/>
      <c r="C494" s="122"/>
      <c r="D494" s="122"/>
      <c r="E494" s="122"/>
      <c r="F494" s="122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  <c r="AA494" s="122"/>
      <c r="AB494" s="122"/>
    </row>
    <row r="495" spans="1:28" ht="15.75" customHeight="1" x14ac:dyDescent="0.2">
      <c r="A495" s="122"/>
      <c r="B495" s="122"/>
      <c r="C495" s="122"/>
      <c r="D495" s="122"/>
      <c r="E495" s="122"/>
      <c r="F495" s="122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  <c r="AA495" s="122"/>
      <c r="AB495" s="122"/>
    </row>
    <row r="496" spans="1:28" ht="15.75" customHeight="1" x14ac:dyDescent="0.2">
      <c r="A496" s="122"/>
      <c r="B496" s="122"/>
      <c r="C496" s="122"/>
      <c r="D496" s="122"/>
      <c r="E496" s="122"/>
      <c r="F496" s="122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  <c r="AA496" s="122"/>
      <c r="AB496" s="122"/>
    </row>
    <row r="497" spans="1:28" ht="15.75" customHeight="1" x14ac:dyDescent="0.2">
      <c r="A497" s="122"/>
      <c r="B497" s="122"/>
      <c r="C497" s="122"/>
      <c r="D497" s="122"/>
      <c r="E497" s="122"/>
      <c r="F497" s="122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  <c r="AA497" s="122"/>
      <c r="AB497" s="122"/>
    </row>
    <row r="498" spans="1:28" ht="15.75" customHeight="1" x14ac:dyDescent="0.2">
      <c r="A498" s="122"/>
      <c r="B498" s="122"/>
      <c r="C498" s="122"/>
      <c r="D498" s="122"/>
      <c r="E498" s="122"/>
      <c r="F498" s="122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  <c r="AA498" s="122"/>
      <c r="AB498" s="122"/>
    </row>
    <row r="499" spans="1:28" ht="15.75" customHeight="1" x14ac:dyDescent="0.2">
      <c r="A499" s="122"/>
      <c r="B499" s="122"/>
      <c r="C499" s="122"/>
      <c r="D499" s="122"/>
      <c r="E499" s="122"/>
      <c r="F499" s="122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  <c r="AA499" s="122"/>
      <c r="AB499" s="122"/>
    </row>
    <row r="500" spans="1:28" ht="15.75" customHeight="1" x14ac:dyDescent="0.2">
      <c r="A500" s="122"/>
      <c r="B500" s="122"/>
      <c r="C500" s="122"/>
      <c r="D500" s="122"/>
      <c r="E500" s="122"/>
      <c r="F500" s="122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  <c r="AA500" s="122"/>
      <c r="AB500" s="122"/>
    </row>
    <row r="501" spans="1:28" ht="15.75" customHeight="1" x14ac:dyDescent="0.2">
      <c r="A501" s="122"/>
      <c r="B501" s="122"/>
      <c r="C501" s="122"/>
      <c r="D501" s="122"/>
      <c r="E501" s="122"/>
      <c r="F501" s="122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  <c r="AA501" s="122"/>
      <c r="AB501" s="122"/>
    </row>
    <row r="502" spans="1:28" ht="15.75" customHeight="1" x14ac:dyDescent="0.2">
      <c r="A502" s="122"/>
      <c r="B502" s="122"/>
      <c r="C502" s="122"/>
      <c r="D502" s="122"/>
      <c r="E502" s="122"/>
      <c r="F502" s="122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  <c r="AA502" s="122"/>
      <c r="AB502" s="122"/>
    </row>
    <row r="503" spans="1:28" ht="15.75" customHeight="1" x14ac:dyDescent="0.2">
      <c r="A503" s="122"/>
      <c r="B503" s="122"/>
      <c r="C503" s="122"/>
      <c r="D503" s="122"/>
      <c r="E503" s="122"/>
      <c r="F503" s="122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  <c r="AA503" s="122"/>
      <c r="AB503" s="122"/>
    </row>
    <row r="504" spans="1:28" ht="15.75" customHeight="1" x14ac:dyDescent="0.2">
      <c r="A504" s="122"/>
      <c r="B504" s="122"/>
      <c r="C504" s="122"/>
      <c r="D504" s="122"/>
      <c r="E504" s="122"/>
      <c r="F504" s="122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  <c r="AA504" s="122"/>
      <c r="AB504" s="122"/>
    </row>
    <row r="505" spans="1:28" ht="15.75" customHeight="1" x14ac:dyDescent="0.2">
      <c r="A505" s="122"/>
      <c r="B505" s="122"/>
      <c r="C505" s="122"/>
      <c r="D505" s="122"/>
      <c r="E505" s="122"/>
      <c r="F505" s="122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  <c r="AA505" s="122"/>
      <c r="AB505" s="122"/>
    </row>
    <row r="506" spans="1:28" ht="15.75" customHeight="1" x14ac:dyDescent="0.2">
      <c r="A506" s="122"/>
      <c r="B506" s="122"/>
      <c r="C506" s="122"/>
      <c r="D506" s="122"/>
      <c r="E506" s="122"/>
      <c r="F506" s="122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  <c r="AA506" s="122"/>
      <c r="AB506" s="122"/>
    </row>
    <row r="507" spans="1:28" ht="15.75" customHeight="1" x14ac:dyDescent="0.2">
      <c r="A507" s="122"/>
      <c r="B507" s="122"/>
      <c r="C507" s="122"/>
      <c r="D507" s="122"/>
      <c r="E507" s="122"/>
      <c r="F507" s="122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  <c r="AA507" s="122"/>
      <c r="AB507" s="122"/>
    </row>
    <row r="508" spans="1:28" ht="15.75" customHeight="1" x14ac:dyDescent="0.2">
      <c r="A508" s="122"/>
      <c r="B508" s="122"/>
      <c r="C508" s="122"/>
      <c r="D508" s="122"/>
      <c r="E508" s="122"/>
      <c r="F508" s="122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  <c r="AA508" s="122"/>
      <c r="AB508" s="122"/>
    </row>
    <row r="509" spans="1:28" ht="15.75" customHeight="1" x14ac:dyDescent="0.2">
      <c r="A509" s="122"/>
      <c r="B509" s="122"/>
      <c r="C509" s="122"/>
      <c r="D509" s="122"/>
      <c r="E509" s="122"/>
      <c r="F509" s="122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  <c r="AA509" s="122"/>
      <c r="AB509" s="122"/>
    </row>
    <row r="510" spans="1:28" ht="15.75" customHeight="1" x14ac:dyDescent="0.2">
      <c r="A510" s="122"/>
      <c r="B510" s="122"/>
      <c r="C510" s="122"/>
      <c r="D510" s="122"/>
      <c r="E510" s="122"/>
      <c r="F510" s="122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  <c r="AA510" s="122"/>
      <c r="AB510" s="122"/>
    </row>
    <row r="511" spans="1:28" ht="15.75" customHeight="1" x14ac:dyDescent="0.2">
      <c r="A511" s="122"/>
      <c r="B511" s="122"/>
      <c r="C511" s="122"/>
      <c r="D511" s="122"/>
      <c r="E511" s="122"/>
      <c r="F511" s="122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  <c r="AA511" s="122"/>
      <c r="AB511" s="122"/>
    </row>
    <row r="512" spans="1:28" ht="15.75" customHeight="1" x14ac:dyDescent="0.2">
      <c r="A512" s="122"/>
      <c r="B512" s="122"/>
      <c r="C512" s="122"/>
      <c r="D512" s="122"/>
      <c r="E512" s="122"/>
      <c r="F512" s="122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  <c r="AA512" s="122"/>
      <c r="AB512" s="122"/>
    </row>
    <row r="513" spans="1:28" ht="15.75" customHeight="1" x14ac:dyDescent="0.2">
      <c r="A513" s="122"/>
      <c r="B513" s="122"/>
      <c r="C513" s="122"/>
      <c r="D513" s="122"/>
      <c r="E513" s="122"/>
      <c r="F513" s="122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  <c r="AA513" s="122"/>
      <c r="AB513" s="122"/>
    </row>
    <row r="514" spans="1:28" ht="15.75" customHeight="1" x14ac:dyDescent="0.2">
      <c r="A514" s="122"/>
      <c r="B514" s="122"/>
      <c r="C514" s="122"/>
      <c r="D514" s="122"/>
      <c r="E514" s="122"/>
      <c r="F514" s="122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  <c r="AA514" s="122"/>
      <c r="AB514" s="122"/>
    </row>
    <row r="515" spans="1:28" ht="15.75" customHeight="1" x14ac:dyDescent="0.2">
      <c r="A515" s="122"/>
      <c r="B515" s="122"/>
      <c r="C515" s="122"/>
      <c r="D515" s="122"/>
      <c r="E515" s="122"/>
      <c r="F515" s="122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  <c r="AA515" s="122"/>
      <c r="AB515" s="122"/>
    </row>
    <row r="516" spans="1:28" ht="15.75" customHeight="1" x14ac:dyDescent="0.2">
      <c r="A516" s="122"/>
      <c r="B516" s="122"/>
      <c r="C516" s="122"/>
      <c r="D516" s="122"/>
      <c r="E516" s="122"/>
      <c r="F516" s="122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  <c r="AA516" s="122"/>
      <c r="AB516" s="122"/>
    </row>
    <row r="517" spans="1:28" ht="15.75" customHeight="1" x14ac:dyDescent="0.2">
      <c r="A517" s="122"/>
      <c r="B517" s="122"/>
      <c r="C517" s="122"/>
      <c r="D517" s="122"/>
      <c r="E517" s="122"/>
      <c r="F517" s="122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  <c r="AA517" s="122"/>
      <c r="AB517" s="122"/>
    </row>
    <row r="518" spans="1:28" ht="15.75" customHeight="1" x14ac:dyDescent="0.2">
      <c r="A518" s="122"/>
      <c r="B518" s="122"/>
      <c r="C518" s="122"/>
      <c r="D518" s="122"/>
      <c r="E518" s="122"/>
      <c r="F518" s="122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  <c r="AA518" s="122"/>
      <c r="AB518" s="122"/>
    </row>
    <row r="519" spans="1:28" ht="15.75" customHeight="1" x14ac:dyDescent="0.2">
      <c r="A519" s="122"/>
      <c r="B519" s="122"/>
      <c r="C519" s="122"/>
      <c r="D519" s="122"/>
      <c r="E519" s="122"/>
      <c r="F519" s="122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  <c r="AA519" s="122"/>
      <c r="AB519" s="122"/>
    </row>
    <row r="520" spans="1:28" ht="15.75" customHeight="1" x14ac:dyDescent="0.2">
      <c r="A520" s="122"/>
      <c r="B520" s="122"/>
      <c r="C520" s="122"/>
      <c r="D520" s="122"/>
      <c r="E520" s="122"/>
      <c r="F520" s="122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  <c r="AA520" s="122"/>
      <c r="AB520" s="122"/>
    </row>
    <row r="521" spans="1:28" ht="15.75" customHeight="1" x14ac:dyDescent="0.2">
      <c r="A521" s="122"/>
      <c r="B521" s="122"/>
      <c r="C521" s="122"/>
      <c r="D521" s="122"/>
      <c r="E521" s="122"/>
      <c r="F521" s="122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  <c r="AA521" s="122"/>
      <c r="AB521" s="122"/>
    </row>
    <row r="522" spans="1:28" ht="15.75" customHeight="1" x14ac:dyDescent="0.2">
      <c r="A522" s="122"/>
      <c r="B522" s="122"/>
      <c r="C522" s="122"/>
      <c r="D522" s="122"/>
      <c r="E522" s="122"/>
      <c r="F522" s="122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  <c r="AA522" s="122"/>
      <c r="AB522" s="122"/>
    </row>
    <row r="523" spans="1:28" ht="15.75" customHeight="1" x14ac:dyDescent="0.2">
      <c r="A523" s="122"/>
      <c r="B523" s="122"/>
      <c r="C523" s="122"/>
      <c r="D523" s="122"/>
      <c r="E523" s="122"/>
      <c r="F523" s="122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  <c r="AA523" s="122"/>
      <c r="AB523" s="122"/>
    </row>
    <row r="524" spans="1:28" ht="15.75" customHeight="1" x14ac:dyDescent="0.2">
      <c r="A524" s="122"/>
      <c r="B524" s="122"/>
      <c r="C524" s="122"/>
      <c r="D524" s="122"/>
      <c r="E524" s="122"/>
      <c r="F524" s="122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  <c r="AA524" s="122"/>
      <c r="AB524" s="122"/>
    </row>
    <row r="525" spans="1:28" ht="15.75" customHeight="1" x14ac:dyDescent="0.2">
      <c r="A525" s="122"/>
      <c r="B525" s="122"/>
      <c r="C525" s="122"/>
      <c r="D525" s="122"/>
      <c r="E525" s="122"/>
      <c r="F525" s="122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  <c r="AA525" s="122"/>
      <c r="AB525" s="122"/>
    </row>
    <row r="526" spans="1:28" ht="15.75" customHeight="1" x14ac:dyDescent="0.2">
      <c r="A526" s="122"/>
      <c r="B526" s="122"/>
      <c r="C526" s="122"/>
      <c r="D526" s="122"/>
      <c r="E526" s="122"/>
      <c r="F526" s="122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  <c r="AA526" s="122"/>
      <c r="AB526" s="122"/>
    </row>
    <row r="527" spans="1:28" ht="15.75" customHeight="1" x14ac:dyDescent="0.2">
      <c r="A527" s="122"/>
      <c r="B527" s="122"/>
      <c r="C527" s="122"/>
      <c r="D527" s="122"/>
      <c r="E527" s="122"/>
      <c r="F527" s="122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  <c r="AA527" s="122"/>
      <c r="AB527" s="122"/>
    </row>
    <row r="528" spans="1:28" ht="15.75" customHeight="1" x14ac:dyDescent="0.2">
      <c r="A528" s="122"/>
      <c r="B528" s="122"/>
      <c r="C528" s="122"/>
      <c r="D528" s="122"/>
      <c r="E528" s="122"/>
      <c r="F528" s="122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  <c r="AA528" s="122"/>
      <c r="AB528" s="122"/>
    </row>
    <row r="529" spans="1:28" ht="15.75" customHeight="1" x14ac:dyDescent="0.2">
      <c r="A529" s="122"/>
      <c r="B529" s="122"/>
      <c r="C529" s="122"/>
      <c r="D529" s="122"/>
      <c r="E529" s="122"/>
      <c r="F529" s="122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  <c r="AA529" s="122"/>
      <c r="AB529" s="122"/>
    </row>
    <row r="530" spans="1:28" ht="15.75" customHeight="1" x14ac:dyDescent="0.2">
      <c r="A530" s="122"/>
      <c r="B530" s="122"/>
      <c r="C530" s="122"/>
      <c r="D530" s="122"/>
      <c r="E530" s="122"/>
      <c r="F530" s="122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  <c r="AA530" s="122"/>
      <c r="AB530" s="122"/>
    </row>
    <row r="531" spans="1:28" ht="15.75" customHeight="1" x14ac:dyDescent="0.2">
      <c r="A531" s="122"/>
      <c r="B531" s="122"/>
      <c r="C531" s="122"/>
      <c r="D531" s="122"/>
      <c r="E531" s="122"/>
      <c r="F531" s="122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  <c r="AA531" s="122"/>
      <c r="AB531" s="122"/>
    </row>
    <row r="532" spans="1:28" ht="15.75" customHeight="1" x14ac:dyDescent="0.2">
      <c r="A532" s="122"/>
      <c r="B532" s="122"/>
      <c r="C532" s="122"/>
      <c r="D532" s="122"/>
      <c r="E532" s="122"/>
      <c r="F532" s="122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  <c r="AA532" s="122"/>
      <c r="AB532" s="122"/>
    </row>
    <row r="533" spans="1:28" ht="15.75" customHeight="1" x14ac:dyDescent="0.2">
      <c r="A533" s="122"/>
      <c r="B533" s="122"/>
      <c r="C533" s="122"/>
      <c r="D533" s="122"/>
      <c r="E533" s="122"/>
      <c r="F533" s="122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  <c r="AA533" s="122"/>
      <c r="AB533" s="122"/>
    </row>
    <row r="534" spans="1:28" ht="15.75" customHeight="1" x14ac:dyDescent="0.2">
      <c r="A534" s="122"/>
      <c r="B534" s="122"/>
      <c r="C534" s="122"/>
      <c r="D534" s="122"/>
      <c r="E534" s="122"/>
      <c r="F534" s="122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  <c r="AA534" s="122"/>
      <c r="AB534" s="122"/>
    </row>
    <row r="535" spans="1:28" ht="15.75" customHeight="1" x14ac:dyDescent="0.2">
      <c r="A535" s="122"/>
      <c r="B535" s="122"/>
      <c r="C535" s="122"/>
      <c r="D535" s="122"/>
      <c r="E535" s="122"/>
      <c r="F535" s="122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  <c r="AA535" s="122"/>
      <c r="AB535" s="122"/>
    </row>
    <row r="536" spans="1:28" ht="15.75" customHeight="1" x14ac:dyDescent="0.2">
      <c r="A536" s="122"/>
      <c r="B536" s="122"/>
      <c r="C536" s="122"/>
      <c r="D536" s="122"/>
      <c r="E536" s="122"/>
      <c r="F536" s="122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  <c r="AA536" s="122"/>
      <c r="AB536" s="122"/>
    </row>
    <row r="537" spans="1:28" ht="15.75" customHeight="1" x14ac:dyDescent="0.2">
      <c r="A537" s="122"/>
      <c r="B537" s="122"/>
      <c r="C537" s="122"/>
      <c r="D537" s="122"/>
      <c r="E537" s="122"/>
      <c r="F537" s="122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  <c r="AA537" s="122"/>
      <c r="AB537" s="122"/>
    </row>
    <row r="538" spans="1:28" ht="15.75" customHeight="1" x14ac:dyDescent="0.2">
      <c r="A538" s="122"/>
      <c r="B538" s="122"/>
      <c r="C538" s="122"/>
      <c r="D538" s="122"/>
      <c r="E538" s="122"/>
      <c r="F538" s="122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  <c r="AA538" s="122"/>
      <c r="AB538" s="122"/>
    </row>
    <row r="539" spans="1:28" ht="15.75" customHeight="1" x14ac:dyDescent="0.2">
      <c r="A539" s="122"/>
      <c r="B539" s="122"/>
      <c r="C539" s="122"/>
      <c r="D539" s="122"/>
      <c r="E539" s="122"/>
      <c r="F539" s="122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  <c r="AA539" s="122"/>
      <c r="AB539" s="122"/>
    </row>
    <row r="540" spans="1:28" ht="15.75" customHeight="1" x14ac:dyDescent="0.2">
      <c r="A540" s="122"/>
      <c r="B540" s="122"/>
      <c r="C540" s="122"/>
      <c r="D540" s="122"/>
      <c r="E540" s="122"/>
      <c r="F540" s="122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  <c r="AA540" s="122"/>
      <c r="AB540" s="122"/>
    </row>
    <row r="541" spans="1:28" ht="15.75" customHeight="1" x14ac:dyDescent="0.2">
      <c r="A541" s="122"/>
      <c r="B541" s="122"/>
      <c r="C541" s="122"/>
      <c r="D541" s="122"/>
      <c r="E541" s="122"/>
      <c r="F541" s="122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  <c r="AA541" s="122"/>
      <c r="AB541" s="122"/>
    </row>
    <row r="542" spans="1:28" ht="15.75" customHeight="1" x14ac:dyDescent="0.2">
      <c r="A542" s="122"/>
      <c r="B542" s="122"/>
      <c r="C542" s="122"/>
      <c r="D542" s="122"/>
      <c r="E542" s="122"/>
      <c r="F542" s="122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  <c r="AA542" s="122"/>
      <c r="AB542" s="122"/>
    </row>
    <row r="543" spans="1:28" ht="15.75" customHeight="1" x14ac:dyDescent="0.2">
      <c r="A543" s="122"/>
      <c r="B543" s="122"/>
      <c r="C543" s="122"/>
      <c r="D543" s="122"/>
      <c r="E543" s="122"/>
      <c r="F543" s="122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  <c r="AA543" s="122"/>
      <c r="AB543" s="122"/>
    </row>
    <row r="544" spans="1:28" ht="15.75" customHeight="1" x14ac:dyDescent="0.2">
      <c r="A544" s="122"/>
      <c r="B544" s="122"/>
      <c r="C544" s="122"/>
      <c r="D544" s="122"/>
      <c r="E544" s="122"/>
      <c r="F544" s="122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  <c r="AA544" s="122"/>
      <c r="AB544" s="122"/>
    </row>
    <row r="545" spans="1:28" ht="15.75" customHeight="1" x14ac:dyDescent="0.2">
      <c r="A545" s="122"/>
      <c r="B545" s="122"/>
      <c r="C545" s="122"/>
      <c r="D545" s="122"/>
      <c r="E545" s="122"/>
      <c r="F545" s="122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  <c r="AA545" s="122"/>
      <c r="AB545" s="122"/>
    </row>
    <row r="546" spans="1:28" ht="15.75" customHeight="1" x14ac:dyDescent="0.2">
      <c r="A546" s="122"/>
      <c r="B546" s="122"/>
      <c r="C546" s="122"/>
      <c r="D546" s="122"/>
      <c r="E546" s="122"/>
      <c r="F546" s="122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  <c r="AA546" s="122"/>
      <c r="AB546" s="122"/>
    </row>
    <row r="547" spans="1:28" ht="15.75" customHeight="1" x14ac:dyDescent="0.2">
      <c r="A547" s="122"/>
      <c r="B547" s="122"/>
      <c r="C547" s="122"/>
      <c r="D547" s="122"/>
      <c r="E547" s="122"/>
      <c r="F547" s="122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  <c r="AA547" s="122"/>
      <c r="AB547" s="122"/>
    </row>
    <row r="548" spans="1:28" ht="15.75" customHeight="1" x14ac:dyDescent="0.2">
      <c r="A548" s="122"/>
      <c r="B548" s="122"/>
      <c r="C548" s="122"/>
      <c r="D548" s="122"/>
      <c r="E548" s="122"/>
      <c r="F548" s="122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  <c r="AA548" s="122"/>
      <c r="AB548" s="122"/>
    </row>
    <row r="549" spans="1:28" ht="15.75" customHeight="1" x14ac:dyDescent="0.2">
      <c r="A549" s="122"/>
      <c r="B549" s="122"/>
      <c r="C549" s="122"/>
      <c r="D549" s="122"/>
      <c r="E549" s="122"/>
      <c r="F549" s="122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  <c r="AA549" s="122"/>
      <c r="AB549" s="122"/>
    </row>
    <row r="550" spans="1:28" ht="15.75" customHeight="1" x14ac:dyDescent="0.2">
      <c r="A550" s="122"/>
      <c r="B550" s="122"/>
      <c r="C550" s="122"/>
      <c r="D550" s="122"/>
      <c r="E550" s="122"/>
      <c r="F550" s="122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  <c r="AA550" s="122"/>
      <c r="AB550" s="122"/>
    </row>
    <row r="551" spans="1:28" ht="15.75" customHeight="1" x14ac:dyDescent="0.2">
      <c r="A551" s="122"/>
      <c r="B551" s="122"/>
      <c r="C551" s="122"/>
      <c r="D551" s="122"/>
      <c r="E551" s="122"/>
      <c r="F551" s="122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  <c r="AA551" s="122"/>
      <c r="AB551" s="122"/>
    </row>
    <row r="552" spans="1:28" ht="15.75" customHeight="1" x14ac:dyDescent="0.2">
      <c r="A552" s="122"/>
      <c r="B552" s="122"/>
      <c r="C552" s="122"/>
      <c r="D552" s="122"/>
      <c r="E552" s="122"/>
      <c r="F552" s="122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  <c r="AA552" s="122"/>
      <c r="AB552" s="122"/>
    </row>
    <row r="553" spans="1:28" ht="15.75" customHeight="1" x14ac:dyDescent="0.2">
      <c r="A553" s="122"/>
      <c r="B553" s="122"/>
      <c r="C553" s="122"/>
      <c r="D553" s="122"/>
      <c r="E553" s="122"/>
      <c r="F553" s="122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  <c r="AA553" s="122"/>
      <c r="AB553" s="122"/>
    </row>
    <row r="554" spans="1:28" ht="15.75" customHeight="1" x14ac:dyDescent="0.2">
      <c r="A554" s="122"/>
      <c r="B554" s="122"/>
      <c r="C554" s="122"/>
      <c r="D554" s="122"/>
      <c r="E554" s="122"/>
      <c r="F554" s="122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  <c r="AA554" s="122"/>
      <c r="AB554" s="122"/>
    </row>
    <row r="555" spans="1:28" ht="15.75" customHeight="1" x14ac:dyDescent="0.2">
      <c r="A555" s="122"/>
      <c r="B555" s="122"/>
      <c r="C555" s="122"/>
      <c r="D555" s="122"/>
      <c r="E555" s="122"/>
      <c r="F555" s="122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  <c r="AA555" s="122"/>
      <c r="AB555" s="122"/>
    </row>
    <row r="556" spans="1:28" ht="15.75" customHeight="1" x14ac:dyDescent="0.2">
      <c r="A556" s="122"/>
      <c r="B556" s="122"/>
      <c r="C556" s="122"/>
      <c r="D556" s="122"/>
      <c r="E556" s="122"/>
      <c r="F556" s="122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  <c r="AA556" s="122"/>
      <c r="AB556" s="122"/>
    </row>
    <row r="557" spans="1:28" ht="15.75" customHeight="1" x14ac:dyDescent="0.2">
      <c r="A557" s="122"/>
      <c r="B557" s="122"/>
      <c r="C557" s="122"/>
      <c r="D557" s="122"/>
      <c r="E557" s="122"/>
      <c r="F557" s="122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  <c r="AA557" s="122"/>
      <c r="AB557" s="122"/>
    </row>
    <row r="558" spans="1:28" ht="15.75" customHeight="1" x14ac:dyDescent="0.2">
      <c r="A558" s="122"/>
      <c r="B558" s="122"/>
      <c r="C558" s="122"/>
      <c r="D558" s="122"/>
      <c r="E558" s="122"/>
      <c r="F558" s="122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  <c r="AA558" s="122"/>
      <c r="AB558" s="122"/>
    </row>
    <row r="559" spans="1:28" ht="15.75" customHeight="1" x14ac:dyDescent="0.2">
      <c r="A559" s="122"/>
      <c r="B559" s="122"/>
      <c r="C559" s="122"/>
      <c r="D559" s="122"/>
      <c r="E559" s="122"/>
      <c r="F559" s="122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  <c r="AA559" s="122"/>
      <c r="AB559" s="122"/>
    </row>
    <row r="560" spans="1:28" ht="15.75" customHeight="1" x14ac:dyDescent="0.2">
      <c r="A560" s="122"/>
      <c r="B560" s="122"/>
      <c r="C560" s="122"/>
      <c r="D560" s="122"/>
      <c r="E560" s="122"/>
      <c r="F560" s="122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  <c r="AA560" s="122"/>
      <c r="AB560" s="122"/>
    </row>
    <row r="561" spans="1:28" ht="15.75" customHeight="1" x14ac:dyDescent="0.2">
      <c r="A561" s="122"/>
      <c r="B561" s="122"/>
      <c r="C561" s="122"/>
      <c r="D561" s="122"/>
      <c r="E561" s="122"/>
      <c r="F561" s="122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  <c r="AA561" s="122"/>
      <c r="AB561" s="122"/>
    </row>
    <row r="562" spans="1:28" ht="15.75" customHeight="1" x14ac:dyDescent="0.2">
      <c r="A562" s="122"/>
      <c r="B562" s="122"/>
      <c r="C562" s="122"/>
      <c r="D562" s="122"/>
      <c r="E562" s="122"/>
      <c r="F562" s="122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  <c r="AA562" s="122"/>
      <c r="AB562" s="122"/>
    </row>
    <row r="563" spans="1:28" ht="15.75" customHeight="1" x14ac:dyDescent="0.2">
      <c r="A563" s="122"/>
      <c r="B563" s="122"/>
      <c r="C563" s="122"/>
      <c r="D563" s="122"/>
      <c r="E563" s="122"/>
      <c r="F563" s="122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  <c r="AA563" s="122"/>
      <c r="AB563" s="122"/>
    </row>
    <row r="564" spans="1:28" ht="15.75" customHeight="1" x14ac:dyDescent="0.2">
      <c r="A564" s="122"/>
      <c r="B564" s="122"/>
      <c r="C564" s="122"/>
      <c r="D564" s="122"/>
      <c r="E564" s="122"/>
      <c r="F564" s="122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  <c r="AA564" s="122"/>
      <c r="AB564" s="122"/>
    </row>
    <row r="565" spans="1:28" ht="15.75" customHeight="1" x14ac:dyDescent="0.2">
      <c r="A565" s="122"/>
      <c r="B565" s="122"/>
      <c r="C565" s="122"/>
      <c r="D565" s="122"/>
      <c r="E565" s="122"/>
      <c r="F565" s="122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  <c r="AA565" s="122"/>
      <c r="AB565" s="122"/>
    </row>
    <row r="566" spans="1:28" ht="15.75" customHeight="1" x14ac:dyDescent="0.2">
      <c r="A566" s="122"/>
      <c r="B566" s="122"/>
      <c r="C566" s="122"/>
      <c r="D566" s="122"/>
      <c r="E566" s="122"/>
      <c r="F566" s="122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  <c r="AA566" s="122"/>
      <c r="AB566" s="122"/>
    </row>
    <row r="567" spans="1:28" ht="15.75" customHeight="1" x14ac:dyDescent="0.2">
      <c r="A567" s="122"/>
      <c r="B567" s="122"/>
      <c r="C567" s="122"/>
      <c r="D567" s="122"/>
      <c r="E567" s="122"/>
      <c r="F567" s="122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  <c r="AA567" s="122"/>
      <c r="AB567" s="122"/>
    </row>
    <row r="568" spans="1:28" ht="15.75" customHeight="1" x14ac:dyDescent="0.2">
      <c r="A568" s="122"/>
      <c r="B568" s="122"/>
      <c r="C568" s="122"/>
      <c r="D568" s="122"/>
      <c r="E568" s="122"/>
      <c r="F568" s="122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  <c r="AA568" s="122"/>
      <c r="AB568" s="122"/>
    </row>
    <row r="569" spans="1:28" ht="15.75" customHeight="1" x14ac:dyDescent="0.2">
      <c r="A569" s="122"/>
      <c r="B569" s="122"/>
      <c r="C569" s="122"/>
      <c r="D569" s="122"/>
      <c r="E569" s="122"/>
      <c r="F569" s="122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  <c r="AA569" s="122"/>
      <c r="AB569" s="122"/>
    </row>
    <row r="570" spans="1:28" ht="15.75" customHeight="1" x14ac:dyDescent="0.2">
      <c r="A570" s="122"/>
      <c r="B570" s="122"/>
      <c r="C570" s="122"/>
      <c r="D570" s="122"/>
      <c r="E570" s="122"/>
      <c r="F570" s="122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  <c r="AA570" s="122"/>
      <c r="AB570" s="122"/>
    </row>
    <row r="571" spans="1:28" ht="15.75" customHeight="1" x14ac:dyDescent="0.2">
      <c r="A571" s="122"/>
      <c r="B571" s="122"/>
      <c r="C571" s="122"/>
      <c r="D571" s="122"/>
      <c r="E571" s="122"/>
      <c r="F571" s="122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  <c r="AA571" s="122"/>
      <c r="AB571" s="122"/>
    </row>
    <row r="572" spans="1:28" ht="15.75" customHeight="1" x14ac:dyDescent="0.2">
      <c r="A572" s="122"/>
      <c r="B572" s="122"/>
      <c r="C572" s="122"/>
      <c r="D572" s="122"/>
      <c r="E572" s="122"/>
      <c r="F572" s="122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  <c r="AA572" s="122"/>
      <c r="AB572" s="122"/>
    </row>
    <row r="573" spans="1:28" ht="15.75" customHeight="1" x14ac:dyDescent="0.2">
      <c r="A573" s="122"/>
      <c r="B573" s="122"/>
      <c r="C573" s="122"/>
      <c r="D573" s="122"/>
      <c r="E573" s="122"/>
      <c r="F573" s="122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  <c r="AA573" s="122"/>
      <c r="AB573" s="122"/>
    </row>
    <row r="574" spans="1:28" ht="15.75" customHeight="1" x14ac:dyDescent="0.2">
      <c r="A574" s="122"/>
      <c r="B574" s="122"/>
      <c r="C574" s="122"/>
      <c r="D574" s="122"/>
      <c r="E574" s="122"/>
      <c r="F574" s="122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  <c r="AA574" s="122"/>
      <c r="AB574" s="122"/>
    </row>
    <row r="575" spans="1:28" ht="15.75" customHeight="1" x14ac:dyDescent="0.2">
      <c r="A575" s="122"/>
      <c r="B575" s="122"/>
      <c r="C575" s="122"/>
      <c r="D575" s="122"/>
      <c r="E575" s="122"/>
      <c r="F575" s="122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  <c r="AA575" s="122"/>
      <c r="AB575" s="122"/>
    </row>
    <row r="576" spans="1:28" ht="15.75" customHeight="1" x14ac:dyDescent="0.2">
      <c r="A576" s="122"/>
      <c r="B576" s="122"/>
      <c r="C576" s="122"/>
      <c r="D576" s="122"/>
      <c r="E576" s="122"/>
      <c r="F576" s="122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  <c r="AA576" s="122"/>
      <c r="AB576" s="122"/>
    </row>
    <row r="577" spans="1:28" ht="15.75" customHeight="1" x14ac:dyDescent="0.2">
      <c r="A577" s="122"/>
      <c r="B577" s="122"/>
      <c r="C577" s="122"/>
      <c r="D577" s="122"/>
      <c r="E577" s="122"/>
      <c r="F577" s="122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  <c r="AA577" s="122"/>
      <c r="AB577" s="122"/>
    </row>
    <row r="578" spans="1:28" ht="15.75" customHeight="1" x14ac:dyDescent="0.2">
      <c r="A578" s="122"/>
      <c r="B578" s="122"/>
      <c r="C578" s="122"/>
      <c r="D578" s="122"/>
      <c r="E578" s="122"/>
      <c r="F578" s="122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  <c r="AA578" s="122"/>
      <c r="AB578" s="122"/>
    </row>
    <row r="579" spans="1:28" ht="15.75" customHeight="1" x14ac:dyDescent="0.2">
      <c r="A579" s="122"/>
      <c r="B579" s="122"/>
      <c r="C579" s="122"/>
      <c r="D579" s="122"/>
      <c r="E579" s="122"/>
      <c r="F579" s="122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  <c r="AA579" s="122"/>
      <c r="AB579" s="122"/>
    </row>
    <row r="580" spans="1:28" ht="15.75" customHeight="1" x14ac:dyDescent="0.2">
      <c r="A580" s="122"/>
      <c r="B580" s="122"/>
      <c r="C580" s="122"/>
      <c r="D580" s="122"/>
      <c r="E580" s="122"/>
      <c r="F580" s="122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  <c r="AA580" s="122"/>
      <c r="AB580" s="122"/>
    </row>
    <row r="581" spans="1:28" ht="15.75" customHeight="1" x14ac:dyDescent="0.2">
      <c r="A581" s="122"/>
      <c r="B581" s="122"/>
      <c r="C581" s="122"/>
      <c r="D581" s="122"/>
      <c r="E581" s="122"/>
      <c r="F581" s="122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  <c r="AA581" s="122"/>
      <c r="AB581" s="122"/>
    </row>
    <row r="582" spans="1:28" ht="15.75" customHeight="1" x14ac:dyDescent="0.2">
      <c r="A582" s="122"/>
      <c r="B582" s="122"/>
      <c r="C582" s="122"/>
      <c r="D582" s="122"/>
      <c r="E582" s="122"/>
      <c r="F582" s="122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  <c r="AA582" s="122"/>
      <c r="AB582" s="122"/>
    </row>
    <row r="583" spans="1:28" ht="15.75" customHeight="1" x14ac:dyDescent="0.2">
      <c r="A583" s="122"/>
      <c r="B583" s="122"/>
      <c r="C583" s="122"/>
      <c r="D583" s="122"/>
      <c r="E583" s="122"/>
      <c r="F583" s="122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  <c r="AA583" s="122"/>
      <c r="AB583" s="122"/>
    </row>
    <row r="584" spans="1:28" ht="15.75" customHeight="1" x14ac:dyDescent="0.2">
      <c r="A584" s="122"/>
      <c r="B584" s="122"/>
      <c r="C584" s="122"/>
      <c r="D584" s="122"/>
      <c r="E584" s="122"/>
      <c r="F584" s="122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  <c r="AA584" s="122"/>
      <c r="AB584" s="122"/>
    </row>
    <row r="585" spans="1:28" ht="15.75" customHeight="1" x14ac:dyDescent="0.2">
      <c r="A585" s="122"/>
      <c r="B585" s="122"/>
      <c r="C585" s="122"/>
      <c r="D585" s="122"/>
      <c r="E585" s="122"/>
      <c r="F585" s="122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  <c r="AA585" s="122"/>
      <c r="AB585" s="122"/>
    </row>
    <row r="586" spans="1:28" ht="15.75" customHeight="1" x14ac:dyDescent="0.2">
      <c r="A586" s="122"/>
      <c r="B586" s="122"/>
      <c r="C586" s="122"/>
      <c r="D586" s="122"/>
      <c r="E586" s="122"/>
      <c r="F586" s="122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  <c r="AA586" s="122"/>
      <c r="AB586" s="122"/>
    </row>
    <row r="587" spans="1:28" ht="15.75" customHeight="1" x14ac:dyDescent="0.2">
      <c r="A587" s="122"/>
      <c r="B587" s="122"/>
      <c r="C587" s="122"/>
      <c r="D587" s="122"/>
      <c r="E587" s="122"/>
      <c r="F587" s="122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  <c r="AA587" s="122"/>
      <c r="AB587" s="122"/>
    </row>
    <row r="588" spans="1:28" ht="15.75" customHeight="1" x14ac:dyDescent="0.2">
      <c r="A588" s="122"/>
      <c r="B588" s="122"/>
      <c r="C588" s="122"/>
      <c r="D588" s="122"/>
      <c r="E588" s="122"/>
      <c r="F588" s="122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  <c r="AA588" s="122"/>
      <c r="AB588" s="122"/>
    </row>
    <row r="589" spans="1:28" ht="15.75" customHeight="1" x14ac:dyDescent="0.2">
      <c r="A589" s="122"/>
      <c r="B589" s="122"/>
      <c r="C589" s="122"/>
      <c r="D589" s="122"/>
      <c r="E589" s="122"/>
      <c r="F589" s="122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  <c r="AA589" s="122"/>
      <c r="AB589" s="122"/>
    </row>
    <row r="590" spans="1:28" ht="15.75" customHeight="1" x14ac:dyDescent="0.2">
      <c r="A590" s="122"/>
      <c r="B590" s="122"/>
      <c r="C590" s="122"/>
      <c r="D590" s="122"/>
      <c r="E590" s="122"/>
      <c r="F590" s="122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  <c r="AA590" s="122"/>
      <c r="AB590" s="122"/>
    </row>
    <row r="591" spans="1:28" ht="15.75" customHeight="1" x14ac:dyDescent="0.2">
      <c r="A591" s="122"/>
      <c r="B591" s="122"/>
      <c r="C591" s="122"/>
      <c r="D591" s="122"/>
      <c r="E591" s="122"/>
      <c r="F591" s="122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  <c r="AA591" s="122"/>
      <c r="AB591" s="122"/>
    </row>
    <row r="592" spans="1:28" ht="15.75" customHeight="1" x14ac:dyDescent="0.2">
      <c r="A592" s="122"/>
      <c r="B592" s="122"/>
      <c r="C592" s="122"/>
      <c r="D592" s="122"/>
      <c r="E592" s="122"/>
      <c r="F592" s="122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  <c r="AA592" s="122"/>
      <c r="AB592" s="122"/>
    </row>
    <row r="593" spans="1:28" ht="15.75" customHeight="1" x14ac:dyDescent="0.2">
      <c r="A593" s="122"/>
      <c r="B593" s="122"/>
      <c r="C593" s="122"/>
      <c r="D593" s="122"/>
      <c r="E593" s="122"/>
      <c r="F593" s="122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  <c r="AA593" s="122"/>
      <c r="AB593" s="122"/>
    </row>
    <row r="594" spans="1:28" ht="15.75" customHeight="1" x14ac:dyDescent="0.2">
      <c r="A594" s="122"/>
      <c r="B594" s="122"/>
      <c r="C594" s="122"/>
      <c r="D594" s="122"/>
      <c r="E594" s="122"/>
      <c r="F594" s="122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  <c r="AA594" s="122"/>
      <c r="AB594" s="122"/>
    </row>
    <row r="595" spans="1:28" ht="15.75" customHeight="1" x14ac:dyDescent="0.2">
      <c r="A595" s="122"/>
      <c r="B595" s="122"/>
      <c r="C595" s="122"/>
      <c r="D595" s="122"/>
      <c r="E595" s="122"/>
      <c r="F595" s="122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  <c r="AA595" s="122"/>
      <c r="AB595" s="122"/>
    </row>
    <row r="596" spans="1:28" ht="15.75" customHeight="1" x14ac:dyDescent="0.2">
      <c r="A596" s="122"/>
      <c r="B596" s="122"/>
      <c r="C596" s="122"/>
      <c r="D596" s="122"/>
      <c r="E596" s="122"/>
      <c r="F596" s="122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  <c r="AA596" s="122"/>
      <c r="AB596" s="122"/>
    </row>
    <row r="597" spans="1:28" ht="15.75" customHeight="1" x14ac:dyDescent="0.2">
      <c r="A597" s="122"/>
      <c r="B597" s="122"/>
      <c r="C597" s="122"/>
      <c r="D597" s="122"/>
      <c r="E597" s="122"/>
      <c r="F597" s="122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  <c r="AA597" s="122"/>
      <c r="AB597" s="122"/>
    </row>
    <row r="598" spans="1:28" ht="15.75" customHeight="1" x14ac:dyDescent="0.2">
      <c r="A598" s="122"/>
      <c r="B598" s="122"/>
      <c r="C598" s="122"/>
      <c r="D598" s="122"/>
      <c r="E598" s="122"/>
      <c r="F598" s="122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  <c r="AA598" s="122"/>
      <c r="AB598" s="122"/>
    </row>
    <row r="599" spans="1:28" ht="15.75" customHeight="1" x14ac:dyDescent="0.2">
      <c r="A599" s="122"/>
      <c r="B599" s="122"/>
      <c r="C599" s="122"/>
      <c r="D599" s="122"/>
      <c r="E599" s="122"/>
      <c r="F599" s="122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  <c r="AA599" s="122"/>
      <c r="AB599" s="122"/>
    </row>
    <row r="600" spans="1:28" ht="15.75" customHeight="1" x14ac:dyDescent="0.2">
      <c r="A600" s="122"/>
      <c r="B600" s="122"/>
      <c r="C600" s="122"/>
      <c r="D600" s="122"/>
      <c r="E600" s="122"/>
      <c r="F600" s="122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  <c r="AA600" s="122"/>
      <c r="AB600" s="122"/>
    </row>
    <row r="601" spans="1:28" ht="15.75" customHeight="1" x14ac:dyDescent="0.2">
      <c r="A601" s="122"/>
      <c r="B601" s="122"/>
      <c r="C601" s="122"/>
      <c r="D601" s="122"/>
      <c r="E601" s="122"/>
      <c r="F601" s="122"/>
      <c r="G601" s="122"/>
      <c r="H601" s="122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  <c r="AA601" s="122"/>
      <c r="AB601" s="122"/>
    </row>
    <row r="602" spans="1:28" ht="15.75" customHeight="1" x14ac:dyDescent="0.2">
      <c r="A602" s="122"/>
      <c r="B602" s="122"/>
      <c r="C602" s="122"/>
      <c r="D602" s="122"/>
      <c r="E602" s="122"/>
      <c r="F602" s="122"/>
      <c r="G602" s="122"/>
      <c r="H602" s="122"/>
      <c r="I602" s="122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  <c r="AA602" s="122"/>
      <c r="AB602" s="122"/>
    </row>
    <row r="603" spans="1:28" ht="15.75" customHeight="1" x14ac:dyDescent="0.2">
      <c r="A603" s="122"/>
      <c r="B603" s="122"/>
      <c r="C603" s="122"/>
      <c r="D603" s="122"/>
      <c r="E603" s="122"/>
      <c r="F603" s="122"/>
      <c r="G603" s="122"/>
      <c r="H603" s="122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  <c r="AA603" s="122"/>
      <c r="AB603" s="122"/>
    </row>
    <row r="604" spans="1:28" ht="15.75" customHeight="1" x14ac:dyDescent="0.2">
      <c r="A604" s="122"/>
      <c r="B604" s="122"/>
      <c r="C604" s="122"/>
      <c r="D604" s="122"/>
      <c r="E604" s="122"/>
      <c r="F604" s="122"/>
      <c r="G604" s="122"/>
      <c r="H604" s="122"/>
      <c r="I604" s="122"/>
      <c r="J604" s="122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  <c r="AA604" s="122"/>
      <c r="AB604" s="122"/>
    </row>
    <row r="605" spans="1:28" ht="15.75" customHeight="1" x14ac:dyDescent="0.2">
      <c r="A605" s="122"/>
      <c r="B605" s="122"/>
      <c r="C605" s="122"/>
      <c r="D605" s="122"/>
      <c r="E605" s="122"/>
      <c r="F605" s="122"/>
      <c r="G605" s="122"/>
      <c r="H605" s="122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  <c r="AA605" s="122"/>
      <c r="AB605" s="122"/>
    </row>
    <row r="606" spans="1:28" ht="15.75" customHeight="1" x14ac:dyDescent="0.2">
      <c r="A606" s="122"/>
      <c r="B606" s="122"/>
      <c r="C606" s="122"/>
      <c r="D606" s="122"/>
      <c r="E606" s="122"/>
      <c r="F606" s="122"/>
      <c r="G606" s="122"/>
      <c r="H606" s="122"/>
      <c r="I606" s="122"/>
      <c r="J606" s="122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  <c r="AA606" s="122"/>
      <c r="AB606" s="122"/>
    </row>
    <row r="607" spans="1:28" ht="15.75" customHeight="1" x14ac:dyDescent="0.2">
      <c r="A607" s="122"/>
      <c r="B607" s="122"/>
      <c r="C607" s="122"/>
      <c r="D607" s="122"/>
      <c r="E607" s="122"/>
      <c r="F607" s="122"/>
      <c r="G607" s="122"/>
      <c r="H607" s="122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  <c r="AA607" s="122"/>
      <c r="AB607" s="122"/>
    </row>
    <row r="608" spans="1:28" ht="15.75" customHeight="1" x14ac:dyDescent="0.2">
      <c r="A608" s="122"/>
      <c r="B608" s="122"/>
      <c r="C608" s="122"/>
      <c r="D608" s="122"/>
      <c r="E608" s="122"/>
      <c r="F608" s="122"/>
      <c r="G608" s="122"/>
      <c r="H608" s="122"/>
      <c r="I608" s="122"/>
      <c r="J608" s="122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  <c r="AA608" s="122"/>
      <c r="AB608" s="122"/>
    </row>
    <row r="609" spans="1:28" ht="15.75" customHeight="1" x14ac:dyDescent="0.2">
      <c r="A609" s="122"/>
      <c r="B609" s="122"/>
      <c r="C609" s="122"/>
      <c r="D609" s="122"/>
      <c r="E609" s="122"/>
      <c r="F609" s="122"/>
      <c r="G609" s="12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  <c r="AA609" s="122"/>
      <c r="AB609" s="122"/>
    </row>
    <row r="610" spans="1:28" ht="15.75" customHeight="1" x14ac:dyDescent="0.2">
      <c r="A610" s="122"/>
      <c r="B610" s="122"/>
      <c r="C610" s="122"/>
      <c r="D610" s="122"/>
      <c r="E610" s="122"/>
      <c r="F610" s="122"/>
      <c r="G610" s="122"/>
      <c r="H610" s="122"/>
      <c r="I610" s="122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  <c r="AA610" s="122"/>
      <c r="AB610" s="122"/>
    </row>
    <row r="611" spans="1:28" ht="15.75" customHeight="1" x14ac:dyDescent="0.2">
      <c r="A611" s="122"/>
      <c r="B611" s="122"/>
      <c r="C611" s="122"/>
      <c r="D611" s="122"/>
      <c r="E611" s="122"/>
      <c r="F611" s="122"/>
      <c r="G611" s="122"/>
      <c r="H611" s="122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  <c r="AA611" s="122"/>
      <c r="AB611" s="122"/>
    </row>
    <row r="612" spans="1:28" ht="15.75" customHeight="1" x14ac:dyDescent="0.2">
      <c r="A612" s="122"/>
      <c r="B612" s="122"/>
      <c r="C612" s="122"/>
      <c r="D612" s="122"/>
      <c r="E612" s="122"/>
      <c r="F612" s="122"/>
      <c r="G612" s="122"/>
      <c r="H612" s="122"/>
      <c r="I612" s="122"/>
      <c r="J612" s="122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  <c r="AA612" s="122"/>
      <c r="AB612" s="122"/>
    </row>
    <row r="613" spans="1:28" ht="15.75" customHeight="1" x14ac:dyDescent="0.2">
      <c r="A613" s="122"/>
      <c r="B613" s="122"/>
      <c r="C613" s="122"/>
      <c r="D613" s="122"/>
      <c r="E613" s="122"/>
      <c r="F613" s="122"/>
      <c r="G613" s="122"/>
      <c r="H613" s="122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  <c r="AA613" s="122"/>
      <c r="AB613" s="122"/>
    </row>
    <row r="614" spans="1:28" ht="15.75" customHeight="1" x14ac:dyDescent="0.2">
      <c r="A614" s="122"/>
      <c r="B614" s="122"/>
      <c r="C614" s="122"/>
      <c r="D614" s="122"/>
      <c r="E614" s="122"/>
      <c r="F614" s="122"/>
      <c r="G614" s="122"/>
      <c r="H614" s="122"/>
      <c r="I614" s="122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  <c r="AA614" s="122"/>
      <c r="AB614" s="122"/>
    </row>
    <row r="615" spans="1:28" ht="15.75" customHeight="1" x14ac:dyDescent="0.2">
      <c r="A615" s="122"/>
      <c r="B615" s="122"/>
      <c r="C615" s="122"/>
      <c r="D615" s="122"/>
      <c r="E615" s="122"/>
      <c r="F615" s="122"/>
      <c r="G615" s="122"/>
      <c r="H615" s="122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  <c r="AA615" s="122"/>
      <c r="AB615" s="122"/>
    </row>
    <row r="616" spans="1:28" ht="15.75" customHeight="1" x14ac:dyDescent="0.2">
      <c r="A616" s="122"/>
      <c r="B616" s="122"/>
      <c r="C616" s="122"/>
      <c r="D616" s="122"/>
      <c r="E616" s="122"/>
      <c r="F616" s="122"/>
      <c r="G616" s="122"/>
      <c r="H616" s="122"/>
      <c r="I616" s="122"/>
      <c r="J616" s="122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  <c r="AA616" s="122"/>
      <c r="AB616" s="122"/>
    </row>
    <row r="617" spans="1:28" ht="15.75" customHeight="1" x14ac:dyDescent="0.2">
      <c r="A617" s="122"/>
      <c r="B617" s="122"/>
      <c r="C617" s="122"/>
      <c r="D617" s="122"/>
      <c r="E617" s="122"/>
      <c r="F617" s="122"/>
      <c r="G617" s="122"/>
      <c r="H617" s="122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  <c r="AA617" s="122"/>
      <c r="AB617" s="122"/>
    </row>
    <row r="618" spans="1:28" ht="15.75" customHeight="1" x14ac:dyDescent="0.2">
      <c r="A618" s="122"/>
      <c r="B618" s="122"/>
      <c r="C618" s="122"/>
      <c r="D618" s="122"/>
      <c r="E618" s="122"/>
      <c r="F618" s="122"/>
      <c r="G618" s="122"/>
      <c r="H618" s="122"/>
      <c r="I618" s="122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  <c r="AA618" s="122"/>
      <c r="AB618" s="122"/>
    </row>
    <row r="619" spans="1:28" ht="15.75" customHeight="1" x14ac:dyDescent="0.2">
      <c r="A619" s="122"/>
      <c r="B619" s="122"/>
      <c r="C619" s="122"/>
      <c r="D619" s="122"/>
      <c r="E619" s="122"/>
      <c r="F619" s="122"/>
      <c r="G619" s="122"/>
      <c r="H619" s="122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  <c r="AA619" s="122"/>
      <c r="AB619" s="122"/>
    </row>
    <row r="620" spans="1:28" ht="15.75" customHeight="1" x14ac:dyDescent="0.2">
      <c r="A620" s="122"/>
      <c r="B620" s="122"/>
      <c r="C620" s="122"/>
      <c r="D620" s="122"/>
      <c r="E620" s="122"/>
      <c r="F620" s="122"/>
      <c r="G620" s="122"/>
      <c r="H620" s="122"/>
      <c r="I620" s="122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  <c r="AA620" s="122"/>
      <c r="AB620" s="122"/>
    </row>
    <row r="621" spans="1:28" ht="15.75" customHeight="1" x14ac:dyDescent="0.2">
      <c r="A621" s="122"/>
      <c r="B621" s="122"/>
      <c r="C621" s="122"/>
      <c r="D621" s="122"/>
      <c r="E621" s="122"/>
      <c r="F621" s="122"/>
      <c r="G621" s="122"/>
      <c r="H621" s="122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  <c r="AA621" s="122"/>
      <c r="AB621" s="122"/>
    </row>
    <row r="622" spans="1:28" ht="15.75" customHeight="1" x14ac:dyDescent="0.2">
      <c r="A622" s="122"/>
      <c r="B622" s="122"/>
      <c r="C622" s="122"/>
      <c r="D622" s="122"/>
      <c r="E622" s="122"/>
      <c r="F622" s="122"/>
      <c r="G622" s="122"/>
      <c r="H622" s="122"/>
      <c r="I622" s="122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  <c r="AA622" s="122"/>
      <c r="AB622" s="122"/>
    </row>
    <row r="623" spans="1:28" ht="15.75" customHeight="1" x14ac:dyDescent="0.2">
      <c r="A623" s="122"/>
      <c r="B623" s="122"/>
      <c r="C623" s="122"/>
      <c r="D623" s="122"/>
      <c r="E623" s="122"/>
      <c r="F623" s="122"/>
      <c r="G623" s="122"/>
      <c r="H623" s="122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  <c r="AA623" s="122"/>
      <c r="AB623" s="122"/>
    </row>
    <row r="624" spans="1:28" ht="15.75" customHeight="1" x14ac:dyDescent="0.2">
      <c r="A624" s="122"/>
      <c r="B624" s="122"/>
      <c r="C624" s="122"/>
      <c r="D624" s="122"/>
      <c r="E624" s="122"/>
      <c r="F624" s="122"/>
      <c r="G624" s="122"/>
      <c r="H624" s="122"/>
      <c r="I624" s="122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  <c r="AA624" s="122"/>
      <c r="AB624" s="122"/>
    </row>
    <row r="625" spans="1:28" ht="15.75" customHeight="1" x14ac:dyDescent="0.2">
      <c r="A625" s="122"/>
      <c r="B625" s="122"/>
      <c r="C625" s="122"/>
      <c r="D625" s="122"/>
      <c r="E625" s="122"/>
      <c r="F625" s="122"/>
      <c r="G625" s="122"/>
      <c r="H625" s="122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  <c r="AA625" s="122"/>
      <c r="AB625" s="122"/>
    </row>
    <row r="626" spans="1:28" ht="15.75" customHeight="1" x14ac:dyDescent="0.2">
      <c r="A626" s="122"/>
      <c r="B626" s="122"/>
      <c r="C626" s="122"/>
      <c r="D626" s="122"/>
      <c r="E626" s="122"/>
      <c r="F626" s="122"/>
      <c r="G626" s="122"/>
      <c r="H626" s="122"/>
      <c r="I626" s="122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  <c r="AA626" s="122"/>
      <c r="AB626" s="122"/>
    </row>
    <row r="627" spans="1:28" ht="15.75" customHeight="1" x14ac:dyDescent="0.2">
      <c r="A627" s="122"/>
      <c r="B627" s="122"/>
      <c r="C627" s="122"/>
      <c r="D627" s="122"/>
      <c r="E627" s="122"/>
      <c r="F627" s="122"/>
      <c r="G627" s="122"/>
      <c r="H627" s="122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  <c r="AA627" s="122"/>
      <c r="AB627" s="122"/>
    </row>
    <row r="628" spans="1:28" ht="15.75" customHeight="1" x14ac:dyDescent="0.2">
      <c r="A628" s="122"/>
      <c r="B628" s="122"/>
      <c r="C628" s="122"/>
      <c r="D628" s="122"/>
      <c r="E628" s="122"/>
      <c r="F628" s="122"/>
      <c r="G628" s="122"/>
      <c r="H628" s="122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  <c r="AA628" s="122"/>
      <c r="AB628" s="122"/>
    </row>
    <row r="629" spans="1:28" ht="15.75" customHeight="1" x14ac:dyDescent="0.2">
      <c r="A629" s="122"/>
      <c r="B629" s="122"/>
      <c r="C629" s="122"/>
      <c r="D629" s="122"/>
      <c r="E629" s="122"/>
      <c r="F629" s="122"/>
      <c r="G629" s="122"/>
      <c r="H629" s="122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  <c r="AA629" s="122"/>
      <c r="AB629" s="122"/>
    </row>
    <row r="630" spans="1:28" ht="15.75" customHeight="1" x14ac:dyDescent="0.2">
      <c r="A630" s="122"/>
      <c r="B630" s="122"/>
      <c r="C630" s="122"/>
      <c r="D630" s="122"/>
      <c r="E630" s="122"/>
      <c r="F630" s="122"/>
      <c r="G630" s="122"/>
      <c r="H630" s="122"/>
      <c r="I630" s="122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  <c r="AA630" s="122"/>
      <c r="AB630" s="122"/>
    </row>
    <row r="631" spans="1:28" ht="15.75" customHeight="1" x14ac:dyDescent="0.2">
      <c r="A631" s="122"/>
      <c r="B631" s="122"/>
      <c r="C631" s="122"/>
      <c r="D631" s="122"/>
      <c r="E631" s="122"/>
      <c r="F631" s="122"/>
      <c r="G631" s="122"/>
      <c r="H631" s="122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  <c r="AA631" s="122"/>
      <c r="AB631" s="122"/>
    </row>
    <row r="632" spans="1:28" ht="15.75" customHeight="1" x14ac:dyDescent="0.2">
      <c r="A632" s="122"/>
      <c r="B632" s="122"/>
      <c r="C632" s="122"/>
      <c r="D632" s="122"/>
      <c r="E632" s="122"/>
      <c r="F632" s="122"/>
      <c r="G632" s="122"/>
      <c r="H632" s="122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  <c r="AA632" s="122"/>
      <c r="AB632" s="122"/>
    </row>
    <row r="633" spans="1:28" ht="15.75" customHeight="1" x14ac:dyDescent="0.2">
      <c r="A633" s="122"/>
      <c r="B633" s="122"/>
      <c r="C633" s="122"/>
      <c r="D633" s="122"/>
      <c r="E633" s="122"/>
      <c r="F633" s="122"/>
      <c r="G633" s="122"/>
      <c r="H633" s="122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  <c r="AA633" s="122"/>
      <c r="AB633" s="122"/>
    </row>
    <row r="634" spans="1:28" ht="15.75" customHeight="1" x14ac:dyDescent="0.2">
      <c r="A634" s="122"/>
      <c r="B634" s="122"/>
      <c r="C634" s="122"/>
      <c r="D634" s="122"/>
      <c r="E634" s="122"/>
      <c r="F634" s="122"/>
      <c r="G634" s="122"/>
      <c r="H634" s="122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  <c r="AA634" s="122"/>
      <c r="AB634" s="122"/>
    </row>
    <row r="635" spans="1:28" ht="15.75" customHeight="1" x14ac:dyDescent="0.2">
      <c r="A635" s="122"/>
      <c r="B635" s="122"/>
      <c r="C635" s="122"/>
      <c r="D635" s="122"/>
      <c r="E635" s="122"/>
      <c r="F635" s="122"/>
      <c r="G635" s="122"/>
      <c r="H635" s="122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  <c r="AA635" s="122"/>
      <c r="AB635" s="122"/>
    </row>
    <row r="636" spans="1:28" ht="15.75" customHeight="1" x14ac:dyDescent="0.2">
      <c r="A636" s="122"/>
      <c r="B636" s="122"/>
      <c r="C636" s="122"/>
      <c r="D636" s="122"/>
      <c r="E636" s="122"/>
      <c r="F636" s="122"/>
      <c r="G636" s="122"/>
      <c r="H636" s="122"/>
      <c r="I636" s="122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  <c r="AA636" s="122"/>
      <c r="AB636" s="122"/>
    </row>
    <row r="637" spans="1:28" ht="15.75" customHeight="1" x14ac:dyDescent="0.2">
      <c r="A637" s="122"/>
      <c r="B637" s="122"/>
      <c r="C637" s="122"/>
      <c r="D637" s="122"/>
      <c r="E637" s="122"/>
      <c r="F637" s="122"/>
      <c r="G637" s="122"/>
      <c r="H637" s="122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  <c r="AA637" s="122"/>
      <c r="AB637" s="122"/>
    </row>
    <row r="638" spans="1:28" ht="15.75" customHeight="1" x14ac:dyDescent="0.2">
      <c r="A638" s="122"/>
      <c r="B638" s="122"/>
      <c r="C638" s="122"/>
      <c r="D638" s="122"/>
      <c r="E638" s="122"/>
      <c r="F638" s="122"/>
      <c r="G638" s="122"/>
      <c r="H638" s="122"/>
      <c r="I638" s="122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  <c r="AA638" s="122"/>
      <c r="AB638" s="122"/>
    </row>
    <row r="639" spans="1:28" ht="15.75" customHeight="1" x14ac:dyDescent="0.2">
      <c r="A639" s="122"/>
      <c r="B639" s="122"/>
      <c r="C639" s="122"/>
      <c r="D639" s="122"/>
      <c r="E639" s="122"/>
      <c r="F639" s="122"/>
      <c r="G639" s="122"/>
      <c r="H639" s="122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  <c r="AA639" s="122"/>
      <c r="AB639" s="122"/>
    </row>
    <row r="640" spans="1:28" ht="15.75" customHeight="1" x14ac:dyDescent="0.2">
      <c r="A640" s="122"/>
      <c r="B640" s="122"/>
      <c r="C640" s="122"/>
      <c r="D640" s="122"/>
      <c r="E640" s="122"/>
      <c r="F640" s="122"/>
      <c r="G640" s="122"/>
      <c r="H640" s="122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  <c r="AA640" s="122"/>
      <c r="AB640" s="122"/>
    </row>
    <row r="641" spans="1:28" ht="15.75" customHeight="1" x14ac:dyDescent="0.2">
      <c r="A641" s="122"/>
      <c r="B641" s="122"/>
      <c r="C641" s="122"/>
      <c r="D641" s="122"/>
      <c r="E641" s="122"/>
      <c r="F641" s="122"/>
      <c r="G641" s="122"/>
      <c r="H641" s="122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  <c r="AA641" s="122"/>
      <c r="AB641" s="122"/>
    </row>
    <row r="642" spans="1:28" ht="15.75" customHeight="1" x14ac:dyDescent="0.2">
      <c r="A642" s="122"/>
      <c r="B642" s="122"/>
      <c r="C642" s="122"/>
      <c r="D642" s="122"/>
      <c r="E642" s="122"/>
      <c r="F642" s="122"/>
      <c r="G642" s="122"/>
      <c r="H642" s="122"/>
      <c r="I642" s="122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  <c r="AA642" s="122"/>
      <c r="AB642" s="122"/>
    </row>
    <row r="643" spans="1:28" ht="15.75" customHeight="1" x14ac:dyDescent="0.2">
      <c r="A643" s="122"/>
      <c r="B643" s="122"/>
      <c r="C643" s="122"/>
      <c r="D643" s="122"/>
      <c r="E643" s="122"/>
      <c r="F643" s="122"/>
      <c r="G643" s="12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  <c r="AA643" s="122"/>
      <c r="AB643" s="122"/>
    </row>
    <row r="644" spans="1:28" ht="15.75" customHeight="1" x14ac:dyDescent="0.2">
      <c r="A644" s="122"/>
      <c r="B644" s="122"/>
      <c r="C644" s="122"/>
      <c r="D644" s="122"/>
      <c r="E644" s="122"/>
      <c r="F644" s="122"/>
      <c r="G644" s="122"/>
      <c r="H644" s="122"/>
      <c r="I644" s="122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  <c r="AA644" s="122"/>
      <c r="AB644" s="122"/>
    </row>
    <row r="645" spans="1:28" ht="15.75" customHeight="1" x14ac:dyDescent="0.2">
      <c r="A645" s="122"/>
      <c r="B645" s="122"/>
      <c r="C645" s="122"/>
      <c r="D645" s="122"/>
      <c r="E645" s="122"/>
      <c r="F645" s="122"/>
      <c r="G645" s="122"/>
      <c r="H645" s="122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  <c r="AA645" s="122"/>
      <c r="AB645" s="122"/>
    </row>
    <row r="646" spans="1:28" ht="15.75" customHeight="1" x14ac:dyDescent="0.2">
      <c r="A646" s="122"/>
      <c r="B646" s="122"/>
      <c r="C646" s="122"/>
      <c r="D646" s="122"/>
      <c r="E646" s="122"/>
      <c r="F646" s="122"/>
      <c r="G646" s="122"/>
      <c r="H646" s="122"/>
      <c r="I646" s="122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  <c r="AA646" s="122"/>
      <c r="AB646" s="122"/>
    </row>
    <row r="647" spans="1:28" ht="15.75" customHeight="1" x14ac:dyDescent="0.2">
      <c r="A647" s="122"/>
      <c r="B647" s="122"/>
      <c r="C647" s="122"/>
      <c r="D647" s="122"/>
      <c r="E647" s="122"/>
      <c r="F647" s="122"/>
      <c r="G647" s="122"/>
      <c r="H647" s="122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  <c r="AA647" s="122"/>
      <c r="AB647" s="122"/>
    </row>
    <row r="648" spans="1:28" ht="15.75" customHeight="1" x14ac:dyDescent="0.2">
      <c r="A648" s="122"/>
      <c r="B648" s="122"/>
      <c r="C648" s="122"/>
      <c r="D648" s="122"/>
      <c r="E648" s="122"/>
      <c r="F648" s="122"/>
      <c r="G648" s="122"/>
      <c r="H648" s="122"/>
      <c r="I648" s="122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  <c r="AA648" s="122"/>
      <c r="AB648" s="122"/>
    </row>
    <row r="649" spans="1:28" ht="15.75" customHeight="1" x14ac:dyDescent="0.2">
      <c r="A649" s="122"/>
      <c r="B649" s="122"/>
      <c r="C649" s="122"/>
      <c r="D649" s="122"/>
      <c r="E649" s="122"/>
      <c r="F649" s="122"/>
      <c r="G649" s="12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  <c r="AA649" s="122"/>
      <c r="AB649" s="122"/>
    </row>
    <row r="650" spans="1:28" ht="15.75" customHeight="1" x14ac:dyDescent="0.2">
      <c r="A650" s="122"/>
      <c r="B650" s="122"/>
      <c r="C650" s="122"/>
      <c r="D650" s="122"/>
      <c r="E650" s="122"/>
      <c r="F650" s="122"/>
      <c r="G650" s="122"/>
      <c r="H650" s="122"/>
      <c r="I650" s="122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  <c r="AA650" s="122"/>
      <c r="AB650" s="122"/>
    </row>
    <row r="651" spans="1:28" ht="15.75" customHeight="1" x14ac:dyDescent="0.2">
      <c r="A651" s="122"/>
      <c r="B651" s="122"/>
      <c r="C651" s="122"/>
      <c r="D651" s="122"/>
      <c r="E651" s="122"/>
      <c r="F651" s="122"/>
      <c r="G651" s="122"/>
      <c r="H651" s="122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  <c r="AA651" s="122"/>
      <c r="AB651" s="122"/>
    </row>
    <row r="652" spans="1:28" ht="15.75" customHeight="1" x14ac:dyDescent="0.2">
      <c r="A652" s="122"/>
      <c r="B652" s="122"/>
      <c r="C652" s="122"/>
      <c r="D652" s="122"/>
      <c r="E652" s="122"/>
      <c r="F652" s="122"/>
      <c r="G652" s="122"/>
      <c r="H652" s="122"/>
      <c r="I652" s="122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  <c r="AA652" s="122"/>
      <c r="AB652" s="122"/>
    </row>
    <row r="653" spans="1:28" ht="15.75" customHeight="1" x14ac:dyDescent="0.2">
      <c r="A653" s="122"/>
      <c r="B653" s="122"/>
      <c r="C653" s="122"/>
      <c r="D653" s="122"/>
      <c r="E653" s="122"/>
      <c r="F653" s="122"/>
      <c r="G653" s="12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  <c r="AA653" s="122"/>
      <c r="AB653" s="122"/>
    </row>
    <row r="654" spans="1:28" ht="15.75" customHeight="1" x14ac:dyDescent="0.2">
      <c r="A654" s="122"/>
      <c r="B654" s="122"/>
      <c r="C654" s="122"/>
      <c r="D654" s="122"/>
      <c r="E654" s="122"/>
      <c r="F654" s="122"/>
      <c r="G654" s="122"/>
      <c r="H654" s="122"/>
      <c r="I654" s="122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  <c r="AA654" s="122"/>
      <c r="AB654" s="122"/>
    </row>
    <row r="655" spans="1:28" ht="15.75" customHeight="1" x14ac:dyDescent="0.2">
      <c r="A655" s="122"/>
      <c r="B655" s="122"/>
      <c r="C655" s="122"/>
      <c r="D655" s="122"/>
      <c r="E655" s="122"/>
      <c r="F655" s="122"/>
      <c r="G655" s="122"/>
      <c r="H655" s="122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  <c r="AA655" s="122"/>
      <c r="AB655" s="122"/>
    </row>
    <row r="656" spans="1:28" ht="15.75" customHeight="1" x14ac:dyDescent="0.2">
      <c r="A656" s="122"/>
      <c r="B656" s="122"/>
      <c r="C656" s="122"/>
      <c r="D656" s="122"/>
      <c r="E656" s="122"/>
      <c r="F656" s="122"/>
      <c r="G656" s="122"/>
      <c r="H656" s="122"/>
      <c r="I656" s="122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  <c r="AA656" s="122"/>
      <c r="AB656" s="122"/>
    </row>
    <row r="657" spans="1:28" ht="15.75" customHeight="1" x14ac:dyDescent="0.2">
      <c r="A657" s="122"/>
      <c r="B657" s="122"/>
      <c r="C657" s="122"/>
      <c r="D657" s="122"/>
      <c r="E657" s="122"/>
      <c r="F657" s="122"/>
      <c r="G657" s="122"/>
      <c r="H657" s="122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  <c r="AA657" s="122"/>
      <c r="AB657" s="122"/>
    </row>
    <row r="658" spans="1:28" ht="15.75" customHeight="1" x14ac:dyDescent="0.2">
      <c r="A658" s="122"/>
      <c r="B658" s="122"/>
      <c r="C658" s="122"/>
      <c r="D658" s="122"/>
      <c r="E658" s="122"/>
      <c r="F658" s="122"/>
      <c r="G658" s="122"/>
      <c r="H658" s="122"/>
      <c r="I658" s="122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  <c r="AA658" s="122"/>
      <c r="AB658" s="122"/>
    </row>
    <row r="659" spans="1:28" ht="15.75" customHeight="1" x14ac:dyDescent="0.2">
      <c r="A659" s="122"/>
      <c r="B659" s="122"/>
      <c r="C659" s="122"/>
      <c r="D659" s="122"/>
      <c r="E659" s="122"/>
      <c r="F659" s="122"/>
      <c r="G659" s="122"/>
      <c r="H659" s="122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  <c r="AA659" s="122"/>
      <c r="AB659" s="122"/>
    </row>
    <row r="660" spans="1:28" ht="15.75" customHeight="1" x14ac:dyDescent="0.2">
      <c r="A660" s="122"/>
      <c r="B660" s="122"/>
      <c r="C660" s="122"/>
      <c r="D660" s="122"/>
      <c r="E660" s="122"/>
      <c r="F660" s="122"/>
      <c r="G660" s="122"/>
      <c r="H660" s="122"/>
      <c r="I660" s="122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  <c r="AA660" s="122"/>
      <c r="AB660" s="122"/>
    </row>
    <row r="661" spans="1:28" ht="15.75" customHeight="1" x14ac:dyDescent="0.2">
      <c r="A661" s="122"/>
      <c r="B661" s="122"/>
      <c r="C661" s="122"/>
      <c r="D661" s="122"/>
      <c r="E661" s="122"/>
      <c r="F661" s="122"/>
      <c r="G661" s="122"/>
      <c r="H661" s="122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  <c r="AA661" s="122"/>
      <c r="AB661" s="122"/>
    </row>
    <row r="662" spans="1:28" ht="15.75" customHeight="1" x14ac:dyDescent="0.2">
      <c r="A662" s="122"/>
      <c r="B662" s="122"/>
      <c r="C662" s="122"/>
      <c r="D662" s="122"/>
      <c r="E662" s="122"/>
      <c r="F662" s="122"/>
      <c r="G662" s="122"/>
      <c r="H662" s="122"/>
      <c r="I662" s="122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  <c r="AA662" s="122"/>
      <c r="AB662" s="122"/>
    </row>
    <row r="663" spans="1:28" ht="15.75" customHeight="1" x14ac:dyDescent="0.2">
      <c r="A663" s="122"/>
      <c r="B663" s="122"/>
      <c r="C663" s="122"/>
      <c r="D663" s="122"/>
      <c r="E663" s="122"/>
      <c r="F663" s="122"/>
      <c r="G663" s="122"/>
      <c r="H663" s="122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  <c r="AA663" s="122"/>
      <c r="AB663" s="122"/>
    </row>
    <row r="664" spans="1:28" ht="15.75" customHeight="1" x14ac:dyDescent="0.2">
      <c r="A664" s="122"/>
      <c r="B664" s="122"/>
      <c r="C664" s="122"/>
      <c r="D664" s="122"/>
      <c r="E664" s="122"/>
      <c r="F664" s="122"/>
      <c r="G664" s="122"/>
      <c r="H664" s="122"/>
      <c r="I664" s="122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  <c r="AA664" s="122"/>
      <c r="AB664" s="122"/>
    </row>
    <row r="665" spans="1:28" ht="15.75" customHeight="1" x14ac:dyDescent="0.2">
      <c r="A665" s="122"/>
      <c r="B665" s="122"/>
      <c r="C665" s="122"/>
      <c r="D665" s="122"/>
      <c r="E665" s="122"/>
      <c r="F665" s="122"/>
      <c r="G665" s="122"/>
      <c r="H665" s="122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  <c r="AA665" s="122"/>
      <c r="AB665" s="122"/>
    </row>
    <row r="666" spans="1:28" ht="15.75" customHeight="1" x14ac:dyDescent="0.2">
      <c r="A666" s="122"/>
      <c r="B666" s="122"/>
      <c r="C666" s="122"/>
      <c r="D666" s="122"/>
      <c r="E666" s="122"/>
      <c r="F666" s="122"/>
      <c r="G666" s="122"/>
      <c r="H666" s="122"/>
      <c r="I666" s="122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  <c r="AA666" s="122"/>
      <c r="AB666" s="122"/>
    </row>
    <row r="667" spans="1:28" ht="15.75" customHeight="1" x14ac:dyDescent="0.2">
      <c r="A667" s="122"/>
      <c r="B667" s="122"/>
      <c r="C667" s="122"/>
      <c r="D667" s="122"/>
      <c r="E667" s="122"/>
      <c r="F667" s="122"/>
      <c r="G667" s="122"/>
      <c r="H667" s="122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  <c r="AA667" s="122"/>
      <c r="AB667" s="122"/>
    </row>
    <row r="668" spans="1:28" ht="15.75" customHeight="1" x14ac:dyDescent="0.2">
      <c r="A668" s="122"/>
      <c r="B668" s="122"/>
      <c r="C668" s="122"/>
      <c r="D668" s="122"/>
      <c r="E668" s="122"/>
      <c r="F668" s="122"/>
      <c r="G668" s="122"/>
      <c r="H668" s="122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  <c r="AA668" s="122"/>
      <c r="AB668" s="122"/>
    </row>
    <row r="669" spans="1:28" ht="15.75" customHeight="1" x14ac:dyDescent="0.2">
      <c r="A669" s="122"/>
      <c r="B669" s="122"/>
      <c r="C669" s="122"/>
      <c r="D669" s="122"/>
      <c r="E669" s="122"/>
      <c r="F669" s="122"/>
      <c r="G669" s="122"/>
      <c r="H669" s="122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  <c r="AA669" s="122"/>
      <c r="AB669" s="122"/>
    </row>
    <row r="670" spans="1:28" ht="15.75" customHeight="1" x14ac:dyDescent="0.2">
      <c r="A670" s="122"/>
      <c r="B670" s="122"/>
      <c r="C670" s="122"/>
      <c r="D670" s="122"/>
      <c r="E670" s="122"/>
      <c r="F670" s="122"/>
      <c r="G670" s="122"/>
      <c r="H670" s="122"/>
      <c r="I670" s="122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  <c r="AA670" s="122"/>
      <c r="AB670" s="122"/>
    </row>
    <row r="671" spans="1:28" ht="15.75" customHeight="1" x14ac:dyDescent="0.2">
      <c r="A671" s="122"/>
      <c r="B671" s="122"/>
      <c r="C671" s="122"/>
      <c r="D671" s="122"/>
      <c r="E671" s="122"/>
      <c r="F671" s="122"/>
      <c r="G671" s="122"/>
      <c r="H671" s="122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  <c r="AA671" s="122"/>
      <c r="AB671" s="122"/>
    </row>
    <row r="672" spans="1:28" ht="15.75" customHeight="1" x14ac:dyDescent="0.2">
      <c r="A672" s="122"/>
      <c r="B672" s="122"/>
      <c r="C672" s="122"/>
      <c r="D672" s="122"/>
      <c r="E672" s="122"/>
      <c r="F672" s="122"/>
      <c r="G672" s="122"/>
      <c r="H672" s="122"/>
      <c r="I672" s="122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  <c r="AA672" s="122"/>
      <c r="AB672" s="122"/>
    </row>
    <row r="673" spans="1:28" ht="15.75" customHeight="1" x14ac:dyDescent="0.2">
      <c r="A673" s="122"/>
      <c r="B673" s="122"/>
      <c r="C673" s="122"/>
      <c r="D673" s="122"/>
      <c r="E673" s="122"/>
      <c r="F673" s="122"/>
      <c r="G673" s="122"/>
      <c r="H673" s="122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  <c r="AA673" s="122"/>
      <c r="AB673" s="122"/>
    </row>
    <row r="674" spans="1:28" ht="15.75" customHeight="1" x14ac:dyDescent="0.2">
      <c r="A674" s="122"/>
      <c r="B674" s="122"/>
      <c r="C674" s="122"/>
      <c r="D674" s="122"/>
      <c r="E674" s="122"/>
      <c r="F674" s="122"/>
      <c r="G674" s="122"/>
      <c r="H674" s="122"/>
      <c r="I674" s="122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  <c r="AA674" s="122"/>
      <c r="AB674" s="122"/>
    </row>
    <row r="675" spans="1:28" ht="15.75" customHeight="1" x14ac:dyDescent="0.2">
      <c r="A675" s="122"/>
      <c r="B675" s="122"/>
      <c r="C675" s="122"/>
      <c r="D675" s="122"/>
      <c r="E675" s="122"/>
      <c r="F675" s="122"/>
      <c r="G675" s="122"/>
      <c r="H675" s="122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  <c r="AA675" s="122"/>
      <c r="AB675" s="122"/>
    </row>
    <row r="676" spans="1:28" ht="15.75" customHeight="1" x14ac:dyDescent="0.2">
      <c r="A676" s="122"/>
      <c r="B676" s="122"/>
      <c r="C676" s="122"/>
      <c r="D676" s="122"/>
      <c r="E676" s="122"/>
      <c r="F676" s="122"/>
      <c r="G676" s="122"/>
      <c r="H676" s="122"/>
      <c r="I676" s="122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  <c r="AA676" s="122"/>
      <c r="AB676" s="122"/>
    </row>
    <row r="677" spans="1:28" ht="15.75" customHeight="1" x14ac:dyDescent="0.2">
      <c r="A677" s="122"/>
      <c r="B677" s="122"/>
      <c r="C677" s="122"/>
      <c r="D677" s="122"/>
      <c r="E677" s="122"/>
      <c r="F677" s="122"/>
      <c r="G677" s="122"/>
      <c r="H677" s="122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  <c r="AA677" s="122"/>
      <c r="AB677" s="122"/>
    </row>
    <row r="678" spans="1:28" ht="15.75" customHeight="1" x14ac:dyDescent="0.2">
      <c r="A678" s="122"/>
      <c r="B678" s="122"/>
      <c r="C678" s="122"/>
      <c r="D678" s="122"/>
      <c r="E678" s="122"/>
      <c r="F678" s="122"/>
      <c r="G678" s="122"/>
      <c r="H678" s="122"/>
      <c r="I678" s="122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  <c r="AA678" s="122"/>
      <c r="AB678" s="122"/>
    </row>
    <row r="679" spans="1:28" ht="15.75" customHeight="1" x14ac:dyDescent="0.2">
      <c r="A679" s="122"/>
      <c r="B679" s="122"/>
      <c r="C679" s="122"/>
      <c r="D679" s="122"/>
      <c r="E679" s="122"/>
      <c r="F679" s="122"/>
      <c r="G679" s="122"/>
      <c r="H679" s="122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  <c r="AA679" s="122"/>
      <c r="AB679" s="122"/>
    </row>
    <row r="680" spans="1:28" ht="15.75" customHeight="1" x14ac:dyDescent="0.2">
      <c r="A680" s="122"/>
      <c r="B680" s="122"/>
      <c r="C680" s="122"/>
      <c r="D680" s="122"/>
      <c r="E680" s="122"/>
      <c r="F680" s="122"/>
      <c r="G680" s="122"/>
      <c r="H680" s="122"/>
      <c r="I680" s="122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  <c r="AA680" s="122"/>
      <c r="AB680" s="122"/>
    </row>
    <row r="681" spans="1:28" ht="15.75" customHeight="1" x14ac:dyDescent="0.2">
      <c r="A681" s="122"/>
      <c r="B681" s="122"/>
      <c r="C681" s="122"/>
      <c r="D681" s="122"/>
      <c r="E681" s="122"/>
      <c r="F681" s="122"/>
      <c r="G681" s="122"/>
      <c r="H681" s="122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  <c r="AA681" s="122"/>
      <c r="AB681" s="122"/>
    </row>
    <row r="682" spans="1:28" ht="15.75" customHeight="1" x14ac:dyDescent="0.2">
      <c r="A682" s="122"/>
      <c r="B682" s="122"/>
      <c r="C682" s="122"/>
      <c r="D682" s="122"/>
      <c r="E682" s="122"/>
      <c r="F682" s="122"/>
      <c r="G682" s="122"/>
      <c r="H682" s="122"/>
      <c r="I682" s="122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  <c r="AA682" s="122"/>
      <c r="AB682" s="122"/>
    </row>
    <row r="683" spans="1:28" ht="15.75" customHeight="1" x14ac:dyDescent="0.2">
      <c r="A683" s="122"/>
      <c r="B683" s="122"/>
      <c r="C683" s="122"/>
      <c r="D683" s="122"/>
      <c r="E683" s="122"/>
      <c r="F683" s="122"/>
      <c r="G683" s="122"/>
      <c r="H683" s="122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  <c r="AA683" s="122"/>
      <c r="AB683" s="122"/>
    </row>
    <row r="684" spans="1:28" ht="15.75" customHeight="1" x14ac:dyDescent="0.2">
      <c r="A684" s="122"/>
      <c r="B684" s="122"/>
      <c r="C684" s="122"/>
      <c r="D684" s="122"/>
      <c r="E684" s="122"/>
      <c r="F684" s="122"/>
      <c r="G684" s="122"/>
      <c r="H684" s="122"/>
      <c r="I684" s="122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  <c r="AA684" s="122"/>
      <c r="AB684" s="122"/>
    </row>
    <row r="685" spans="1:28" ht="15.75" customHeight="1" x14ac:dyDescent="0.2">
      <c r="A685" s="122"/>
      <c r="B685" s="122"/>
      <c r="C685" s="122"/>
      <c r="D685" s="122"/>
      <c r="E685" s="122"/>
      <c r="F685" s="122"/>
      <c r="G685" s="122"/>
      <c r="H685" s="122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  <c r="AA685" s="122"/>
      <c r="AB685" s="122"/>
    </row>
    <row r="686" spans="1:28" ht="15.75" customHeight="1" x14ac:dyDescent="0.2">
      <c r="A686" s="122"/>
      <c r="B686" s="122"/>
      <c r="C686" s="122"/>
      <c r="D686" s="122"/>
      <c r="E686" s="122"/>
      <c r="F686" s="122"/>
      <c r="G686" s="122"/>
      <c r="H686" s="122"/>
      <c r="I686" s="122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  <c r="AA686" s="122"/>
      <c r="AB686" s="122"/>
    </row>
    <row r="687" spans="1:28" ht="15.75" customHeight="1" x14ac:dyDescent="0.2">
      <c r="A687" s="122"/>
      <c r="B687" s="122"/>
      <c r="C687" s="122"/>
      <c r="D687" s="122"/>
      <c r="E687" s="122"/>
      <c r="F687" s="122"/>
      <c r="G687" s="122"/>
      <c r="H687" s="122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  <c r="AA687" s="122"/>
      <c r="AB687" s="122"/>
    </row>
    <row r="688" spans="1:28" ht="15.75" customHeight="1" x14ac:dyDescent="0.2">
      <c r="A688" s="122"/>
      <c r="B688" s="122"/>
      <c r="C688" s="122"/>
      <c r="D688" s="122"/>
      <c r="E688" s="122"/>
      <c r="F688" s="122"/>
      <c r="G688" s="122"/>
      <c r="H688" s="122"/>
      <c r="I688" s="122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  <c r="AA688" s="122"/>
      <c r="AB688" s="122"/>
    </row>
    <row r="689" spans="1:28" ht="15.75" customHeight="1" x14ac:dyDescent="0.2">
      <c r="A689" s="122"/>
      <c r="B689" s="122"/>
      <c r="C689" s="122"/>
      <c r="D689" s="122"/>
      <c r="E689" s="122"/>
      <c r="F689" s="122"/>
      <c r="G689" s="122"/>
      <c r="H689" s="122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  <c r="AA689" s="122"/>
      <c r="AB689" s="122"/>
    </row>
    <row r="690" spans="1:28" ht="15.75" customHeight="1" x14ac:dyDescent="0.2">
      <c r="A690" s="122"/>
      <c r="B690" s="122"/>
      <c r="C690" s="122"/>
      <c r="D690" s="122"/>
      <c r="E690" s="122"/>
      <c r="F690" s="122"/>
      <c r="G690" s="122"/>
      <c r="H690" s="122"/>
      <c r="I690" s="122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  <c r="AA690" s="122"/>
      <c r="AB690" s="122"/>
    </row>
    <row r="691" spans="1:28" ht="15.75" customHeight="1" x14ac:dyDescent="0.2">
      <c r="A691" s="122"/>
      <c r="B691" s="122"/>
      <c r="C691" s="122"/>
      <c r="D691" s="122"/>
      <c r="E691" s="122"/>
      <c r="F691" s="122"/>
      <c r="G691" s="122"/>
      <c r="H691" s="122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  <c r="AA691" s="122"/>
      <c r="AB691" s="122"/>
    </row>
    <row r="692" spans="1:28" ht="15.75" customHeight="1" x14ac:dyDescent="0.2">
      <c r="A692" s="122"/>
      <c r="B692" s="122"/>
      <c r="C692" s="122"/>
      <c r="D692" s="122"/>
      <c r="E692" s="122"/>
      <c r="F692" s="122"/>
      <c r="G692" s="122"/>
      <c r="H692" s="122"/>
      <c r="I692" s="122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  <c r="AA692" s="122"/>
      <c r="AB692" s="122"/>
    </row>
    <row r="693" spans="1:28" ht="15.75" customHeight="1" x14ac:dyDescent="0.2">
      <c r="A693" s="122"/>
      <c r="B693" s="122"/>
      <c r="C693" s="122"/>
      <c r="D693" s="122"/>
      <c r="E693" s="122"/>
      <c r="F693" s="122"/>
      <c r="G693" s="122"/>
      <c r="H693" s="122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  <c r="AA693" s="122"/>
      <c r="AB693" s="122"/>
    </row>
    <row r="694" spans="1:28" ht="15.75" customHeight="1" x14ac:dyDescent="0.2">
      <c r="A694" s="122"/>
      <c r="B694" s="122"/>
      <c r="C694" s="122"/>
      <c r="D694" s="122"/>
      <c r="E694" s="122"/>
      <c r="F694" s="122"/>
      <c r="G694" s="122"/>
      <c r="H694" s="122"/>
      <c r="I694" s="122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  <c r="AA694" s="122"/>
      <c r="AB694" s="122"/>
    </row>
    <row r="695" spans="1:28" ht="15.75" customHeight="1" x14ac:dyDescent="0.2">
      <c r="A695" s="122"/>
      <c r="B695" s="122"/>
      <c r="C695" s="122"/>
      <c r="D695" s="122"/>
      <c r="E695" s="122"/>
      <c r="F695" s="122"/>
      <c r="G695" s="122"/>
      <c r="H695" s="122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  <c r="AA695" s="122"/>
      <c r="AB695" s="122"/>
    </row>
    <row r="696" spans="1:28" ht="15.75" customHeight="1" x14ac:dyDescent="0.2">
      <c r="A696" s="122"/>
      <c r="B696" s="122"/>
      <c r="C696" s="122"/>
      <c r="D696" s="122"/>
      <c r="E696" s="122"/>
      <c r="F696" s="122"/>
      <c r="G696" s="122"/>
      <c r="H696" s="122"/>
      <c r="I696" s="122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  <c r="AA696" s="122"/>
      <c r="AB696" s="122"/>
    </row>
    <row r="697" spans="1:28" ht="15.75" customHeight="1" x14ac:dyDescent="0.2">
      <c r="A697" s="122"/>
      <c r="B697" s="122"/>
      <c r="C697" s="122"/>
      <c r="D697" s="122"/>
      <c r="E697" s="122"/>
      <c r="F697" s="122"/>
      <c r="G697" s="122"/>
      <c r="H697" s="122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  <c r="AA697" s="122"/>
      <c r="AB697" s="122"/>
    </row>
    <row r="698" spans="1:28" ht="15.75" customHeight="1" x14ac:dyDescent="0.2">
      <c r="A698" s="122"/>
      <c r="B698" s="122"/>
      <c r="C698" s="122"/>
      <c r="D698" s="122"/>
      <c r="E698" s="122"/>
      <c r="F698" s="122"/>
      <c r="G698" s="122"/>
      <c r="H698" s="122"/>
      <c r="I698" s="122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  <c r="AA698" s="122"/>
      <c r="AB698" s="122"/>
    </row>
    <row r="699" spans="1:28" ht="15.75" customHeight="1" x14ac:dyDescent="0.2">
      <c r="A699" s="122"/>
      <c r="B699" s="122"/>
      <c r="C699" s="122"/>
      <c r="D699" s="122"/>
      <c r="E699" s="122"/>
      <c r="F699" s="122"/>
      <c r="G699" s="122"/>
      <c r="H699" s="122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  <c r="AA699" s="122"/>
      <c r="AB699" s="122"/>
    </row>
    <row r="700" spans="1:28" ht="15.75" customHeight="1" x14ac:dyDescent="0.2">
      <c r="A700" s="122"/>
      <c r="B700" s="122"/>
      <c r="C700" s="122"/>
      <c r="D700" s="122"/>
      <c r="E700" s="122"/>
      <c r="F700" s="122"/>
      <c r="G700" s="122"/>
      <c r="H700" s="122"/>
      <c r="I700" s="122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  <c r="AA700" s="122"/>
      <c r="AB700" s="122"/>
    </row>
    <row r="701" spans="1:28" ht="15.75" customHeight="1" x14ac:dyDescent="0.2">
      <c r="A701" s="122"/>
      <c r="B701" s="122"/>
      <c r="C701" s="122"/>
      <c r="D701" s="122"/>
      <c r="E701" s="122"/>
      <c r="F701" s="122"/>
      <c r="G701" s="122"/>
      <c r="H701" s="122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  <c r="AA701" s="122"/>
      <c r="AB701" s="122"/>
    </row>
    <row r="702" spans="1:28" ht="15.75" customHeight="1" x14ac:dyDescent="0.2">
      <c r="A702" s="122"/>
      <c r="B702" s="122"/>
      <c r="C702" s="122"/>
      <c r="D702" s="122"/>
      <c r="E702" s="122"/>
      <c r="F702" s="122"/>
      <c r="G702" s="122"/>
      <c r="H702" s="122"/>
      <c r="I702" s="122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  <c r="AA702" s="122"/>
      <c r="AB702" s="122"/>
    </row>
    <row r="703" spans="1:28" ht="15.75" customHeight="1" x14ac:dyDescent="0.2">
      <c r="A703" s="122"/>
      <c r="B703" s="122"/>
      <c r="C703" s="122"/>
      <c r="D703" s="122"/>
      <c r="E703" s="122"/>
      <c r="F703" s="122"/>
      <c r="G703" s="122"/>
      <c r="H703" s="122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  <c r="AA703" s="122"/>
      <c r="AB703" s="122"/>
    </row>
    <row r="704" spans="1:28" ht="15.75" customHeight="1" x14ac:dyDescent="0.2">
      <c r="A704" s="122"/>
      <c r="B704" s="122"/>
      <c r="C704" s="122"/>
      <c r="D704" s="122"/>
      <c r="E704" s="122"/>
      <c r="F704" s="122"/>
      <c r="G704" s="122"/>
      <c r="H704" s="122"/>
      <c r="I704" s="122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  <c r="AA704" s="122"/>
      <c r="AB704" s="122"/>
    </row>
    <row r="705" spans="1:28" ht="15.75" customHeight="1" x14ac:dyDescent="0.2">
      <c r="A705" s="122"/>
      <c r="B705" s="122"/>
      <c r="C705" s="122"/>
      <c r="D705" s="122"/>
      <c r="E705" s="122"/>
      <c r="F705" s="122"/>
      <c r="G705" s="122"/>
      <c r="H705" s="122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  <c r="AA705" s="122"/>
      <c r="AB705" s="122"/>
    </row>
    <row r="706" spans="1:28" ht="15.75" customHeight="1" x14ac:dyDescent="0.2">
      <c r="A706" s="122"/>
      <c r="B706" s="122"/>
      <c r="C706" s="122"/>
      <c r="D706" s="122"/>
      <c r="E706" s="122"/>
      <c r="F706" s="122"/>
      <c r="G706" s="122"/>
      <c r="H706" s="122"/>
      <c r="I706" s="122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  <c r="AA706" s="122"/>
      <c r="AB706" s="122"/>
    </row>
    <row r="707" spans="1:28" ht="15.75" customHeight="1" x14ac:dyDescent="0.2">
      <c r="A707" s="122"/>
      <c r="B707" s="122"/>
      <c r="C707" s="122"/>
      <c r="D707" s="122"/>
      <c r="E707" s="122"/>
      <c r="F707" s="122"/>
      <c r="G707" s="122"/>
      <c r="H707" s="122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  <c r="AA707" s="122"/>
      <c r="AB707" s="122"/>
    </row>
    <row r="708" spans="1:28" ht="15.75" customHeight="1" x14ac:dyDescent="0.2">
      <c r="A708" s="122"/>
      <c r="B708" s="122"/>
      <c r="C708" s="122"/>
      <c r="D708" s="122"/>
      <c r="E708" s="122"/>
      <c r="F708" s="122"/>
      <c r="G708" s="122"/>
      <c r="H708" s="122"/>
      <c r="I708" s="122"/>
      <c r="J708" s="122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  <c r="AA708" s="122"/>
      <c r="AB708" s="122"/>
    </row>
    <row r="709" spans="1:28" ht="15.75" customHeight="1" x14ac:dyDescent="0.2">
      <c r="A709" s="122"/>
      <c r="B709" s="122"/>
      <c r="C709" s="122"/>
      <c r="D709" s="122"/>
      <c r="E709" s="122"/>
      <c r="F709" s="122"/>
      <c r="G709" s="122"/>
      <c r="H709" s="122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  <c r="AA709" s="122"/>
      <c r="AB709" s="122"/>
    </row>
    <row r="710" spans="1:28" ht="15.75" customHeight="1" x14ac:dyDescent="0.2">
      <c r="A710" s="122"/>
      <c r="B710" s="122"/>
      <c r="C710" s="122"/>
      <c r="D710" s="122"/>
      <c r="E710" s="122"/>
      <c r="F710" s="122"/>
      <c r="G710" s="122"/>
      <c r="H710" s="122"/>
      <c r="I710" s="122"/>
      <c r="J710" s="122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  <c r="AA710" s="122"/>
      <c r="AB710" s="122"/>
    </row>
    <row r="711" spans="1:28" ht="15.75" customHeight="1" x14ac:dyDescent="0.2">
      <c r="A711" s="122"/>
      <c r="B711" s="122"/>
      <c r="C711" s="122"/>
      <c r="D711" s="122"/>
      <c r="E711" s="122"/>
      <c r="F711" s="122"/>
      <c r="G711" s="122"/>
      <c r="H711" s="122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  <c r="AA711" s="122"/>
      <c r="AB711" s="122"/>
    </row>
    <row r="712" spans="1:28" ht="15.75" customHeight="1" x14ac:dyDescent="0.2">
      <c r="A712" s="122"/>
      <c r="B712" s="122"/>
      <c r="C712" s="122"/>
      <c r="D712" s="122"/>
      <c r="E712" s="122"/>
      <c r="F712" s="122"/>
      <c r="G712" s="122"/>
      <c r="H712" s="122"/>
      <c r="I712" s="122"/>
      <c r="J712" s="122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  <c r="AA712" s="122"/>
      <c r="AB712" s="122"/>
    </row>
    <row r="713" spans="1:28" ht="15.75" customHeight="1" x14ac:dyDescent="0.2">
      <c r="A713" s="122"/>
      <c r="B713" s="122"/>
      <c r="C713" s="122"/>
      <c r="D713" s="122"/>
      <c r="E713" s="122"/>
      <c r="F713" s="122"/>
      <c r="G713" s="122"/>
      <c r="H713" s="122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  <c r="AA713" s="122"/>
      <c r="AB713" s="122"/>
    </row>
    <row r="714" spans="1:28" ht="15.75" customHeight="1" x14ac:dyDescent="0.2">
      <c r="A714" s="122"/>
      <c r="B714" s="122"/>
      <c r="C714" s="122"/>
      <c r="D714" s="122"/>
      <c r="E714" s="122"/>
      <c r="F714" s="122"/>
      <c r="G714" s="122"/>
      <c r="H714" s="122"/>
      <c r="I714" s="122"/>
      <c r="J714" s="122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  <c r="AA714" s="122"/>
      <c r="AB714" s="122"/>
    </row>
    <row r="715" spans="1:28" ht="15.75" customHeight="1" x14ac:dyDescent="0.2">
      <c r="A715" s="122"/>
      <c r="B715" s="122"/>
      <c r="C715" s="122"/>
      <c r="D715" s="122"/>
      <c r="E715" s="122"/>
      <c r="F715" s="122"/>
      <c r="G715" s="122"/>
      <c r="H715" s="122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  <c r="AA715" s="122"/>
      <c r="AB715" s="122"/>
    </row>
    <row r="716" spans="1:28" ht="15.75" customHeight="1" x14ac:dyDescent="0.2">
      <c r="A716" s="122"/>
      <c r="B716" s="122"/>
      <c r="C716" s="122"/>
      <c r="D716" s="122"/>
      <c r="E716" s="122"/>
      <c r="F716" s="122"/>
      <c r="G716" s="122"/>
      <c r="H716" s="122"/>
      <c r="I716" s="122"/>
      <c r="J716" s="122"/>
      <c r="K716" s="122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  <c r="AA716" s="122"/>
      <c r="AB716" s="122"/>
    </row>
    <row r="717" spans="1:28" ht="15.75" customHeight="1" x14ac:dyDescent="0.2">
      <c r="A717" s="122"/>
      <c r="B717" s="122"/>
      <c r="C717" s="122"/>
      <c r="D717" s="122"/>
      <c r="E717" s="122"/>
      <c r="F717" s="122"/>
      <c r="G717" s="122"/>
      <c r="H717" s="122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  <c r="AA717" s="122"/>
      <c r="AB717" s="122"/>
    </row>
    <row r="718" spans="1:28" ht="15.75" customHeight="1" x14ac:dyDescent="0.2">
      <c r="A718" s="122"/>
      <c r="B718" s="122"/>
      <c r="C718" s="122"/>
      <c r="D718" s="122"/>
      <c r="E718" s="122"/>
      <c r="F718" s="122"/>
      <c r="G718" s="122"/>
      <c r="H718" s="122"/>
      <c r="I718" s="122"/>
      <c r="J718" s="122"/>
      <c r="K718" s="122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  <c r="AA718" s="122"/>
      <c r="AB718" s="122"/>
    </row>
    <row r="719" spans="1:28" ht="15.75" customHeight="1" x14ac:dyDescent="0.2">
      <c r="A719" s="122"/>
      <c r="B719" s="122"/>
      <c r="C719" s="122"/>
      <c r="D719" s="122"/>
      <c r="E719" s="122"/>
      <c r="F719" s="122"/>
      <c r="G719" s="122"/>
      <c r="H719" s="122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  <c r="AA719" s="122"/>
      <c r="AB719" s="122"/>
    </row>
    <row r="720" spans="1:28" ht="15.75" customHeight="1" x14ac:dyDescent="0.2">
      <c r="A720" s="122"/>
      <c r="B720" s="122"/>
      <c r="C720" s="122"/>
      <c r="D720" s="122"/>
      <c r="E720" s="122"/>
      <c r="F720" s="122"/>
      <c r="G720" s="122"/>
      <c r="H720" s="122"/>
      <c r="I720" s="122"/>
      <c r="J720" s="122"/>
      <c r="K720" s="122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  <c r="AA720" s="122"/>
      <c r="AB720" s="122"/>
    </row>
    <row r="721" spans="1:28" ht="15.75" customHeight="1" x14ac:dyDescent="0.2">
      <c r="A721" s="122"/>
      <c r="B721" s="122"/>
      <c r="C721" s="122"/>
      <c r="D721" s="122"/>
      <c r="E721" s="122"/>
      <c r="F721" s="122"/>
      <c r="G721" s="122"/>
      <c r="H721" s="122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  <c r="AA721" s="122"/>
      <c r="AB721" s="122"/>
    </row>
    <row r="722" spans="1:28" ht="15.75" customHeight="1" x14ac:dyDescent="0.2">
      <c r="A722" s="122"/>
      <c r="B722" s="122"/>
      <c r="C722" s="122"/>
      <c r="D722" s="122"/>
      <c r="E722" s="122"/>
      <c r="F722" s="122"/>
      <c r="G722" s="122"/>
      <c r="H722" s="122"/>
      <c r="I722" s="122"/>
      <c r="J722" s="122"/>
      <c r="K722" s="122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  <c r="AA722" s="122"/>
      <c r="AB722" s="122"/>
    </row>
    <row r="723" spans="1:28" ht="15.75" customHeight="1" x14ac:dyDescent="0.2">
      <c r="A723" s="122"/>
      <c r="B723" s="122"/>
      <c r="C723" s="122"/>
      <c r="D723" s="122"/>
      <c r="E723" s="122"/>
      <c r="F723" s="122"/>
      <c r="G723" s="122"/>
      <c r="H723" s="122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  <c r="AA723" s="122"/>
      <c r="AB723" s="122"/>
    </row>
    <row r="724" spans="1:28" ht="15.75" customHeight="1" x14ac:dyDescent="0.2">
      <c r="A724" s="122"/>
      <c r="B724" s="122"/>
      <c r="C724" s="122"/>
      <c r="D724" s="122"/>
      <c r="E724" s="122"/>
      <c r="F724" s="122"/>
      <c r="G724" s="122"/>
      <c r="H724" s="122"/>
      <c r="I724" s="122"/>
      <c r="J724" s="122"/>
      <c r="K724" s="122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  <c r="AA724" s="122"/>
      <c r="AB724" s="122"/>
    </row>
    <row r="725" spans="1:28" ht="15.75" customHeight="1" x14ac:dyDescent="0.2">
      <c r="A725" s="122"/>
      <c r="B725" s="122"/>
      <c r="C725" s="122"/>
      <c r="D725" s="122"/>
      <c r="E725" s="122"/>
      <c r="F725" s="122"/>
      <c r="G725" s="122"/>
      <c r="H725" s="122"/>
      <c r="I725" s="122"/>
      <c r="J725" s="122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  <c r="AA725" s="122"/>
      <c r="AB725" s="122"/>
    </row>
    <row r="726" spans="1:28" ht="15.75" customHeight="1" x14ac:dyDescent="0.2">
      <c r="A726" s="122"/>
      <c r="B726" s="122"/>
      <c r="C726" s="122"/>
      <c r="D726" s="122"/>
      <c r="E726" s="122"/>
      <c r="F726" s="122"/>
      <c r="G726" s="122"/>
      <c r="H726" s="122"/>
      <c r="I726" s="122"/>
      <c r="J726" s="122"/>
      <c r="K726" s="122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  <c r="AA726" s="122"/>
      <c r="AB726" s="122"/>
    </row>
    <row r="727" spans="1:28" ht="15.75" customHeight="1" x14ac:dyDescent="0.2">
      <c r="A727" s="122"/>
      <c r="B727" s="122"/>
      <c r="C727" s="122"/>
      <c r="D727" s="122"/>
      <c r="E727" s="122"/>
      <c r="F727" s="122"/>
      <c r="G727" s="122"/>
      <c r="H727" s="122"/>
      <c r="I727" s="122"/>
      <c r="J727" s="122"/>
      <c r="K727" s="122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  <c r="AA727" s="122"/>
      <c r="AB727" s="122"/>
    </row>
    <row r="728" spans="1:28" ht="15.75" customHeight="1" x14ac:dyDescent="0.2">
      <c r="A728" s="122"/>
      <c r="B728" s="122"/>
      <c r="C728" s="122"/>
      <c r="D728" s="122"/>
      <c r="E728" s="122"/>
      <c r="F728" s="122"/>
      <c r="G728" s="122"/>
      <c r="H728" s="122"/>
      <c r="I728" s="122"/>
      <c r="J728" s="122"/>
      <c r="K728" s="122"/>
      <c r="L728" s="122"/>
      <c r="M728" s="122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  <c r="AA728" s="122"/>
      <c r="AB728" s="122"/>
    </row>
    <row r="729" spans="1:28" ht="15.75" customHeight="1" x14ac:dyDescent="0.2">
      <c r="A729" s="122"/>
      <c r="B729" s="122"/>
      <c r="C729" s="122"/>
      <c r="D729" s="122"/>
      <c r="E729" s="122"/>
      <c r="F729" s="122"/>
      <c r="G729" s="122"/>
      <c r="H729" s="122"/>
      <c r="I729" s="122"/>
      <c r="J729" s="122"/>
      <c r="K729" s="122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  <c r="AA729" s="122"/>
      <c r="AB729" s="122"/>
    </row>
    <row r="730" spans="1:28" ht="15.75" customHeight="1" x14ac:dyDescent="0.2">
      <c r="A730" s="122"/>
      <c r="B730" s="122"/>
      <c r="C730" s="122"/>
      <c r="D730" s="122"/>
      <c r="E730" s="122"/>
      <c r="F730" s="122"/>
      <c r="G730" s="122"/>
      <c r="H730" s="122"/>
      <c r="I730" s="122"/>
      <c r="J730" s="122"/>
      <c r="K730" s="122"/>
      <c r="L730" s="122"/>
      <c r="M730" s="122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  <c r="AA730" s="122"/>
      <c r="AB730" s="122"/>
    </row>
    <row r="731" spans="1:28" ht="15.75" customHeight="1" x14ac:dyDescent="0.2">
      <c r="A731" s="122"/>
      <c r="B731" s="122"/>
      <c r="C731" s="122"/>
      <c r="D731" s="122"/>
      <c r="E731" s="122"/>
      <c r="F731" s="122"/>
      <c r="G731" s="122"/>
      <c r="H731" s="122"/>
      <c r="I731" s="122"/>
      <c r="J731" s="122"/>
      <c r="K731" s="122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  <c r="AA731" s="122"/>
      <c r="AB731" s="122"/>
    </row>
    <row r="732" spans="1:28" ht="15.75" customHeight="1" x14ac:dyDescent="0.2">
      <c r="A732" s="122"/>
      <c r="B732" s="122"/>
      <c r="C732" s="122"/>
      <c r="D732" s="122"/>
      <c r="E732" s="122"/>
      <c r="F732" s="122"/>
      <c r="G732" s="122"/>
      <c r="H732" s="122"/>
      <c r="I732" s="122"/>
      <c r="J732" s="122"/>
      <c r="K732" s="122"/>
      <c r="L732" s="122"/>
      <c r="M732" s="122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  <c r="AA732" s="122"/>
      <c r="AB732" s="122"/>
    </row>
    <row r="733" spans="1:28" ht="15.75" customHeight="1" x14ac:dyDescent="0.2">
      <c r="A733" s="122"/>
      <c r="B733" s="122"/>
      <c r="C733" s="122"/>
      <c r="D733" s="122"/>
      <c r="E733" s="122"/>
      <c r="F733" s="122"/>
      <c r="G733" s="122"/>
      <c r="H733" s="122"/>
      <c r="I733" s="122"/>
      <c r="J733" s="122"/>
      <c r="K733" s="122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  <c r="AA733" s="122"/>
      <c r="AB733" s="122"/>
    </row>
    <row r="734" spans="1:28" ht="15.75" customHeight="1" x14ac:dyDescent="0.2">
      <c r="A734" s="122"/>
      <c r="B734" s="122"/>
      <c r="C734" s="122"/>
      <c r="D734" s="122"/>
      <c r="E734" s="122"/>
      <c r="F734" s="122"/>
      <c r="G734" s="122"/>
      <c r="H734" s="122"/>
      <c r="I734" s="122"/>
      <c r="J734" s="122"/>
      <c r="K734" s="122"/>
      <c r="L734" s="122"/>
      <c r="M734" s="122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  <c r="AA734" s="122"/>
      <c r="AB734" s="122"/>
    </row>
    <row r="735" spans="1:28" ht="15.75" customHeight="1" x14ac:dyDescent="0.2">
      <c r="A735" s="122"/>
      <c r="B735" s="122"/>
      <c r="C735" s="122"/>
      <c r="D735" s="122"/>
      <c r="E735" s="122"/>
      <c r="F735" s="122"/>
      <c r="G735" s="122"/>
      <c r="H735" s="122"/>
      <c r="I735" s="122"/>
      <c r="J735" s="122"/>
      <c r="K735" s="122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  <c r="AA735" s="122"/>
      <c r="AB735" s="122"/>
    </row>
    <row r="736" spans="1:28" ht="15.75" customHeight="1" x14ac:dyDescent="0.2">
      <c r="A736" s="122"/>
      <c r="B736" s="122"/>
      <c r="C736" s="122"/>
      <c r="D736" s="122"/>
      <c r="E736" s="122"/>
      <c r="F736" s="122"/>
      <c r="G736" s="122"/>
      <c r="H736" s="122"/>
      <c r="I736" s="122"/>
      <c r="J736" s="122"/>
      <c r="K736" s="122"/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  <c r="AA736" s="122"/>
      <c r="AB736" s="122"/>
    </row>
    <row r="737" spans="1:28" ht="15.75" customHeight="1" x14ac:dyDescent="0.2">
      <c r="A737" s="122"/>
      <c r="B737" s="122"/>
      <c r="C737" s="122"/>
      <c r="D737" s="122"/>
      <c r="E737" s="122"/>
      <c r="F737" s="122"/>
      <c r="G737" s="122"/>
      <c r="H737" s="122"/>
      <c r="I737" s="122"/>
      <c r="J737" s="122"/>
      <c r="K737" s="122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  <c r="AA737" s="122"/>
      <c r="AB737" s="122"/>
    </row>
    <row r="738" spans="1:28" ht="15.75" customHeight="1" x14ac:dyDescent="0.2">
      <c r="A738" s="122"/>
      <c r="B738" s="122"/>
      <c r="C738" s="122"/>
      <c r="D738" s="122"/>
      <c r="E738" s="122"/>
      <c r="F738" s="122"/>
      <c r="G738" s="122"/>
      <c r="H738" s="122"/>
      <c r="I738" s="122"/>
      <c r="J738" s="122"/>
      <c r="K738" s="122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  <c r="AA738" s="122"/>
      <c r="AB738" s="122"/>
    </row>
    <row r="739" spans="1:28" ht="15.75" customHeight="1" x14ac:dyDescent="0.2">
      <c r="A739" s="122"/>
      <c r="B739" s="122"/>
      <c r="C739" s="122"/>
      <c r="D739" s="122"/>
      <c r="E739" s="122"/>
      <c r="F739" s="122"/>
      <c r="G739" s="122"/>
      <c r="H739" s="122"/>
      <c r="I739" s="122"/>
      <c r="J739" s="122"/>
      <c r="K739" s="122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  <c r="AA739" s="122"/>
      <c r="AB739" s="122"/>
    </row>
    <row r="740" spans="1:28" ht="15.75" customHeight="1" x14ac:dyDescent="0.2">
      <c r="A740" s="122"/>
      <c r="B740" s="122"/>
      <c r="C740" s="122"/>
      <c r="D740" s="122"/>
      <c r="E740" s="122"/>
      <c r="F740" s="122"/>
      <c r="G740" s="122"/>
      <c r="H740" s="122"/>
      <c r="I740" s="122"/>
      <c r="J740" s="122"/>
      <c r="K740" s="122"/>
      <c r="L740" s="122"/>
      <c r="M740" s="122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  <c r="AA740" s="122"/>
      <c r="AB740" s="122"/>
    </row>
    <row r="741" spans="1:28" ht="15.75" customHeight="1" x14ac:dyDescent="0.2">
      <c r="A741" s="122"/>
      <c r="B741" s="122"/>
      <c r="C741" s="122"/>
      <c r="D741" s="122"/>
      <c r="E741" s="122"/>
      <c r="F741" s="122"/>
      <c r="G741" s="122"/>
      <c r="H741" s="122"/>
      <c r="I741" s="122"/>
      <c r="J741" s="122"/>
      <c r="K741" s="122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  <c r="AA741" s="122"/>
      <c r="AB741" s="122"/>
    </row>
    <row r="742" spans="1:28" ht="15.75" customHeight="1" x14ac:dyDescent="0.2">
      <c r="A742" s="122"/>
      <c r="B742" s="122"/>
      <c r="C742" s="122"/>
      <c r="D742" s="122"/>
      <c r="E742" s="122"/>
      <c r="F742" s="122"/>
      <c r="G742" s="122"/>
      <c r="H742" s="122"/>
      <c r="I742" s="122"/>
      <c r="J742" s="122"/>
      <c r="K742" s="122"/>
      <c r="L742" s="122"/>
      <c r="M742" s="122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  <c r="AA742" s="122"/>
      <c r="AB742" s="122"/>
    </row>
    <row r="743" spans="1:28" ht="15.75" customHeight="1" x14ac:dyDescent="0.2">
      <c r="A743" s="122"/>
      <c r="B743" s="122"/>
      <c r="C743" s="122"/>
      <c r="D743" s="122"/>
      <c r="E743" s="122"/>
      <c r="F743" s="122"/>
      <c r="G743" s="122"/>
      <c r="H743" s="122"/>
      <c r="I743" s="122"/>
      <c r="J743" s="122"/>
      <c r="K743" s="122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  <c r="AA743" s="122"/>
      <c r="AB743" s="122"/>
    </row>
    <row r="744" spans="1:28" ht="15.75" customHeight="1" x14ac:dyDescent="0.2">
      <c r="A744" s="122"/>
      <c r="B744" s="122"/>
      <c r="C744" s="122"/>
      <c r="D744" s="122"/>
      <c r="E744" s="122"/>
      <c r="F744" s="122"/>
      <c r="G744" s="122"/>
      <c r="H744" s="122"/>
      <c r="I744" s="122"/>
      <c r="J744" s="122"/>
      <c r="K744" s="122"/>
      <c r="L744" s="122"/>
      <c r="M744" s="122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  <c r="AA744" s="122"/>
      <c r="AB744" s="122"/>
    </row>
    <row r="745" spans="1:28" ht="15.75" customHeight="1" x14ac:dyDescent="0.2">
      <c r="A745" s="122"/>
      <c r="B745" s="122"/>
      <c r="C745" s="122"/>
      <c r="D745" s="122"/>
      <c r="E745" s="122"/>
      <c r="F745" s="122"/>
      <c r="G745" s="122"/>
      <c r="H745" s="122"/>
      <c r="I745" s="122"/>
      <c r="J745" s="122"/>
      <c r="K745" s="122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  <c r="AA745" s="122"/>
      <c r="AB745" s="122"/>
    </row>
    <row r="746" spans="1:28" ht="15.75" customHeight="1" x14ac:dyDescent="0.2">
      <c r="A746" s="122"/>
      <c r="B746" s="122"/>
      <c r="C746" s="122"/>
      <c r="D746" s="122"/>
      <c r="E746" s="122"/>
      <c r="F746" s="122"/>
      <c r="G746" s="122"/>
      <c r="H746" s="122"/>
      <c r="I746" s="122"/>
      <c r="J746" s="122"/>
      <c r="K746" s="122"/>
      <c r="L746" s="122"/>
      <c r="M746" s="122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  <c r="AA746" s="122"/>
      <c r="AB746" s="122"/>
    </row>
    <row r="747" spans="1:28" ht="15.75" customHeight="1" x14ac:dyDescent="0.2">
      <c r="A747" s="122"/>
      <c r="B747" s="122"/>
      <c r="C747" s="122"/>
      <c r="D747" s="122"/>
      <c r="E747" s="122"/>
      <c r="F747" s="122"/>
      <c r="G747" s="122"/>
      <c r="H747" s="122"/>
      <c r="I747" s="122"/>
      <c r="J747" s="122"/>
      <c r="K747" s="122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  <c r="AA747" s="122"/>
      <c r="AB747" s="122"/>
    </row>
    <row r="748" spans="1:28" ht="15.75" customHeight="1" x14ac:dyDescent="0.2">
      <c r="A748" s="122"/>
      <c r="B748" s="122"/>
      <c r="C748" s="122"/>
      <c r="D748" s="122"/>
      <c r="E748" s="122"/>
      <c r="F748" s="122"/>
      <c r="G748" s="122"/>
      <c r="H748" s="122"/>
      <c r="I748" s="122"/>
      <c r="J748" s="122"/>
      <c r="K748" s="122"/>
      <c r="L748" s="122"/>
      <c r="M748" s="122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  <c r="AA748" s="122"/>
      <c r="AB748" s="122"/>
    </row>
    <row r="749" spans="1:28" ht="15.75" customHeight="1" x14ac:dyDescent="0.2">
      <c r="A749" s="122"/>
      <c r="B749" s="122"/>
      <c r="C749" s="122"/>
      <c r="D749" s="122"/>
      <c r="E749" s="122"/>
      <c r="F749" s="122"/>
      <c r="G749" s="122"/>
      <c r="H749" s="122"/>
      <c r="I749" s="122"/>
      <c r="J749" s="122"/>
      <c r="K749" s="122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  <c r="AA749" s="122"/>
      <c r="AB749" s="122"/>
    </row>
    <row r="750" spans="1:28" ht="15.75" customHeight="1" x14ac:dyDescent="0.2">
      <c r="A750" s="122"/>
      <c r="B750" s="122"/>
      <c r="C750" s="122"/>
      <c r="D750" s="122"/>
      <c r="E750" s="122"/>
      <c r="F750" s="122"/>
      <c r="G750" s="122"/>
      <c r="H750" s="122"/>
      <c r="I750" s="122"/>
      <c r="J750" s="122"/>
      <c r="K750" s="122"/>
      <c r="L750" s="122"/>
      <c r="M750" s="122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  <c r="AA750" s="122"/>
      <c r="AB750" s="122"/>
    </row>
    <row r="751" spans="1:28" ht="15.75" customHeight="1" x14ac:dyDescent="0.2">
      <c r="A751" s="122"/>
      <c r="B751" s="122"/>
      <c r="C751" s="122"/>
      <c r="D751" s="122"/>
      <c r="E751" s="122"/>
      <c r="F751" s="122"/>
      <c r="G751" s="122"/>
      <c r="H751" s="122"/>
      <c r="I751" s="122"/>
      <c r="J751" s="122"/>
      <c r="K751" s="122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  <c r="AA751" s="122"/>
      <c r="AB751" s="122"/>
    </row>
    <row r="752" spans="1:28" ht="15.75" customHeight="1" x14ac:dyDescent="0.2">
      <c r="A752" s="122"/>
      <c r="B752" s="122"/>
      <c r="C752" s="122"/>
      <c r="D752" s="122"/>
      <c r="E752" s="122"/>
      <c r="F752" s="122"/>
      <c r="G752" s="122"/>
      <c r="H752" s="122"/>
      <c r="I752" s="122"/>
      <c r="J752" s="122"/>
      <c r="K752" s="122"/>
      <c r="L752" s="122"/>
      <c r="M752" s="122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  <c r="AA752" s="122"/>
      <c r="AB752" s="122"/>
    </row>
    <row r="753" spans="1:28" ht="15.75" customHeight="1" x14ac:dyDescent="0.2">
      <c r="A753" s="122"/>
      <c r="B753" s="122"/>
      <c r="C753" s="122"/>
      <c r="D753" s="122"/>
      <c r="E753" s="122"/>
      <c r="F753" s="122"/>
      <c r="G753" s="122"/>
      <c r="H753" s="122"/>
      <c r="I753" s="122"/>
      <c r="J753" s="122"/>
      <c r="K753" s="122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  <c r="AA753" s="122"/>
      <c r="AB753" s="122"/>
    </row>
    <row r="754" spans="1:28" ht="15.75" customHeight="1" x14ac:dyDescent="0.2">
      <c r="A754" s="122"/>
      <c r="B754" s="122"/>
      <c r="C754" s="122"/>
      <c r="D754" s="122"/>
      <c r="E754" s="122"/>
      <c r="F754" s="122"/>
      <c r="G754" s="122"/>
      <c r="H754" s="122"/>
      <c r="I754" s="122"/>
      <c r="J754" s="122"/>
      <c r="K754" s="122"/>
      <c r="L754" s="122"/>
      <c r="M754" s="122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  <c r="AA754" s="122"/>
      <c r="AB754" s="122"/>
    </row>
    <row r="755" spans="1:28" ht="15.75" customHeight="1" x14ac:dyDescent="0.2">
      <c r="A755" s="122"/>
      <c r="B755" s="122"/>
      <c r="C755" s="122"/>
      <c r="D755" s="122"/>
      <c r="E755" s="122"/>
      <c r="F755" s="122"/>
      <c r="G755" s="122"/>
      <c r="H755" s="122"/>
      <c r="I755" s="122"/>
      <c r="J755" s="122"/>
      <c r="K755" s="122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  <c r="AA755" s="122"/>
      <c r="AB755" s="122"/>
    </row>
    <row r="756" spans="1:28" ht="15.75" customHeight="1" x14ac:dyDescent="0.2">
      <c r="A756" s="122"/>
      <c r="B756" s="122"/>
      <c r="C756" s="122"/>
      <c r="D756" s="122"/>
      <c r="E756" s="122"/>
      <c r="F756" s="122"/>
      <c r="G756" s="122"/>
      <c r="H756" s="122"/>
      <c r="I756" s="122"/>
      <c r="J756" s="122"/>
      <c r="K756" s="122"/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  <c r="AA756" s="122"/>
      <c r="AB756" s="122"/>
    </row>
    <row r="757" spans="1:28" ht="15.75" customHeight="1" x14ac:dyDescent="0.2">
      <c r="A757" s="122"/>
      <c r="B757" s="122"/>
      <c r="C757" s="122"/>
      <c r="D757" s="122"/>
      <c r="E757" s="122"/>
      <c r="F757" s="122"/>
      <c r="G757" s="122"/>
      <c r="H757" s="122"/>
      <c r="I757" s="122"/>
      <c r="J757" s="122"/>
      <c r="K757" s="122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  <c r="AA757" s="122"/>
      <c r="AB757" s="122"/>
    </row>
    <row r="758" spans="1:28" ht="15.75" customHeight="1" x14ac:dyDescent="0.2">
      <c r="A758" s="122"/>
      <c r="B758" s="122"/>
      <c r="C758" s="122"/>
      <c r="D758" s="122"/>
      <c r="E758" s="122"/>
      <c r="F758" s="122"/>
      <c r="G758" s="122"/>
      <c r="H758" s="122"/>
      <c r="I758" s="122"/>
      <c r="J758" s="122"/>
      <c r="K758" s="122"/>
      <c r="L758" s="122"/>
      <c r="M758" s="122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  <c r="AA758" s="122"/>
      <c r="AB758" s="122"/>
    </row>
    <row r="759" spans="1:28" ht="15.75" customHeight="1" x14ac:dyDescent="0.2">
      <c r="A759" s="122"/>
      <c r="B759" s="122"/>
      <c r="C759" s="122"/>
      <c r="D759" s="122"/>
      <c r="E759" s="122"/>
      <c r="F759" s="122"/>
      <c r="G759" s="122"/>
      <c r="H759" s="122"/>
      <c r="I759" s="122"/>
      <c r="J759" s="122"/>
      <c r="K759" s="122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  <c r="AA759" s="122"/>
      <c r="AB759" s="122"/>
    </row>
    <row r="760" spans="1:28" ht="15.75" customHeight="1" x14ac:dyDescent="0.2">
      <c r="A760" s="122"/>
      <c r="B760" s="122"/>
      <c r="C760" s="122"/>
      <c r="D760" s="122"/>
      <c r="E760" s="122"/>
      <c r="F760" s="122"/>
      <c r="G760" s="122"/>
      <c r="H760" s="122"/>
      <c r="I760" s="122"/>
      <c r="J760" s="122"/>
      <c r="K760" s="122"/>
      <c r="L760" s="122"/>
      <c r="M760" s="122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  <c r="AA760" s="122"/>
      <c r="AB760" s="122"/>
    </row>
    <row r="761" spans="1:28" ht="15.75" customHeight="1" x14ac:dyDescent="0.2">
      <c r="A761" s="122"/>
      <c r="B761" s="122"/>
      <c r="C761" s="122"/>
      <c r="D761" s="122"/>
      <c r="E761" s="122"/>
      <c r="F761" s="122"/>
      <c r="G761" s="122"/>
      <c r="H761" s="122"/>
      <c r="I761" s="122"/>
      <c r="J761" s="122"/>
      <c r="K761" s="122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  <c r="AA761" s="122"/>
      <c r="AB761" s="122"/>
    </row>
    <row r="762" spans="1:28" ht="15.75" customHeight="1" x14ac:dyDescent="0.2">
      <c r="A762" s="122"/>
      <c r="B762" s="122"/>
      <c r="C762" s="122"/>
      <c r="D762" s="122"/>
      <c r="E762" s="122"/>
      <c r="F762" s="122"/>
      <c r="G762" s="122"/>
      <c r="H762" s="122"/>
      <c r="I762" s="122"/>
      <c r="J762" s="122"/>
      <c r="K762" s="122"/>
      <c r="L762" s="122"/>
      <c r="M762" s="122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  <c r="AA762" s="122"/>
      <c r="AB762" s="122"/>
    </row>
    <row r="763" spans="1:28" ht="15.75" customHeight="1" x14ac:dyDescent="0.2">
      <c r="A763" s="122"/>
      <c r="B763" s="122"/>
      <c r="C763" s="122"/>
      <c r="D763" s="122"/>
      <c r="E763" s="122"/>
      <c r="F763" s="122"/>
      <c r="G763" s="122"/>
      <c r="H763" s="122"/>
      <c r="I763" s="122"/>
      <c r="J763" s="122"/>
      <c r="K763" s="122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  <c r="AA763" s="122"/>
      <c r="AB763" s="122"/>
    </row>
    <row r="764" spans="1:28" ht="15.75" customHeight="1" x14ac:dyDescent="0.2">
      <c r="A764" s="122"/>
      <c r="B764" s="122"/>
      <c r="C764" s="122"/>
      <c r="D764" s="122"/>
      <c r="E764" s="122"/>
      <c r="F764" s="122"/>
      <c r="G764" s="122"/>
      <c r="H764" s="122"/>
      <c r="I764" s="122"/>
      <c r="J764" s="122"/>
      <c r="K764" s="122"/>
      <c r="L764" s="122"/>
      <c r="M764" s="122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  <c r="AA764" s="122"/>
      <c r="AB764" s="122"/>
    </row>
    <row r="765" spans="1:28" ht="15.75" customHeight="1" x14ac:dyDescent="0.2">
      <c r="A765" s="122"/>
      <c r="B765" s="122"/>
      <c r="C765" s="122"/>
      <c r="D765" s="122"/>
      <c r="E765" s="122"/>
      <c r="F765" s="122"/>
      <c r="G765" s="122"/>
      <c r="H765" s="122"/>
      <c r="I765" s="122"/>
      <c r="J765" s="122"/>
      <c r="K765" s="122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  <c r="AA765" s="122"/>
      <c r="AB765" s="122"/>
    </row>
    <row r="766" spans="1:28" ht="15.75" customHeight="1" x14ac:dyDescent="0.2">
      <c r="A766" s="122"/>
      <c r="B766" s="122"/>
      <c r="C766" s="122"/>
      <c r="D766" s="122"/>
      <c r="E766" s="122"/>
      <c r="F766" s="122"/>
      <c r="G766" s="122"/>
      <c r="H766" s="122"/>
      <c r="I766" s="122"/>
      <c r="J766" s="122"/>
      <c r="K766" s="122"/>
      <c r="L766" s="122"/>
      <c r="M766" s="122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  <c r="AA766" s="122"/>
      <c r="AB766" s="122"/>
    </row>
    <row r="767" spans="1:28" ht="15.75" customHeight="1" x14ac:dyDescent="0.2">
      <c r="A767" s="122"/>
      <c r="B767" s="122"/>
      <c r="C767" s="122"/>
      <c r="D767" s="122"/>
      <c r="E767" s="122"/>
      <c r="F767" s="122"/>
      <c r="G767" s="122"/>
      <c r="H767" s="122"/>
      <c r="I767" s="122"/>
      <c r="J767" s="122"/>
      <c r="K767" s="122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  <c r="AA767" s="122"/>
      <c r="AB767" s="122"/>
    </row>
    <row r="768" spans="1:28" ht="15.75" customHeight="1" x14ac:dyDescent="0.2">
      <c r="A768" s="122"/>
      <c r="B768" s="122"/>
      <c r="C768" s="122"/>
      <c r="D768" s="122"/>
      <c r="E768" s="122"/>
      <c r="F768" s="122"/>
      <c r="G768" s="122"/>
      <c r="H768" s="122"/>
      <c r="I768" s="122"/>
      <c r="J768" s="122"/>
      <c r="K768" s="122"/>
      <c r="L768" s="122"/>
      <c r="M768" s="122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  <c r="AA768" s="122"/>
      <c r="AB768" s="122"/>
    </row>
    <row r="769" spans="1:28" ht="15.75" customHeight="1" x14ac:dyDescent="0.2">
      <c r="A769" s="122"/>
      <c r="B769" s="122"/>
      <c r="C769" s="122"/>
      <c r="D769" s="122"/>
      <c r="E769" s="122"/>
      <c r="F769" s="122"/>
      <c r="G769" s="122"/>
      <c r="H769" s="122"/>
      <c r="I769" s="122"/>
      <c r="J769" s="122"/>
      <c r="K769" s="122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  <c r="AA769" s="122"/>
      <c r="AB769" s="122"/>
    </row>
    <row r="770" spans="1:28" ht="15.75" customHeight="1" x14ac:dyDescent="0.2">
      <c r="A770" s="122"/>
      <c r="B770" s="122"/>
      <c r="C770" s="122"/>
      <c r="D770" s="122"/>
      <c r="E770" s="122"/>
      <c r="F770" s="122"/>
      <c r="G770" s="122"/>
      <c r="H770" s="122"/>
      <c r="I770" s="122"/>
      <c r="J770" s="122"/>
      <c r="K770" s="122"/>
      <c r="L770" s="122"/>
      <c r="M770" s="122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  <c r="AA770" s="122"/>
      <c r="AB770" s="122"/>
    </row>
    <row r="771" spans="1:28" ht="15.75" customHeight="1" x14ac:dyDescent="0.2">
      <c r="A771" s="122"/>
      <c r="B771" s="122"/>
      <c r="C771" s="122"/>
      <c r="D771" s="122"/>
      <c r="E771" s="122"/>
      <c r="F771" s="122"/>
      <c r="G771" s="122"/>
      <c r="H771" s="122"/>
      <c r="I771" s="122"/>
      <c r="J771" s="122"/>
      <c r="K771" s="122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  <c r="AA771" s="122"/>
      <c r="AB771" s="122"/>
    </row>
    <row r="772" spans="1:28" ht="15.75" customHeight="1" x14ac:dyDescent="0.2">
      <c r="A772" s="122"/>
      <c r="B772" s="122"/>
      <c r="C772" s="122"/>
      <c r="D772" s="122"/>
      <c r="E772" s="122"/>
      <c r="F772" s="122"/>
      <c r="G772" s="122"/>
      <c r="H772" s="122"/>
      <c r="I772" s="122"/>
      <c r="J772" s="122"/>
      <c r="K772" s="122"/>
      <c r="L772" s="122"/>
      <c r="M772" s="122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  <c r="AA772" s="122"/>
      <c r="AB772" s="122"/>
    </row>
    <row r="773" spans="1:28" ht="15.75" customHeight="1" x14ac:dyDescent="0.2">
      <c r="A773" s="122"/>
      <c r="B773" s="122"/>
      <c r="C773" s="122"/>
      <c r="D773" s="122"/>
      <c r="E773" s="122"/>
      <c r="F773" s="122"/>
      <c r="G773" s="122"/>
      <c r="H773" s="122"/>
      <c r="I773" s="122"/>
      <c r="J773" s="122"/>
      <c r="K773" s="122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  <c r="AA773" s="122"/>
      <c r="AB773" s="122"/>
    </row>
    <row r="774" spans="1:28" ht="15.75" customHeight="1" x14ac:dyDescent="0.2">
      <c r="A774" s="122"/>
      <c r="B774" s="122"/>
      <c r="C774" s="122"/>
      <c r="D774" s="122"/>
      <c r="E774" s="122"/>
      <c r="F774" s="122"/>
      <c r="G774" s="122"/>
      <c r="H774" s="122"/>
      <c r="I774" s="122"/>
      <c r="J774" s="122"/>
      <c r="K774" s="122"/>
      <c r="L774" s="122"/>
      <c r="M774" s="122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  <c r="AA774" s="122"/>
      <c r="AB774" s="122"/>
    </row>
    <row r="775" spans="1:28" ht="15.75" customHeight="1" x14ac:dyDescent="0.2">
      <c r="A775" s="122"/>
      <c r="B775" s="122"/>
      <c r="C775" s="122"/>
      <c r="D775" s="122"/>
      <c r="E775" s="122"/>
      <c r="F775" s="122"/>
      <c r="G775" s="122"/>
      <c r="H775" s="122"/>
      <c r="I775" s="122"/>
      <c r="J775" s="122"/>
      <c r="K775" s="122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  <c r="AA775" s="122"/>
      <c r="AB775" s="122"/>
    </row>
    <row r="776" spans="1:28" ht="15.75" customHeight="1" x14ac:dyDescent="0.2">
      <c r="A776" s="122"/>
      <c r="B776" s="122"/>
      <c r="C776" s="122"/>
      <c r="D776" s="122"/>
      <c r="E776" s="122"/>
      <c r="F776" s="122"/>
      <c r="G776" s="122"/>
      <c r="H776" s="122"/>
      <c r="I776" s="122"/>
      <c r="J776" s="122"/>
      <c r="K776" s="122"/>
      <c r="L776" s="122"/>
      <c r="M776" s="122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  <c r="AA776" s="122"/>
      <c r="AB776" s="122"/>
    </row>
    <row r="777" spans="1:28" ht="15.75" customHeight="1" x14ac:dyDescent="0.2">
      <c r="A777" s="122"/>
      <c r="B777" s="122"/>
      <c r="C777" s="122"/>
      <c r="D777" s="122"/>
      <c r="E777" s="122"/>
      <c r="F777" s="122"/>
      <c r="G777" s="122"/>
      <c r="H777" s="122"/>
      <c r="I777" s="122"/>
      <c r="J777" s="122"/>
      <c r="K777" s="122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  <c r="AA777" s="122"/>
      <c r="AB777" s="122"/>
    </row>
    <row r="778" spans="1:28" ht="15.75" customHeight="1" x14ac:dyDescent="0.2">
      <c r="A778" s="122"/>
      <c r="B778" s="122"/>
      <c r="C778" s="122"/>
      <c r="D778" s="122"/>
      <c r="E778" s="122"/>
      <c r="F778" s="122"/>
      <c r="G778" s="122"/>
      <c r="H778" s="122"/>
      <c r="I778" s="122"/>
      <c r="J778" s="122"/>
      <c r="K778" s="122"/>
      <c r="L778" s="122"/>
      <c r="M778" s="122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  <c r="AA778" s="122"/>
      <c r="AB778" s="122"/>
    </row>
    <row r="779" spans="1:28" ht="15.75" customHeight="1" x14ac:dyDescent="0.2">
      <c r="A779" s="122"/>
      <c r="B779" s="122"/>
      <c r="C779" s="122"/>
      <c r="D779" s="122"/>
      <c r="E779" s="122"/>
      <c r="F779" s="122"/>
      <c r="G779" s="122"/>
      <c r="H779" s="122"/>
      <c r="I779" s="122"/>
      <c r="J779" s="122"/>
      <c r="K779" s="122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  <c r="AA779" s="122"/>
      <c r="AB779" s="122"/>
    </row>
    <row r="780" spans="1:28" ht="15.75" customHeight="1" x14ac:dyDescent="0.2">
      <c r="A780" s="122"/>
      <c r="B780" s="122"/>
      <c r="C780" s="122"/>
      <c r="D780" s="122"/>
      <c r="E780" s="122"/>
      <c r="F780" s="122"/>
      <c r="G780" s="122"/>
      <c r="H780" s="122"/>
      <c r="I780" s="122"/>
      <c r="J780" s="122"/>
      <c r="K780" s="122"/>
      <c r="L780" s="122"/>
      <c r="M780" s="122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  <c r="AA780" s="122"/>
      <c r="AB780" s="122"/>
    </row>
    <row r="781" spans="1:28" ht="15.75" customHeight="1" x14ac:dyDescent="0.2">
      <c r="A781" s="122"/>
      <c r="B781" s="122"/>
      <c r="C781" s="122"/>
      <c r="D781" s="122"/>
      <c r="E781" s="122"/>
      <c r="F781" s="122"/>
      <c r="G781" s="122"/>
      <c r="H781" s="122"/>
      <c r="I781" s="122"/>
      <c r="J781" s="122"/>
      <c r="K781" s="122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  <c r="AA781" s="122"/>
      <c r="AB781" s="122"/>
    </row>
    <row r="782" spans="1:28" ht="15.75" customHeight="1" x14ac:dyDescent="0.2">
      <c r="A782" s="122"/>
      <c r="B782" s="122"/>
      <c r="C782" s="122"/>
      <c r="D782" s="122"/>
      <c r="E782" s="122"/>
      <c r="F782" s="122"/>
      <c r="G782" s="122"/>
      <c r="H782" s="122"/>
      <c r="I782" s="122"/>
      <c r="J782" s="122"/>
      <c r="K782" s="122"/>
      <c r="L782" s="122"/>
      <c r="M782" s="122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  <c r="AA782" s="122"/>
      <c r="AB782" s="122"/>
    </row>
    <row r="783" spans="1:28" ht="15.75" customHeight="1" x14ac:dyDescent="0.2">
      <c r="A783" s="122"/>
      <c r="B783" s="122"/>
      <c r="C783" s="122"/>
      <c r="D783" s="122"/>
      <c r="E783" s="122"/>
      <c r="F783" s="122"/>
      <c r="G783" s="122"/>
      <c r="H783" s="122"/>
      <c r="I783" s="122"/>
      <c r="J783" s="122"/>
      <c r="K783" s="122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  <c r="AA783" s="122"/>
      <c r="AB783" s="122"/>
    </row>
    <row r="784" spans="1:28" ht="15.75" customHeight="1" x14ac:dyDescent="0.2">
      <c r="A784" s="122"/>
      <c r="B784" s="122"/>
      <c r="C784" s="122"/>
      <c r="D784" s="122"/>
      <c r="E784" s="122"/>
      <c r="F784" s="122"/>
      <c r="G784" s="122"/>
      <c r="H784" s="122"/>
      <c r="I784" s="122"/>
      <c r="J784" s="122"/>
      <c r="K784" s="122"/>
      <c r="L784" s="122"/>
      <c r="M784" s="122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  <c r="AA784" s="122"/>
      <c r="AB784" s="122"/>
    </row>
    <row r="785" spans="1:28" ht="15.75" customHeight="1" x14ac:dyDescent="0.2">
      <c r="A785" s="122"/>
      <c r="B785" s="122"/>
      <c r="C785" s="122"/>
      <c r="D785" s="122"/>
      <c r="E785" s="122"/>
      <c r="F785" s="122"/>
      <c r="G785" s="122"/>
      <c r="H785" s="122"/>
      <c r="I785" s="122"/>
      <c r="J785" s="122"/>
      <c r="K785" s="122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  <c r="AA785" s="122"/>
      <c r="AB785" s="122"/>
    </row>
    <row r="786" spans="1:28" ht="15.75" customHeight="1" x14ac:dyDescent="0.2">
      <c r="A786" s="122"/>
      <c r="B786" s="122"/>
      <c r="C786" s="122"/>
      <c r="D786" s="122"/>
      <c r="E786" s="122"/>
      <c r="F786" s="122"/>
      <c r="G786" s="122"/>
      <c r="H786" s="122"/>
      <c r="I786" s="122"/>
      <c r="J786" s="122"/>
      <c r="K786" s="122"/>
      <c r="L786" s="122"/>
      <c r="M786" s="122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  <c r="AA786" s="122"/>
      <c r="AB786" s="122"/>
    </row>
    <row r="787" spans="1:28" ht="15.75" customHeight="1" x14ac:dyDescent="0.2">
      <c r="A787" s="122"/>
      <c r="B787" s="122"/>
      <c r="C787" s="122"/>
      <c r="D787" s="122"/>
      <c r="E787" s="122"/>
      <c r="F787" s="122"/>
      <c r="G787" s="122"/>
      <c r="H787" s="122"/>
      <c r="I787" s="122"/>
      <c r="J787" s="122"/>
      <c r="K787" s="122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  <c r="AA787" s="122"/>
      <c r="AB787" s="122"/>
    </row>
    <row r="788" spans="1:28" ht="15.75" customHeight="1" x14ac:dyDescent="0.2">
      <c r="A788" s="122"/>
      <c r="B788" s="122"/>
      <c r="C788" s="122"/>
      <c r="D788" s="122"/>
      <c r="E788" s="122"/>
      <c r="F788" s="122"/>
      <c r="G788" s="122"/>
      <c r="H788" s="122"/>
      <c r="I788" s="122"/>
      <c r="J788" s="122"/>
      <c r="K788" s="122"/>
      <c r="L788" s="122"/>
      <c r="M788" s="122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  <c r="AA788" s="122"/>
      <c r="AB788" s="122"/>
    </row>
    <row r="789" spans="1:28" ht="15.75" customHeight="1" x14ac:dyDescent="0.2">
      <c r="A789" s="122"/>
      <c r="B789" s="122"/>
      <c r="C789" s="122"/>
      <c r="D789" s="122"/>
      <c r="E789" s="122"/>
      <c r="F789" s="122"/>
      <c r="G789" s="122"/>
      <c r="H789" s="122"/>
      <c r="I789" s="122"/>
      <c r="J789" s="122"/>
      <c r="K789" s="122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  <c r="AA789" s="122"/>
      <c r="AB789" s="122"/>
    </row>
    <row r="790" spans="1:28" ht="15.75" customHeight="1" x14ac:dyDescent="0.2">
      <c r="A790" s="122"/>
      <c r="B790" s="122"/>
      <c r="C790" s="122"/>
      <c r="D790" s="122"/>
      <c r="E790" s="122"/>
      <c r="F790" s="122"/>
      <c r="G790" s="122"/>
      <c r="H790" s="122"/>
      <c r="I790" s="122"/>
      <c r="J790" s="122"/>
      <c r="K790" s="122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  <c r="AA790" s="122"/>
      <c r="AB790" s="122"/>
    </row>
    <row r="791" spans="1:28" ht="15.75" customHeight="1" x14ac:dyDescent="0.2">
      <c r="A791" s="122"/>
      <c r="B791" s="122"/>
      <c r="C791" s="122"/>
      <c r="D791" s="122"/>
      <c r="E791" s="122"/>
      <c r="F791" s="122"/>
      <c r="G791" s="122"/>
      <c r="H791" s="122"/>
      <c r="I791" s="122"/>
      <c r="J791" s="122"/>
      <c r="K791" s="122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  <c r="AA791" s="122"/>
      <c r="AB791" s="122"/>
    </row>
    <row r="792" spans="1:28" ht="15.75" customHeight="1" x14ac:dyDescent="0.2">
      <c r="A792" s="122"/>
      <c r="B792" s="122"/>
      <c r="C792" s="122"/>
      <c r="D792" s="122"/>
      <c r="E792" s="122"/>
      <c r="F792" s="122"/>
      <c r="G792" s="122"/>
      <c r="H792" s="122"/>
      <c r="I792" s="122"/>
      <c r="J792" s="122"/>
      <c r="K792" s="122"/>
      <c r="L792" s="122"/>
      <c r="M792" s="122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  <c r="AA792" s="122"/>
      <c r="AB792" s="122"/>
    </row>
    <row r="793" spans="1:28" ht="15.75" customHeight="1" x14ac:dyDescent="0.2">
      <c r="A793" s="122"/>
      <c r="B793" s="122"/>
      <c r="C793" s="122"/>
      <c r="D793" s="122"/>
      <c r="E793" s="122"/>
      <c r="F793" s="122"/>
      <c r="G793" s="122"/>
      <c r="H793" s="122"/>
      <c r="I793" s="122"/>
      <c r="J793" s="122"/>
      <c r="K793" s="122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  <c r="AA793" s="122"/>
      <c r="AB793" s="122"/>
    </row>
    <row r="794" spans="1:28" ht="15.75" customHeight="1" x14ac:dyDescent="0.2">
      <c r="A794" s="122"/>
      <c r="B794" s="122"/>
      <c r="C794" s="122"/>
      <c r="D794" s="122"/>
      <c r="E794" s="122"/>
      <c r="F794" s="122"/>
      <c r="G794" s="122"/>
      <c r="H794" s="122"/>
      <c r="I794" s="122"/>
      <c r="J794" s="122"/>
      <c r="K794" s="122"/>
      <c r="L794" s="122"/>
      <c r="M794" s="122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  <c r="AA794" s="122"/>
      <c r="AB794" s="122"/>
    </row>
    <row r="795" spans="1:28" ht="15.75" customHeight="1" x14ac:dyDescent="0.2">
      <c r="A795" s="122"/>
      <c r="B795" s="122"/>
      <c r="C795" s="122"/>
      <c r="D795" s="122"/>
      <c r="E795" s="122"/>
      <c r="F795" s="122"/>
      <c r="G795" s="122"/>
      <c r="H795" s="122"/>
      <c r="I795" s="122"/>
      <c r="J795" s="122"/>
      <c r="K795" s="122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  <c r="AA795" s="122"/>
      <c r="AB795" s="122"/>
    </row>
    <row r="796" spans="1:28" ht="15.75" customHeight="1" x14ac:dyDescent="0.2">
      <c r="A796" s="122"/>
      <c r="B796" s="122"/>
      <c r="C796" s="122"/>
      <c r="D796" s="122"/>
      <c r="E796" s="122"/>
      <c r="F796" s="122"/>
      <c r="G796" s="122"/>
      <c r="H796" s="122"/>
      <c r="I796" s="122"/>
      <c r="J796" s="122"/>
      <c r="K796" s="122"/>
      <c r="L796" s="122"/>
      <c r="M796" s="122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  <c r="AA796" s="122"/>
      <c r="AB796" s="122"/>
    </row>
    <row r="797" spans="1:28" ht="15.75" customHeight="1" x14ac:dyDescent="0.2">
      <c r="A797" s="122"/>
      <c r="B797" s="122"/>
      <c r="C797" s="122"/>
      <c r="D797" s="122"/>
      <c r="E797" s="122"/>
      <c r="F797" s="122"/>
      <c r="G797" s="122"/>
      <c r="H797" s="122"/>
      <c r="I797" s="122"/>
      <c r="J797" s="122"/>
      <c r="K797" s="122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  <c r="AA797" s="122"/>
      <c r="AB797" s="122"/>
    </row>
    <row r="798" spans="1:28" ht="15.75" customHeight="1" x14ac:dyDescent="0.2">
      <c r="A798" s="122"/>
      <c r="B798" s="122"/>
      <c r="C798" s="122"/>
      <c r="D798" s="122"/>
      <c r="E798" s="122"/>
      <c r="F798" s="122"/>
      <c r="G798" s="122"/>
      <c r="H798" s="122"/>
      <c r="I798" s="122"/>
      <c r="J798" s="122"/>
      <c r="K798" s="122"/>
      <c r="L798" s="122"/>
      <c r="M798" s="122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  <c r="AA798" s="122"/>
      <c r="AB798" s="122"/>
    </row>
    <row r="799" spans="1:28" ht="15.75" customHeight="1" x14ac:dyDescent="0.2">
      <c r="A799" s="122"/>
      <c r="B799" s="122"/>
      <c r="C799" s="122"/>
      <c r="D799" s="122"/>
      <c r="E799" s="122"/>
      <c r="F799" s="122"/>
      <c r="G799" s="122"/>
      <c r="H799" s="122"/>
      <c r="I799" s="122"/>
      <c r="J799" s="122"/>
      <c r="K799" s="122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  <c r="AA799" s="122"/>
      <c r="AB799" s="122"/>
    </row>
    <row r="800" spans="1:28" ht="15.75" customHeight="1" x14ac:dyDescent="0.2">
      <c r="A800" s="122"/>
      <c r="B800" s="122"/>
      <c r="C800" s="122"/>
      <c r="D800" s="122"/>
      <c r="E800" s="122"/>
      <c r="F800" s="122"/>
      <c r="G800" s="122"/>
      <c r="H800" s="122"/>
      <c r="I800" s="122"/>
      <c r="J800" s="122"/>
      <c r="K800" s="122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  <c r="AA800" s="122"/>
      <c r="AB800" s="122"/>
    </row>
    <row r="801" spans="1:28" ht="15.75" customHeight="1" x14ac:dyDescent="0.2">
      <c r="A801" s="122"/>
      <c r="B801" s="122"/>
      <c r="C801" s="122"/>
      <c r="D801" s="122"/>
      <c r="E801" s="122"/>
      <c r="F801" s="122"/>
      <c r="G801" s="122"/>
      <c r="H801" s="122"/>
      <c r="I801" s="122"/>
      <c r="J801" s="122"/>
      <c r="K801" s="122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  <c r="AA801" s="122"/>
      <c r="AB801" s="122"/>
    </row>
    <row r="802" spans="1:28" ht="15.75" customHeight="1" x14ac:dyDescent="0.2">
      <c r="A802" s="122"/>
      <c r="B802" s="122"/>
      <c r="C802" s="122"/>
      <c r="D802" s="122"/>
      <c r="E802" s="122"/>
      <c r="F802" s="122"/>
      <c r="G802" s="122"/>
      <c r="H802" s="122"/>
      <c r="I802" s="122"/>
      <c r="J802" s="122"/>
      <c r="K802" s="122"/>
      <c r="L802" s="122"/>
      <c r="M802" s="122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  <c r="AA802" s="122"/>
      <c r="AB802" s="122"/>
    </row>
    <row r="803" spans="1:28" ht="15.75" customHeight="1" x14ac:dyDescent="0.2">
      <c r="A803" s="122"/>
      <c r="B803" s="122"/>
      <c r="C803" s="122"/>
      <c r="D803" s="122"/>
      <c r="E803" s="122"/>
      <c r="F803" s="122"/>
      <c r="G803" s="122"/>
      <c r="H803" s="122"/>
      <c r="I803" s="122"/>
      <c r="J803" s="122"/>
      <c r="K803" s="122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  <c r="AA803" s="122"/>
      <c r="AB803" s="122"/>
    </row>
    <row r="804" spans="1:28" ht="15.75" customHeight="1" x14ac:dyDescent="0.2">
      <c r="A804" s="122"/>
      <c r="B804" s="122"/>
      <c r="C804" s="122"/>
      <c r="D804" s="122"/>
      <c r="E804" s="122"/>
      <c r="F804" s="122"/>
      <c r="G804" s="122"/>
      <c r="H804" s="122"/>
      <c r="I804" s="122"/>
      <c r="J804" s="122"/>
      <c r="K804" s="122"/>
      <c r="L804" s="122"/>
      <c r="M804" s="122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  <c r="AA804" s="122"/>
      <c r="AB804" s="122"/>
    </row>
    <row r="805" spans="1:28" ht="15.75" customHeight="1" x14ac:dyDescent="0.2">
      <c r="A805" s="122"/>
      <c r="B805" s="122"/>
      <c r="C805" s="122"/>
      <c r="D805" s="122"/>
      <c r="E805" s="122"/>
      <c r="F805" s="122"/>
      <c r="G805" s="122"/>
      <c r="H805" s="122"/>
      <c r="I805" s="122"/>
      <c r="J805" s="122"/>
      <c r="K805" s="122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  <c r="AA805" s="122"/>
      <c r="AB805" s="122"/>
    </row>
    <row r="806" spans="1:28" ht="15.75" customHeight="1" x14ac:dyDescent="0.2">
      <c r="A806" s="122"/>
      <c r="B806" s="122"/>
      <c r="C806" s="122"/>
      <c r="D806" s="122"/>
      <c r="E806" s="122"/>
      <c r="F806" s="122"/>
      <c r="G806" s="122"/>
      <c r="H806" s="122"/>
      <c r="I806" s="122"/>
      <c r="J806" s="122"/>
      <c r="K806" s="122"/>
      <c r="L806" s="122"/>
      <c r="M806" s="122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  <c r="AA806" s="122"/>
      <c r="AB806" s="122"/>
    </row>
    <row r="807" spans="1:28" ht="15.75" customHeight="1" x14ac:dyDescent="0.2">
      <c r="A807" s="122"/>
      <c r="B807" s="122"/>
      <c r="C807" s="122"/>
      <c r="D807" s="122"/>
      <c r="E807" s="122"/>
      <c r="F807" s="122"/>
      <c r="G807" s="122"/>
      <c r="H807" s="122"/>
      <c r="I807" s="122"/>
      <c r="J807" s="122"/>
      <c r="K807" s="122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  <c r="AA807" s="122"/>
      <c r="AB807" s="122"/>
    </row>
    <row r="808" spans="1:28" ht="15.75" customHeight="1" x14ac:dyDescent="0.2">
      <c r="A808" s="122"/>
      <c r="B808" s="122"/>
      <c r="C808" s="122"/>
      <c r="D808" s="122"/>
      <c r="E808" s="122"/>
      <c r="F808" s="122"/>
      <c r="G808" s="122"/>
      <c r="H808" s="122"/>
      <c r="I808" s="122"/>
      <c r="J808" s="122"/>
      <c r="K808" s="122"/>
      <c r="L808" s="122"/>
      <c r="M808" s="122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  <c r="AA808" s="122"/>
      <c r="AB808" s="122"/>
    </row>
    <row r="809" spans="1:28" ht="15.75" customHeight="1" x14ac:dyDescent="0.2">
      <c r="A809" s="122"/>
      <c r="B809" s="122"/>
      <c r="C809" s="122"/>
      <c r="D809" s="122"/>
      <c r="E809" s="122"/>
      <c r="F809" s="122"/>
      <c r="G809" s="122"/>
      <c r="H809" s="122"/>
      <c r="I809" s="122"/>
      <c r="J809" s="122"/>
      <c r="K809" s="122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  <c r="AA809" s="122"/>
      <c r="AB809" s="122"/>
    </row>
    <row r="810" spans="1:28" ht="15.75" customHeight="1" x14ac:dyDescent="0.2">
      <c r="A810" s="122"/>
      <c r="B810" s="122"/>
      <c r="C810" s="122"/>
      <c r="D810" s="122"/>
      <c r="E810" s="122"/>
      <c r="F810" s="122"/>
      <c r="G810" s="122"/>
      <c r="H810" s="122"/>
      <c r="I810" s="122"/>
      <c r="J810" s="122"/>
      <c r="K810" s="122"/>
      <c r="L810" s="122"/>
      <c r="M810" s="122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  <c r="AA810" s="122"/>
      <c r="AB810" s="122"/>
    </row>
    <row r="811" spans="1:28" ht="15.75" customHeight="1" x14ac:dyDescent="0.2">
      <c r="A811" s="122"/>
      <c r="B811" s="122"/>
      <c r="C811" s="122"/>
      <c r="D811" s="122"/>
      <c r="E811" s="122"/>
      <c r="F811" s="122"/>
      <c r="G811" s="122"/>
      <c r="H811" s="122"/>
      <c r="I811" s="122"/>
      <c r="J811" s="122"/>
      <c r="K811" s="122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  <c r="AA811" s="122"/>
      <c r="AB811" s="122"/>
    </row>
    <row r="812" spans="1:28" ht="15.75" customHeight="1" x14ac:dyDescent="0.2">
      <c r="A812" s="122"/>
      <c r="B812" s="122"/>
      <c r="C812" s="122"/>
      <c r="D812" s="122"/>
      <c r="E812" s="122"/>
      <c r="F812" s="122"/>
      <c r="G812" s="122"/>
      <c r="H812" s="122"/>
      <c r="I812" s="122"/>
      <c r="J812" s="122"/>
      <c r="K812" s="122"/>
      <c r="L812" s="122"/>
      <c r="M812" s="122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  <c r="AA812" s="122"/>
      <c r="AB812" s="122"/>
    </row>
    <row r="813" spans="1:28" ht="15.75" customHeight="1" x14ac:dyDescent="0.2">
      <c r="A813" s="122"/>
      <c r="B813" s="122"/>
      <c r="C813" s="122"/>
      <c r="D813" s="122"/>
      <c r="E813" s="122"/>
      <c r="F813" s="122"/>
      <c r="G813" s="122"/>
      <c r="H813" s="122"/>
      <c r="I813" s="122"/>
      <c r="J813" s="122"/>
      <c r="K813" s="122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  <c r="AA813" s="122"/>
      <c r="AB813" s="122"/>
    </row>
    <row r="814" spans="1:28" ht="15.75" customHeight="1" x14ac:dyDescent="0.2">
      <c r="A814" s="122"/>
      <c r="B814" s="122"/>
      <c r="C814" s="122"/>
      <c r="D814" s="122"/>
      <c r="E814" s="122"/>
      <c r="F814" s="122"/>
      <c r="G814" s="122"/>
      <c r="H814" s="122"/>
      <c r="I814" s="122"/>
      <c r="J814" s="122"/>
      <c r="K814" s="122"/>
      <c r="L814" s="122"/>
      <c r="M814" s="122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  <c r="AA814" s="122"/>
      <c r="AB814" s="122"/>
    </row>
    <row r="815" spans="1:28" ht="15.75" customHeight="1" x14ac:dyDescent="0.2">
      <c r="A815" s="122"/>
      <c r="B815" s="122"/>
      <c r="C815" s="122"/>
      <c r="D815" s="122"/>
      <c r="E815" s="122"/>
      <c r="F815" s="122"/>
      <c r="G815" s="122"/>
      <c r="H815" s="122"/>
      <c r="I815" s="122"/>
      <c r="J815" s="122"/>
      <c r="K815" s="122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  <c r="AA815" s="122"/>
      <c r="AB815" s="122"/>
    </row>
    <row r="816" spans="1:28" ht="15.75" customHeight="1" x14ac:dyDescent="0.2">
      <c r="A816" s="122"/>
      <c r="B816" s="122"/>
      <c r="C816" s="122"/>
      <c r="D816" s="122"/>
      <c r="E816" s="122"/>
      <c r="F816" s="122"/>
      <c r="G816" s="122"/>
      <c r="H816" s="122"/>
      <c r="I816" s="122"/>
      <c r="J816" s="122"/>
      <c r="K816" s="122"/>
      <c r="L816" s="122"/>
      <c r="M816" s="122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  <c r="AA816" s="122"/>
      <c r="AB816" s="122"/>
    </row>
    <row r="817" spans="1:28" ht="15.75" customHeight="1" x14ac:dyDescent="0.2">
      <c r="A817" s="122"/>
      <c r="B817" s="122"/>
      <c r="C817" s="122"/>
      <c r="D817" s="122"/>
      <c r="E817" s="122"/>
      <c r="F817" s="122"/>
      <c r="G817" s="122"/>
      <c r="H817" s="122"/>
      <c r="I817" s="122"/>
      <c r="J817" s="122"/>
      <c r="K817" s="122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  <c r="AA817" s="122"/>
      <c r="AB817" s="122"/>
    </row>
    <row r="818" spans="1:28" ht="15.75" customHeight="1" x14ac:dyDescent="0.2">
      <c r="A818" s="122"/>
      <c r="B818" s="122"/>
      <c r="C818" s="122"/>
      <c r="D818" s="122"/>
      <c r="E818" s="122"/>
      <c r="F818" s="122"/>
      <c r="G818" s="122"/>
      <c r="H818" s="122"/>
      <c r="I818" s="122"/>
      <c r="J818" s="122"/>
      <c r="K818" s="122"/>
      <c r="L818" s="122"/>
      <c r="M818" s="122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  <c r="AA818" s="122"/>
      <c r="AB818" s="122"/>
    </row>
    <row r="819" spans="1:28" ht="15.75" customHeight="1" x14ac:dyDescent="0.2">
      <c r="A819" s="122"/>
      <c r="B819" s="122"/>
      <c r="C819" s="122"/>
      <c r="D819" s="122"/>
      <c r="E819" s="122"/>
      <c r="F819" s="122"/>
      <c r="G819" s="122"/>
      <c r="H819" s="122"/>
      <c r="I819" s="122"/>
      <c r="J819" s="122"/>
      <c r="K819" s="122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  <c r="AA819" s="122"/>
      <c r="AB819" s="122"/>
    </row>
    <row r="820" spans="1:28" ht="15.75" customHeight="1" x14ac:dyDescent="0.2">
      <c r="A820" s="122"/>
      <c r="B820" s="122"/>
      <c r="C820" s="122"/>
      <c r="D820" s="122"/>
      <c r="E820" s="122"/>
      <c r="F820" s="122"/>
      <c r="G820" s="122"/>
      <c r="H820" s="122"/>
      <c r="I820" s="122"/>
      <c r="J820" s="122"/>
      <c r="K820" s="122"/>
      <c r="L820" s="122"/>
      <c r="M820" s="122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  <c r="AA820" s="122"/>
      <c r="AB820" s="122"/>
    </row>
    <row r="821" spans="1:28" ht="15.75" customHeight="1" x14ac:dyDescent="0.2">
      <c r="A821" s="122"/>
      <c r="B821" s="122"/>
      <c r="C821" s="122"/>
      <c r="D821" s="122"/>
      <c r="E821" s="122"/>
      <c r="F821" s="122"/>
      <c r="G821" s="122"/>
      <c r="H821" s="122"/>
      <c r="I821" s="122"/>
      <c r="J821" s="122"/>
      <c r="K821" s="122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  <c r="AA821" s="122"/>
      <c r="AB821" s="122"/>
    </row>
    <row r="822" spans="1:28" ht="15.75" customHeight="1" x14ac:dyDescent="0.2">
      <c r="A822" s="122"/>
      <c r="B822" s="122"/>
      <c r="C822" s="122"/>
      <c r="D822" s="122"/>
      <c r="E822" s="122"/>
      <c r="F822" s="122"/>
      <c r="G822" s="122"/>
      <c r="H822" s="122"/>
      <c r="I822" s="122"/>
      <c r="J822" s="122"/>
      <c r="K822" s="122"/>
      <c r="L822" s="122"/>
      <c r="M822" s="122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  <c r="AA822" s="122"/>
      <c r="AB822" s="122"/>
    </row>
    <row r="823" spans="1:28" ht="15.75" customHeight="1" x14ac:dyDescent="0.2">
      <c r="A823" s="122"/>
      <c r="B823" s="122"/>
      <c r="C823" s="122"/>
      <c r="D823" s="122"/>
      <c r="E823" s="122"/>
      <c r="F823" s="122"/>
      <c r="G823" s="122"/>
      <c r="H823" s="122"/>
      <c r="I823" s="122"/>
      <c r="J823" s="122"/>
      <c r="K823" s="122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  <c r="AA823" s="122"/>
      <c r="AB823" s="122"/>
    </row>
    <row r="824" spans="1:28" ht="15.75" customHeight="1" x14ac:dyDescent="0.2">
      <c r="A824" s="122"/>
      <c r="B824" s="122"/>
      <c r="C824" s="122"/>
      <c r="D824" s="122"/>
      <c r="E824" s="122"/>
      <c r="F824" s="122"/>
      <c r="G824" s="122"/>
      <c r="H824" s="122"/>
      <c r="I824" s="122"/>
      <c r="J824" s="122"/>
      <c r="K824" s="122"/>
      <c r="L824" s="122"/>
      <c r="M824" s="122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  <c r="AA824" s="122"/>
      <c r="AB824" s="122"/>
    </row>
    <row r="825" spans="1:28" ht="15.75" customHeight="1" x14ac:dyDescent="0.2">
      <c r="A825" s="122"/>
      <c r="B825" s="122"/>
      <c r="C825" s="122"/>
      <c r="D825" s="122"/>
      <c r="E825" s="122"/>
      <c r="F825" s="122"/>
      <c r="G825" s="122"/>
      <c r="H825" s="122"/>
      <c r="I825" s="122"/>
      <c r="J825" s="122"/>
      <c r="K825" s="122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  <c r="AA825" s="122"/>
      <c r="AB825" s="122"/>
    </row>
    <row r="826" spans="1:28" ht="15.75" customHeight="1" x14ac:dyDescent="0.2">
      <c r="A826" s="122"/>
      <c r="B826" s="122"/>
      <c r="C826" s="122"/>
      <c r="D826" s="122"/>
      <c r="E826" s="122"/>
      <c r="F826" s="122"/>
      <c r="G826" s="122"/>
      <c r="H826" s="122"/>
      <c r="I826" s="122"/>
      <c r="J826" s="122"/>
      <c r="K826" s="122"/>
      <c r="L826" s="122"/>
      <c r="M826" s="122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  <c r="AA826" s="122"/>
      <c r="AB826" s="122"/>
    </row>
    <row r="827" spans="1:28" ht="15.75" customHeight="1" x14ac:dyDescent="0.2">
      <c r="A827" s="122"/>
      <c r="B827" s="122"/>
      <c r="C827" s="122"/>
      <c r="D827" s="122"/>
      <c r="E827" s="122"/>
      <c r="F827" s="122"/>
      <c r="G827" s="122"/>
      <c r="H827" s="122"/>
      <c r="I827" s="122"/>
      <c r="J827" s="122"/>
      <c r="K827" s="122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  <c r="AA827" s="122"/>
      <c r="AB827" s="122"/>
    </row>
    <row r="828" spans="1:28" ht="15.75" customHeight="1" x14ac:dyDescent="0.2">
      <c r="A828" s="122"/>
      <c r="B828" s="122"/>
      <c r="C828" s="122"/>
      <c r="D828" s="122"/>
      <c r="E828" s="122"/>
      <c r="F828" s="122"/>
      <c r="G828" s="122"/>
      <c r="H828" s="122"/>
      <c r="I828" s="122"/>
      <c r="J828" s="122"/>
      <c r="K828" s="122"/>
      <c r="L828" s="122"/>
      <c r="M828" s="122"/>
      <c r="N828" s="122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  <c r="AA828" s="122"/>
      <c r="AB828" s="122"/>
    </row>
    <row r="829" spans="1:28" ht="15.75" customHeight="1" x14ac:dyDescent="0.2">
      <c r="A829" s="122"/>
      <c r="B829" s="122"/>
      <c r="C829" s="122"/>
      <c r="D829" s="122"/>
      <c r="E829" s="122"/>
      <c r="F829" s="122"/>
      <c r="G829" s="122"/>
      <c r="H829" s="122"/>
      <c r="I829" s="122"/>
      <c r="J829" s="122"/>
      <c r="K829" s="122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  <c r="AA829" s="122"/>
      <c r="AB829" s="122"/>
    </row>
    <row r="830" spans="1:28" ht="15.75" customHeight="1" x14ac:dyDescent="0.2">
      <c r="A830" s="122"/>
      <c r="B830" s="122"/>
      <c r="C830" s="122"/>
      <c r="D830" s="122"/>
      <c r="E830" s="122"/>
      <c r="F830" s="122"/>
      <c r="G830" s="122"/>
      <c r="H830" s="122"/>
      <c r="I830" s="122"/>
      <c r="J830" s="122"/>
      <c r="K830" s="122"/>
      <c r="L830" s="122"/>
      <c r="M830" s="122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  <c r="AA830" s="122"/>
      <c r="AB830" s="122"/>
    </row>
    <row r="831" spans="1:28" ht="15.75" customHeight="1" x14ac:dyDescent="0.2">
      <c r="A831" s="122"/>
      <c r="B831" s="122"/>
      <c r="C831" s="122"/>
      <c r="D831" s="122"/>
      <c r="E831" s="122"/>
      <c r="F831" s="122"/>
      <c r="G831" s="122"/>
      <c r="H831" s="122"/>
      <c r="I831" s="122"/>
      <c r="J831" s="122"/>
      <c r="K831" s="122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  <c r="AA831" s="122"/>
      <c r="AB831" s="122"/>
    </row>
    <row r="832" spans="1:28" ht="15.75" customHeight="1" x14ac:dyDescent="0.2">
      <c r="A832" s="122"/>
      <c r="B832" s="122"/>
      <c r="C832" s="122"/>
      <c r="D832" s="122"/>
      <c r="E832" s="122"/>
      <c r="F832" s="122"/>
      <c r="G832" s="122"/>
      <c r="H832" s="122"/>
      <c r="I832" s="122"/>
      <c r="J832" s="122"/>
      <c r="K832" s="122"/>
      <c r="L832" s="122"/>
      <c r="M832" s="122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  <c r="AA832" s="122"/>
      <c r="AB832" s="122"/>
    </row>
    <row r="833" spans="1:28" ht="15.75" customHeight="1" x14ac:dyDescent="0.2">
      <c r="A833" s="122"/>
      <c r="B833" s="122"/>
      <c r="C833" s="122"/>
      <c r="D833" s="122"/>
      <c r="E833" s="122"/>
      <c r="F833" s="122"/>
      <c r="G833" s="122"/>
      <c r="H833" s="122"/>
      <c r="I833" s="122"/>
      <c r="J833" s="122"/>
      <c r="K833" s="122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  <c r="AA833" s="122"/>
      <c r="AB833" s="122"/>
    </row>
    <row r="834" spans="1:28" ht="15.75" customHeight="1" x14ac:dyDescent="0.2">
      <c r="A834" s="122"/>
      <c r="B834" s="122"/>
      <c r="C834" s="122"/>
      <c r="D834" s="122"/>
      <c r="E834" s="122"/>
      <c r="F834" s="122"/>
      <c r="G834" s="122"/>
      <c r="H834" s="122"/>
      <c r="I834" s="122"/>
      <c r="J834" s="122"/>
      <c r="K834" s="122"/>
      <c r="L834" s="122"/>
      <c r="M834" s="122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  <c r="AA834" s="122"/>
      <c r="AB834" s="122"/>
    </row>
    <row r="835" spans="1:28" ht="15.75" customHeight="1" x14ac:dyDescent="0.2">
      <c r="A835" s="122"/>
      <c r="B835" s="122"/>
      <c r="C835" s="122"/>
      <c r="D835" s="122"/>
      <c r="E835" s="122"/>
      <c r="F835" s="122"/>
      <c r="G835" s="122"/>
      <c r="H835" s="122"/>
      <c r="I835" s="122"/>
      <c r="J835" s="122"/>
      <c r="K835" s="122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  <c r="AA835" s="122"/>
      <c r="AB835" s="122"/>
    </row>
    <row r="836" spans="1:28" ht="15.75" customHeight="1" x14ac:dyDescent="0.2">
      <c r="A836" s="122"/>
      <c r="B836" s="122"/>
      <c r="C836" s="122"/>
      <c r="D836" s="122"/>
      <c r="E836" s="122"/>
      <c r="F836" s="122"/>
      <c r="G836" s="122"/>
      <c r="H836" s="122"/>
      <c r="I836" s="122"/>
      <c r="J836" s="122"/>
      <c r="K836" s="122"/>
      <c r="L836" s="122"/>
      <c r="M836" s="122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  <c r="AA836" s="122"/>
      <c r="AB836" s="122"/>
    </row>
    <row r="837" spans="1:28" ht="15.75" customHeight="1" x14ac:dyDescent="0.2">
      <c r="A837" s="122"/>
      <c r="B837" s="122"/>
      <c r="C837" s="122"/>
      <c r="D837" s="122"/>
      <c r="E837" s="122"/>
      <c r="F837" s="122"/>
      <c r="G837" s="122"/>
      <c r="H837" s="122"/>
      <c r="I837" s="122"/>
      <c r="J837" s="122"/>
      <c r="K837" s="122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  <c r="AA837" s="122"/>
      <c r="AB837" s="122"/>
    </row>
    <row r="838" spans="1:28" ht="15.75" customHeight="1" x14ac:dyDescent="0.2">
      <c r="A838" s="122"/>
      <c r="B838" s="122"/>
      <c r="C838" s="122"/>
      <c r="D838" s="122"/>
      <c r="E838" s="122"/>
      <c r="F838" s="122"/>
      <c r="G838" s="122"/>
      <c r="H838" s="122"/>
      <c r="I838" s="122"/>
      <c r="J838" s="122"/>
      <c r="K838" s="122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  <c r="AA838" s="122"/>
      <c r="AB838" s="122"/>
    </row>
    <row r="839" spans="1:28" ht="15.75" customHeight="1" x14ac:dyDescent="0.2">
      <c r="A839" s="122"/>
      <c r="B839" s="122"/>
      <c r="C839" s="122"/>
      <c r="D839" s="122"/>
      <c r="E839" s="122"/>
      <c r="F839" s="122"/>
      <c r="G839" s="122"/>
      <c r="H839" s="122"/>
      <c r="I839" s="122"/>
      <c r="J839" s="122"/>
      <c r="K839" s="122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  <c r="AA839" s="122"/>
      <c r="AB839" s="122"/>
    </row>
    <row r="840" spans="1:28" ht="15.75" customHeight="1" x14ac:dyDescent="0.2">
      <c r="A840" s="122"/>
      <c r="B840" s="122"/>
      <c r="C840" s="122"/>
      <c r="D840" s="122"/>
      <c r="E840" s="122"/>
      <c r="F840" s="122"/>
      <c r="G840" s="122"/>
      <c r="H840" s="122"/>
      <c r="I840" s="122"/>
      <c r="J840" s="122"/>
      <c r="K840" s="122"/>
      <c r="L840" s="122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  <c r="AA840" s="122"/>
      <c r="AB840" s="122"/>
    </row>
    <row r="841" spans="1:28" ht="15.75" customHeight="1" x14ac:dyDescent="0.2">
      <c r="A841" s="122"/>
      <c r="B841" s="122"/>
      <c r="C841" s="122"/>
      <c r="D841" s="122"/>
      <c r="E841" s="122"/>
      <c r="F841" s="122"/>
      <c r="G841" s="122"/>
      <c r="H841" s="122"/>
      <c r="I841" s="122"/>
      <c r="J841" s="122"/>
      <c r="K841" s="122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  <c r="AA841" s="122"/>
      <c r="AB841" s="122"/>
    </row>
    <row r="842" spans="1:28" ht="15.75" customHeight="1" x14ac:dyDescent="0.2">
      <c r="A842" s="122"/>
      <c r="B842" s="122"/>
      <c r="C842" s="122"/>
      <c r="D842" s="122"/>
      <c r="E842" s="122"/>
      <c r="F842" s="122"/>
      <c r="G842" s="122"/>
      <c r="H842" s="122"/>
      <c r="I842" s="122"/>
      <c r="J842" s="122"/>
      <c r="K842" s="122"/>
      <c r="L842" s="122"/>
      <c r="M842" s="122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  <c r="AA842" s="122"/>
      <c r="AB842" s="122"/>
    </row>
    <row r="843" spans="1:28" ht="15.75" customHeight="1" x14ac:dyDescent="0.2">
      <c r="A843" s="122"/>
      <c r="B843" s="122"/>
      <c r="C843" s="122"/>
      <c r="D843" s="122"/>
      <c r="E843" s="122"/>
      <c r="F843" s="122"/>
      <c r="G843" s="122"/>
      <c r="H843" s="122"/>
      <c r="I843" s="122"/>
      <c r="J843" s="122"/>
      <c r="K843" s="122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  <c r="AA843" s="122"/>
      <c r="AB843" s="122"/>
    </row>
    <row r="844" spans="1:28" ht="15.75" customHeight="1" x14ac:dyDescent="0.2">
      <c r="A844" s="122"/>
      <c r="B844" s="122"/>
      <c r="C844" s="122"/>
      <c r="D844" s="122"/>
      <c r="E844" s="122"/>
      <c r="F844" s="122"/>
      <c r="G844" s="122"/>
      <c r="H844" s="122"/>
      <c r="I844" s="122"/>
      <c r="J844" s="122"/>
      <c r="K844" s="122"/>
      <c r="L844" s="122"/>
      <c r="M844" s="122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  <c r="AA844" s="122"/>
      <c r="AB844" s="122"/>
    </row>
    <row r="845" spans="1:28" ht="15.75" customHeight="1" x14ac:dyDescent="0.2">
      <c r="A845" s="122"/>
      <c r="B845" s="122"/>
      <c r="C845" s="122"/>
      <c r="D845" s="122"/>
      <c r="E845" s="122"/>
      <c r="F845" s="122"/>
      <c r="G845" s="122"/>
      <c r="H845" s="122"/>
      <c r="I845" s="122"/>
      <c r="J845" s="122"/>
      <c r="K845" s="122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  <c r="AA845" s="122"/>
      <c r="AB845" s="122"/>
    </row>
    <row r="846" spans="1:28" ht="15.75" customHeight="1" x14ac:dyDescent="0.2">
      <c r="A846" s="122"/>
      <c r="B846" s="122"/>
      <c r="C846" s="122"/>
      <c r="D846" s="122"/>
      <c r="E846" s="122"/>
      <c r="F846" s="122"/>
      <c r="G846" s="122"/>
      <c r="H846" s="122"/>
      <c r="I846" s="122"/>
      <c r="J846" s="122"/>
      <c r="K846" s="122"/>
      <c r="L846" s="122"/>
      <c r="M846" s="122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  <c r="AA846" s="122"/>
      <c r="AB846" s="122"/>
    </row>
    <row r="847" spans="1:28" ht="15.75" customHeight="1" x14ac:dyDescent="0.2">
      <c r="A847" s="122"/>
      <c r="B847" s="122"/>
      <c r="C847" s="122"/>
      <c r="D847" s="122"/>
      <c r="E847" s="122"/>
      <c r="F847" s="122"/>
      <c r="G847" s="122"/>
      <c r="H847" s="122"/>
      <c r="I847" s="122"/>
      <c r="J847" s="122"/>
      <c r="K847" s="122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  <c r="AA847" s="122"/>
      <c r="AB847" s="122"/>
    </row>
    <row r="848" spans="1:28" ht="15.75" customHeight="1" x14ac:dyDescent="0.2">
      <c r="A848" s="122"/>
      <c r="B848" s="122"/>
      <c r="C848" s="122"/>
      <c r="D848" s="122"/>
      <c r="E848" s="122"/>
      <c r="F848" s="122"/>
      <c r="G848" s="122"/>
      <c r="H848" s="122"/>
      <c r="I848" s="122"/>
      <c r="J848" s="122"/>
      <c r="K848" s="122"/>
      <c r="L848" s="122"/>
      <c r="M848" s="122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  <c r="AA848" s="122"/>
      <c r="AB848" s="122"/>
    </row>
    <row r="849" spans="1:28" ht="15.75" customHeight="1" x14ac:dyDescent="0.2">
      <c r="A849" s="122"/>
      <c r="B849" s="122"/>
      <c r="C849" s="122"/>
      <c r="D849" s="122"/>
      <c r="E849" s="122"/>
      <c r="F849" s="122"/>
      <c r="G849" s="122"/>
      <c r="H849" s="122"/>
      <c r="I849" s="122"/>
      <c r="J849" s="122"/>
      <c r="K849" s="122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  <c r="AA849" s="122"/>
      <c r="AB849" s="122"/>
    </row>
    <row r="850" spans="1:28" ht="15.75" customHeight="1" x14ac:dyDescent="0.2">
      <c r="A850" s="122"/>
      <c r="B850" s="122"/>
      <c r="C850" s="122"/>
      <c r="D850" s="122"/>
      <c r="E850" s="122"/>
      <c r="F850" s="122"/>
      <c r="G850" s="122"/>
      <c r="H850" s="122"/>
      <c r="I850" s="122"/>
      <c r="J850" s="122"/>
      <c r="K850" s="122"/>
      <c r="L850" s="122"/>
      <c r="M850" s="122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  <c r="AA850" s="122"/>
      <c r="AB850" s="122"/>
    </row>
    <row r="851" spans="1:28" ht="15.75" customHeight="1" x14ac:dyDescent="0.2">
      <c r="A851" s="122"/>
      <c r="B851" s="122"/>
      <c r="C851" s="122"/>
      <c r="D851" s="122"/>
      <c r="E851" s="122"/>
      <c r="F851" s="122"/>
      <c r="G851" s="122"/>
      <c r="H851" s="122"/>
      <c r="I851" s="122"/>
      <c r="J851" s="122"/>
      <c r="K851" s="122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  <c r="AA851" s="122"/>
      <c r="AB851" s="122"/>
    </row>
    <row r="852" spans="1:28" ht="15.75" customHeight="1" x14ac:dyDescent="0.2">
      <c r="A852" s="122"/>
      <c r="B852" s="122"/>
      <c r="C852" s="122"/>
      <c r="D852" s="122"/>
      <c r="E852" s="122"/>
      <c r="F852" s="122"/>
      <c r="G852" s="122"/>
      <c r="H852" s="122"/>
      <c r="I852" s="122"/>
      <c r="J852" s="122"/>
      <c r="K852" s="122"/>
      <c r="L852" s="122"/>
      <c r="M852" s="122"/>
      <c r="N852" s="122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  <c r="AA852" s="122"/>
      <c r="AB852" s="122"/>
    </row>
    <row r="853" spans="1:28" ht="15.75" customHeight="1" x14ac:dyDescent="0.2">
      <c r="A853" s="122"/>
      <c r="B853" s="122"/>
      <c r="C853" s="122"/>
      <c r="D853" s="122"/>
      <c r="E853" s="122"/>
      <c r="F853" s="122"/>
      <c r="G853" s="122"/>
      <c r="H853" s="122"/>
      <c r="I853" s="122"/>
      <c r="J853" s="122"/>
      <c r="K853" s="122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  <c r="AA853" s="122"/>
      <c r="AB853" s="122"/>
    </row>
    <row r="854" spans="1:28" ht="15.75" customHeight="1" x14ac:dyDescent="0.2">
      <c r="A854" s="122"/>
      <c r="B854" s="122"/>
      <c r="C854" s="122"/>
      <c r="D854" s="122"/>
      <c r="E854" s="122"/>
      <c r="F854" s="122"/>
      <c r="G854" s="122"/>
      <c r="H854" s="122"/>
      <c r="I854" s="122"/>
      <c r="J854" s="122"/>
      <c r="K854" s="122"/>
      <c r="L854" s="122"/>
      <c r="M854" s="122"/>
      <c r="N854" s="122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  <c r="AA854" s="122"/>
      <c r="AB854" s="122"/>
    </row>
    <row r="855" spans="1:28" ht="15.75" customHeight="1" x14ac:dyDescent="0.2">
      <c r="A855" s="122"/>
      <c r="B855" s="122"/>
      <c r="C855" s="122"/>
      <c r="D855" s="122"/>
      <c r="E855" s="122"/>
      <c r="F855" s="122"/>
      <c r="G855" s="122"/>
      <c r="H855" s="122"/>
      <c r="I855" s="122"/>
      <c r="J855" s="122"/>
      <c r="K855" s="122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  <c r="AA855" s="122"/>
      <c r="AB855" s="122"/>
    </row>
    <row r="856" spans="1:28" ht="15.75" customHeight="1" x14ac:dyDescent="0.2">
      <c r="A856" s="122"/>
      <c r="B856" s="122"/>
      <c r="C856" s="122"/>
      <c r="D856" s="122"/>
      <c r="E856" s="122"/>
      <c r="F856" s="122"/>
      <c r="G856" s="122"/>
      <c r="H856" s="122"/>
      <c r="I856" s="122"/>
      <c r="J856" s="122"/>
      <c r="K856" s="122"/>
      <c r="L856" s="122"/>
      <c r="M856" s="122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  <c r="AA856" s="122"/>
      <c r="AB856" s="122"/>
    </row>
    <row r="857" spans="1:28" ht="15.75" customHeight="1" x14ac:dyDescent="0.2">
      <c r="A857" s="122"/>
      <c r="B857" s="122"/>
      <c r="C857" s="122"/>
      <c r="D857" s="122"/>
      <c r="E857" s="122"/>
      <c r="F857" s="122"/>
      <c r="G857" s="122"/>
      <c r="H857" s="122"/>
      <c r="I857" s="122"/>
      <c r="J857" s="122"/>
      <c r="K857" s="122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  <c r="AA857" s="122"/>
      <c r="AB857" s="122"/>
    </row>
    <row r="858" spans="1:28" ht="15.75" customHeight="1" x14ac:dyDescent="0.2">
      <c r="A858" s="122"/>
      <c r="B858" s="122"/>
      <c r="C858" s="122"/>
      <c r="D858" s="122"/>
      <c r="E858" s="122"/>
      <c r="F858" s="122"/>
      <c r="G858" s="122"/>
      <c r="H858" s="122"/>
      <c r="I858" s="122"/>
      <c r="J858" s="122"/>
      <c r="K858" s="122"/>
      <c r="L858" s="122"/>
      <c r="M858" s="122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  <c r="AA858" s="122"/>
      <c r="AB858" s="122"/>
    </row>
    <row r="859" spans="1:28" ht="15.75" customHeight="1" x14ac:dyDescent="0.2">
      <c r="A859" s="122"/>
      <c r="B859" s="122"/>
      <c r="C859" s="122"/>
      <c r="D859" s="122"/>
      <c r="E859" s="122"/>
      <c r="F859" s="122"/>
      <c r="G859" s="122"/>
      <c r="H859" s="122"/>
      <c r="I859" s="122"/>
      <c r="J859" s="122"/>
      <c r="K859" s="122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  <c r="AA859" s="122"/>
      <c r="AB859" s="122"/>
    </row>
    <row r="860" spans="1:28" ht="15.75" customHeight="1" x14ac:dyDescent="0.2">
      <c r="A860" s="122"/>
      <c r="B860" s="122"/>
      <c r="C860" s="122"/>
      <c r="D860" s="122"/>
      <c r="E860" s="122"/>
      <c r="F860" s="122"/>
      <c r="G860" s="122"/>
      <c r="H860" s="122"/>
      <c r="I860" s="122"/>
      <c r="J860" s="122"/>
      <c r="K860" s="122"/>
      <c r="L860" s="122"/>
      <c r="M860" s="122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  <c r="AA860" s="122"/>
      <c r="AB860" s="122"/>
    </row>
    <row r="861" spans="1:28" ht="15.75" customHeight="1" x14ac:dyDescent="0.2">
      <c r="A861" s="122"/>
      <c r="B861" s="122"/>
      <c r="C861" s="122"/>
      <c r="D861" s="122"/>
      <c r="E861" s="122"/>
      <c r="F861" s="122"/>
      <c r="G861" s="122"/>
      <c r="H861" s="122"/>
      <c r="I861" s="122"/>
      <c r="J861" s="122"/>
      <c r="K861" s="122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  <c r="AA861" s="122"/>
      <c r="AB861" s="122"/>
    </row>
    <row r="862" spans="1:28" ht="15.75" customHeight="1" x14ac:dyDescent="0.2">
      <c r="A862" s="122"/>
      <c r="B862" s="122"/>
      <c r="C862" s="122"/>
      <c r="D862" s="122"/>
      <c r="E862" s="122"/>
      <c r="F862" s="122"/>
      <c r="G862" s="122"/>
      <c r="H862" s="122"/>
      <c r="I862" s="122"/>
      <c r="J862" s="122"/>
      <c r="K862" s="122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  <c r="AA862" s="122"/>
      <c r="AB862" s="122"/>
    </row>
    <row r="863" spans="1:28" ht="15.75" customHeight="1" x14ac:dyDescent="0.2">
      <c r="A863" s="122"/>
      <c r="B863" s="122"/>
      <c r="C863" s="122"/>
      <c r="D863" s="122"/>
      <c r="E863" s="122"/>
      <c r="F863" s="122"/>
      <c r="G863" s="122"/>
      <c r="H863" s="122"/>
      <c r="I863" s="122"/>
      <c r="J863" s="122"/>
      <c r="K863" s="122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  <c r="AA863" s="122"/>
      <c r="AB863" s="122"/>
    </row>
    <row r="864" spans="1:28" ht="15.75" customHeight="1" x14ac:dyDescent="0.2">
      <c r="A864" s="122"/>
      <c r="B864" s="122"/>
      <c r="C864" s="122"/>
      <c r="D864" s="122"/>
      <c r="E864" s="122"/>
      <c r="F864" s="122"/>
      <c r="G864" s="122"/>
      <c r="H864" s="122"/>
      <c r="I864" s="122"/>
      <c r="J864" s="122"/>
      <c r="K864" s="122"/>
      <c r="L864" s="122"/>
      <c r="M864" s="122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  <c r="AA864" s="122"/>
      <c r="AB864" s="122"/>
    </row>
    <row r="865" spans="1:28" ht="15.75" customHeight="1" x14ac:dyDescent="0.2">
      <c r="A865" s="122"/>
      <c r="B865" s="122"/>
      <c r="C865" s="122"/>
      <c r="D865" s="122"/>
      <c r="E865" s="122"/>
      <c r="F865" s="122"/>
      <c r="G865" s="122"/>
      <c r="H865" s="122"/>
      <c r="I865" s="122"/>
      <c r="J865" s="122"/>
      <c r="K865" s="122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  <c r="AA865" s="122"/>
      <c r="AB865" s="122"/>
    </row>
    <row r="866" spans="1:28" ht="15.75" customHeight="1" x14ac:dyDescent="0.2">
      <c r="A866" s="122"/>
      <c r="B866" s="122"/>
      <c r="C866" s="122"/>
      <c r="D866" s="122"/>
      <c r="E866" s="122"/>
      <c r="F866" s="122"/>
      <c r="G866" s="122"/>
      <c r="H866" s="122"/>
      <c r="I866" s="122"/>
      <c r="J866" s="122"/>
      <c r="K866" s="122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  <c r="AA866" s="122"/>
      <c r="AB866" s="122"/>
    </row>
    <row r="867" spans="1:28" ht="15.75" customHeight="1" x14ac:dyDescent="0.2">
      <c r="A867" s="122"/>
      <c r="B867" s="122"/>
      <c r="C867" s="122"/>
      <c r="D867" s="122"/>
      <c r="E867" s="122"/>
      <c r="F867" s="122"/>
      <c r="G867" s="122"/>
      <c r="H867" s="122"/>
      <c r="I867" s="122"/>
      <c r="J867" s="122"/>
      <c r="K867" s="122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  <c r="AA867" s="122"/>
      <c r="AB867" s="122"/>
    </row>
    <row r="868" spans="1:28" ht="15.75" customHeight="1" x14ac:dyDescent="0.2">
      <c r="A868" s="122"/>
      <c r="B868" s="122"/>
      <c r="C868" s="122"/>
      <c r="D868" s="122"/>
      <c r="E868" s="122"/>
      <c r="F868" s="122"/>
      <c r="G868" s="122"/>
      <c r="H868" s="122"/>
      <c r="I868" s="122"/>
      <c r="J868" s="122"/>
      <c r="K868" s="122"/>
      <c r="L868" s="122"/>
      <c r="M868" s="122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  <c r="AA868" s="122"/>
      <c r="AB868" s="122"/>
    </row>
    <row r="869" spans="1:28" ht="15.75" customHeight="1" x14ac:dyDescent="0.2">
      <c r="A869" s="122"/>
      <c r="B869" s="122"/>
      <c r="C869" s="122"/>
      <c r="D869" s="122"/>
      <c r="E869" s="122"/>
      <c r="F869" s="122"/>
      <c r="G869" s="122"/>
      <c r="H869" s="122"/>
      <c r="I869" s="122"/>
      <c r="J869" s="122"/>
      <c r="K869" s="122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  <c r="AA869" s="122"/>
      <c r="AB869" s="122"/>
    </row>
    <row r="870" spans="1:28" ht="15.75" customHeight="1" x14ac:dyDescent="0.2">
      <c r="A870" s="122"/>
      <c r="B870" s="122"/>
      <c r="C870" s="122"/>
      <c r="D870" s="122"/>
      <c r="E870" s="122"/>
      <c r="F870" s="122"/>
      <c r="G870" s="122"/>
      <c r="H870" s="122"/>
      <c r="I870" s="122"/>
      <c r="J870" s="122"/>
      <c r="K870" s="122"/>
      <c r="L870" s="122"/>
      <c r="M870" s="122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  <c r="AA870" s="122"/>
      <c r="AB870" s="122"/>
    </row>
    <row r="871" spans="1:28" ht="15.75" customHeight="1" x14ac:dyDescent="0.2">
      <c r="A871" s="122"/>
      <c r="B871" s="122"/>
      <c r="C871" s="122"/>
      <c r="D871" s="122"/>
      <c r="E871" s="122"/>
      <c r="F871" s="122"/>
      <c r="G871" s="122"/>
      <c r="H871" s="122"/>
      <c r="I871" s="122"/>
      <c r="J871" s="122"/>
      <c r="K871" s="122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  <c r="AA871" s="122"/>
      <c r="AB871" s="122"/>
    </row>
    <row r="872" spans="1:28" ht="15.75" customHeight="1" x14ac:dyDescent="0.2">
      <c r="A872" s="122"/>
      <c r="B872" s="122"/>
      <c r="C872" s="122"/>
      <c r="D872" s="122"/>
      <c r="E872" s="122"/>
      <c r="F872" s="122"/>
      <c r="G872" s="122"/>
      <c r="H872" s="122"/>
      <c r="I872" s="122"/>
      <c r="J872" s="122"/>
      <c r="K872" s="122"/>
      <c r="L872" s="122"/>
      <c r="M872" s="122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  <c r="AA872" s="122"/>
      <c r="AB872" s="122"/>
    </row>
    <row r="873" spans="1:28" ht="15.75" customHeight="1" x14ac:dyDescent="0.2">
      <c r="A873" s="122"/>
      <c r="B873" s="122"/>
      <c r="C873" s="122"/>
      <c r="D873" s="122"/>
      <c r="E873" s="122"/>
      <c r="F873" s="122"/>
      <c r="G873" s="122"/>
      <c r="H873" s="122"/>
      <c r="I873" s="122"/>
      <c r="J873" s="122"/>
      <c r="K873" s="122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  <c r="AA873" s="122"/>
      <c r="AB873" s="122"/>
    </row>
    <row r="874" spans="1:28" ht="15.75" customHeight="1" x14ac:dyDescent="0.2">
      <c r="A874" s="122"/>
      <c r="B874" s="122"/>
      <c r="C874" s="122"/>
      <c r="D874" s="122"/>
      <c r="E874" s="122"/>
      <c r="F874" s="122"/>
      <c r="G874" s="122"/>
      <c r="H874" s="122"/>
      <c r="I874" s="122"/>
      <c r="J874" s="122"/>
      <c r="K874" s="122"/>
      <c r="L874" s="122"/>
      <c r="M874" s="122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  <c r="AA874" s="122"/>
      <c r="AB874" s="122"/>
    </row>
    <row r="875" spans="1:28" ht="15.75" customHeight="1" x14ac:dyDescent="0.2">
      <c r="A875" s="122"/>
      <c r="B875" s="122"/>
      <c r="C875" s="122"/>
      <c r="D875" s="122"/>
      <c r="E875" s="122"/>
      <c r="F875" s="122"/>
      <c r="G875" s="122"/>
      <c r="H875" s="122"/>
      <c r="I875" s="122"/>
      <c r="J875" s="122"/>
      <c r="K875" s="122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  <c r="AA875" s="122"/>
      <c r="AB875" s="122"/>
    </row>
    <row r="876" spans="1:28" ht="15.75" customHeight="1" x14ac:dyDescent="0.2">
      <c r="A876" s="122"/>
      <c r="B876" s="122"/>
      <c r="C876" s="122"/>
      <c r="D876" s="122"/>
      <c r="E876" s="122"/>
      <c r="F876" s="122"/>
      <c r="G876" s="122"/>
      <c r="H876" s="122"/>
      <c r="I876" s="122"/>
      <c r="J876" s="122"/>
      <c r="K876" s="122"/>
      <c r="L876" s="122"/>
      <c r="M876" s="122"/>
      <c r="N876" s="122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  <c r="AA876" s="122"/>
      <c r="AB876" s="122"/>
    </row>
    <row r="877" spans="1:28" ht="15.75" customHeight="1" x14ac:dyDescent="0.2">
      <c r="A877" s="122"/>
      <c r="B877" s="122"/>
      <c r="C877" s="122"/>
      <c r="D877" s="122"/>
      <c r="E877" s="122"/>
      <c r="F877" s="122"/>
      <c r="G877" s="122"/>
      <c r="H877" s="122"/>
      <c r="I877" s="122"/>
      <c r="J877" s="122"/>
      <c r="K877" s="122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  <c r="AA877" s="122"/>
      <c r="AB877" s="122"/>
    </row>
    <row r="878" spans="1:28" ht="15.75" customHeight="1" x14ac:dyDescent="0.2">
      <c r="A878" s="122"/>
      <c r="B878" s="122"/>
      <c r="C878" s="122"/>
      <c r="D878" s="122"/>
      <c r="E878" s="122"/>
      <c r="F878" s="122"/>
      <c r="G878" s="122"/>
      <c r="H878" s="122"/>
      <c r="I878" s="122"/>
      <c r="J878" s="122"/>
      <c r="K878" s="122"/>
      <c r="L878" s="122"/>
      <c r="M878" s="122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  <c r="AA878" s="122"/>
      <c r="AB878" s="122"/>
    </row>
    <row r="879" spans="1:28" ht="15.75" customHeight="1" x14ac:dyDescent="0.2">
      <c r="A879" s="122"/>
      <c r="B879" s="122"/>
      <c r="C879" s="122"/>
      <c r="D879" s="122"/>
      <c r="E879" s="122"/>
      <c r="F879" s="122"/>
      <c r="G879" s="122"/>
      <c r="H879" s="122"/>
      <c r="I879" s="122"/>
      <c r="J879" s="122"/>
      <c r="K879" s="122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  <c r="AA879" s="122"/>
      <c r="AB879" s="122"/>
    </row>
    <row r="880" spans="1:28" ht="15.75" customHeight="1" x14ac:dyDescent="0.2">
      <c r="A880" s="122"/>
      <c r="B880" s="122"/>
      <c r="C880" s="122"/>
      <c r="D880" s="122"/>
      <c r="E880" s="122"/>
      <c r="F880" s="122"/>
      <c r="G880" s="122"/>
      <c r="H880" s="122"/>
      <c r="I880" s="122"/>
      <c r="J880" s="122"/>
      <c r="K880" s="122"/>
      <c r="L880" s="122"/>
      <c r="M880" s="122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  <c r="AA880" s="122"/>
      <c r="AB880" s="122"/>
    </row>
    <row r="881" spans="1:28" ht="15.75" customHeight="1" x14ac:dyDescent="0.2">
      <c r="A881" s="122"/>
      <c r="B881" s="122"/>
      <c r="C881" s="122"/>
      <c r="D881" s="122"/>
      <c r="E881" s="122"/>
      <c r="F881" s="122"/>
      <c r="G881" s="122"/>
      <c r="H881" s="122"/>
      <c r="I881" s="122"/>
      <c r="J881" s="122"/>
      <c r="K881" s="122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  <c r="AA881" s="122"/>
      <c r="AB881" s="122"/>
    </row>
    <row r="882" spans="1:28" ht="15.75" customHeight="1" x14ac:dyDescent="0.2">
      <c r="A882" s="122"/>
      <c r="B882" s="122"/>
      <c r="C882" s="122"/>
      <c r="D882" s="122"/>
      <c r="E882" s="122"/>
      <c r="F882" s="122"/>
      <c r="G882" s="122"/>
      <c r="H882" s="122"/>
      <c r="I882" s="122"/>
      <c r="J882" s="122"/>
      <c r="K882" s="122"/>
      <c r="L882" s="122"/>
      <c r="M882" s="122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  <c r="AA882" s="122"/>
      <c r="AB882" s="122"/>
    </row>
    <row r="883" spans="1:28" ht="15.75" customHeight="1" x14ac:dyDescent="0.2">
      <c r="A883" s="122"/>
      <c r="B883" s="122"/>
      <c r="C883" s="122"/>
      <c r="D883" s="122"/>
      <c r="E883" s="122"/>
      <c r="F883" s="122"/>
      <c r="G883" s="122"/>
      <c r="H883" s="122"/>
      <c r="I883" s="122"/>
      <c r="J883" s="122"/>
      <c r="K883" s="122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  <c r="AA883" s="122"/>
      <c r="AB883" s="122"/>
    </row>
    <row r="884" spans="1:28" ht="15.75" customHeight="1" x14ac:dyDescent="0.2">
      <c r="A884" s="122"/>
      <c r="B884" s="122"/>
      <c r="C884" s="122"/>
      <c r="D884" s="122"/>
      <c r="E884" s="122"/>
      <c r="F884" s="122"/>
      <c r="G884" s="122"/>
      <c r="H884" s="122"/>
      <c r="I884" s="122"/>
      <c r="J884" s="122"/>
      <c r="K884" s="122"/>
      <c r="L884" s="122"/>
      <c r="M884" s="122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  <c r="AA884" s="122"/>
      <c r="AB884" s="122"/>
    </row>
    <row r="885" spans="1:28" ht="15.75" customHeight="1" x14ac:dyDescent="0.2">
      <c r="A885" s="122"/>
      <c r="B885" s="122"/>
      <c r="C885" s="122"/>
      <c r="D885" s="122"/>
      <c r="E885" s="122"/>
      <c r="F885" s="122"/>
      <c r="G885" s="122"/>
      <c r="H885" s="122"/>
      <c r="I885" s="122"/>
      <c r="J885" s="122"/>
      <c r="K885" s="122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  <c r="AA885" s="122"/>
      <c r="AB885" s="122"/>
    </row>
    <row r="886" spans="1:28" ht="15.75" customHeight="1" x14ac:dyDescent="0.2">
      <c r="A886" s="122"/>
      <c r="B886" s="122"/>
      <c r="C886" s="122"/>
      <c r="D886" s="122"/>
      <c r="E886" s="122"/>
      <c r="F886" s="122"/>
      <c r="G886" s="122"/>
      <c r="H886" s="122"/>
      <c r="I886" s="122"/>
      <c r="J886" s="122"/>
      <c r="K886" s="122"/>
      <c r="L886" s="122"/>
      <c r="M886" s="122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  <c r="AA886" s="122"/>
      <c r="AB886" s="122"/>
    </row>
    <row r="887" spans="1:28" ht="15.75" customHeight="1" x14ac:dyDescent="0.2">
      <c r="A887" s="122"/>
      <c r="B887" s="122"/>
      <c r="C887" s="122"/>
      <c r="D887" s="122"/>
      <c r="E887" s="122"/>
      <c r="F887" s="122"/>
      <c r="G887" s="122"/>
      <c r="H887" s="122"/>
      <c r="I887" s="122"/>
      <c r="J887" s="122"/>
      <c r="K887" s="122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  <c r="AA887" s="122"/>
      <c r="AB887" s="122"/>
    </row>
    <row r="888" spans="1:28" ht="15.75" customHeight="1" x14ac:dyDescent="0.2">
      <c r="A888" s="122"/>
      <c r="B888" s="122"/>
      <c r="C888" s="122"/>
      <c r="D888" s="122"/>
      <c r="E888" s="122"/>
      <c r="F888" s="122"/>
      <c r="G888" s="122"/>
      <c r="H888" s="122"/>
      <c r="I888" s="122"/>
      <c r="J888" s="122"/>
      <c r="K888" s="122"/>
      <c r="L888" s="122"/>
      <c r="M888" s="122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  <c r="AA888" s="122"/>
      <c r="AB888" s="122"/>
    </row>
    <row r="889" spans="1:28" ht="15.75" customHeight="1" x14ac:dyDescent="0.2">
      <c r="A889" s="122"/>
      <c r="B889" s="122"/>
      <c r="C889" s="122"/>
      <c r="D889" s="122"/>
      <c r="E889" s="122"/>
      <c r="F889" s="122"/>
      <c r="G889" s="122"/>
      <c r="H889" s="122"/>
      <c r="I889" s="122"/>
      <c r="J889" s="122"/>
      <c r="K889" s="122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  <c r="AA889" s="122"/>
      <c r="AB889" s="122"/>
    </row>
    <row r="890" spans="1:28" ht="15.75" customHeight="1" x14ac:dyDescent="0.2">
      <c r="A890" s="122"/>
      <c r="B890" s="122"/>
      <c r="C890" s="122"/>
      <c r="D890" s="122"/>
      <c r="E890" s="122"/>
      <c r="F890" s="122"/>
      <c r="G890" s="122"/>
      <c r="H890" s="122"/>
      <c r="I890" s="122"/>
      <c r="J890" s="122"/>
      <c r="K890" s="122"/>
      <c r="L890" s="122"/>
      <c r="M890" s="122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  <c r="AA890" s="122"/>
      <c r="AB890" s="122"/>
    </row>
    <row r="891" spans="1:28" ht="15.75" customHeight="1" x14ac:dyDescent="0.2">
      <c r="A891" s="122"/>
      <c r="B891" s="122"/>
      <c r="C891" s="122"/>
      <c r="D891" s="122"/>
      <c r="E891" s="122"/>
      <c r="F891" s="122"/>
      <c r="G891" s="122"/>
      <c r="H891" s="122"/>
      <c r="I891" s="122"/>
      <c r="J891" s="122"/>
      <c r="K891" s="122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  <c r="AA891" s="122"/>
      <c r="AB891" s="122"/>
    </row>
    <row r="892" spans="1:28" ht="15.75" customHeight="1" x14ac:dyDescent="0.2">
      <c r="A892" s="122"/>
      <c r="B892" s="122"/>
      <c r="C892" s="122"/>
      <c r="D892" s="122"/>
      <c r="E892" s="122"/>
      <c r="F892" s="122"/>
      <c r="G892" s="122"/>
      <c r="H892" s="122"/>
      <c r="I892" s="122"/>
      <c r="J892" s="122"/>
      <c r="K892" s="122"/>
      <c r="L892" s="122"/>
      <c r="M892" s="122"/>
      <c r="N892" s="122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  <c r="AA892" s="122"/>
      <c r="AB892" s="122"/>
    </row>
    <row r="893" spans="1:28" ht="15.75" customHeight="1" x14ac:dyDescent="0.2">
      <c r="A893" s="122"/>
      <c r="B893" s="122"/>
      <c r="C893" s="122"/>
      <c r="D893" s="122"/>
      <c r="E893" s="122"/>
      <c r="F893" s="122"/>
      <c r="G893" s="122"/>
      <c r="H893" s="122"/>
      <c r="I893" s="122"/>
      <c r="J893" s="122"/>
      <c r="K893" s="122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  <c r="AA893" s="122"/>
      <c r="AB893" s="122"/>
    </row>
    <row r="894" spans="1:28" ht="15.75" customHeight="1" x14ac:dyDescent="0.2">
      <c r="A894" s="122"/>
      <c r="B894" s="122"/>
      <c r="C894" s="122"/>
      <c r="D894" s="122"/>
      <c r="E894" s="122"/>
      <c r="F894" s="122"/>
      <c r="G894" s="122"/>
      <c r="H894" s="122"/>
      <c r="I894" s="122"/>
      <c r="J894" s="122"/>
      <c r="K894" s="122"/>
      <c r="L894" s="122"/>
      <c r="M894" s="122"/>
      <c r="N894" s="122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  <c r="AA894" s="122"/>
      <c r="AB894" s="122"/>
    </row>
    <row r="895" spans="1:28" ht="15.75" customHeight="1" x14ac:dyDescent="0.2">
      <c r="A895" s="122"/>
      <c r="B895" s="122"/>
      <c r="C895" s="122"/>
      <c r="D895" s="122"/>
      <c r="E895" s="122"/>
      <c r="F895" s="122"/>
      <c r="G895" s="122"/>
      <c r="H895" s="122"/>
      <c r="I895" s="122"/>
      <c r="J895" s="122"/>
      <c r="K895" s="122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  <c r="AA895" s="122"/>
      <c r="AB895" s="122"/>
    </row>
    <row r="896" spans="1:28" ht="15.75" customHeight="1" x14ac:dyDescent="0.2">
      <c r="A896" s="122"/>
      <c r="B896" s="122"/>
      <c r="C896" s="122"/>
      <c r="D896" s="122"/>
      <c r="E896" s="122"/>
      <c r="F896" s="122"/>
      <c r="G896" s="122"/>
      <c r="H896" s="122"/>
      <c r="I896" s="122"/>
      <c r="J896" s="122"/>
      <c r="K896" s="122"/>
      <c r="L896" s="122"/>
      <c r="M896" s="122"/>
      <c r="N896" s="122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  <c r="AA896" s="122"/>
      <c r="AB896" s="122"/>
    </row>
    <row r="897" spans="1:28" ht="15.75" customHeight="1" x14ac:dyDescent="0.2">
      <c r="A897" s="122"/>
      <c r="B897" s="122"/>
      <c r="C897" s="122"/>
      <c r="D897" s="122"/>
      <c r="E897" s="122"/>
      <c r="F897" s="122"/>
      <c r="G897" s="122"/>
      <c r="H897" s="122"/>
      <c r="I897" s="122"/>
      <c r="J897" s="122"/>
      <c r="K897" s="122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  <c r="AA897" s="122"/>
      <c r="AB897" s="122"/>
    </row>
    <row r="898" spans="1:28" ht="15.75" customHeight="1" x14ac:dyDescent="0.2">
      <c r="A898" s="122"/>
      <c r="B898" s="122"/>
      <c r="C898" s="122"/>
      <c r="D898" s="122"/>
      <c r="E898" s="122"/>
      <c r="F898" s="122"/>
      <c r="G898" s="122"/>
      <c r="H898" s="122"/>
      <c r="I898" s="122"/>
      <c r="J898" s="122"/>
      <c r="K898" s="122"/>
      <c r="L898" s="122"/>
      <c r="M898" s="122"/>
      <c r="N898" s="122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  <c r="AA898" s="122"/>
      <c r="AB898" s="122"/>
    </row>
    <row r="899" spans="1:28" ht="15.75" customHeight="1" x14ac:dyDescent="0.2">
      <c r="A899" s="122"/>
      <c r="B899" s="122"/>
      <c r="C899" s="122"/>
      <c r="D899" s="122"/>
      <c r="E899" s="122"/>
      <c r="F899" s="122"/>
      <c r="G899" s="122"/>
      <c r="H899" s="122"/>
      <c r="I899" s="122"/>
      <c r="J899" s="122"/>
      <c r="K899" s="122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  <c r="AA899" s="122"/>
      <c r="AB899" s="122"/>
    </row>
    <row r="900" spans="1:28" ht="15.75" customHeight="1" x14ac:dyDescent="0.2">
      <c r="A900" s="122"/>
      <c r="B900" s="122"/>
      <c r="C900" s="122"/>
      <c r="D900" s="122"/>
      <c r="E900" s="122"/>
      <c r="F900" s="122"/>
      <c r="G900" s="122"/>
      <c r="H900" s="122"/>
      <c r="I900" s="122"/>
      <c r="J900" s="122"/>
      <c r="K900" s="122"/>
      <c r="L900" s="122"/>
      <c r="M900" s="122"/>
      <c r="N900" s="122"/>
      <c r="O900" s="122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2"/>
      <c r="AA900" s="122"/>
      <c r="AB900" s="122"/>
    </row>
    <row r="901" spans="1:28" ht="15.75" customHeight="1" x14ac:dyDescent="0.2">
      <c r="A901" s="122"/>
      <c r="B901" s="122"/>
      <c r="C901" s="122"/>
      <c r="D901" s="122"/>
      <c r="E901" s="122"/>
      <c r="F901" s="122"/>
      <c r="G901" s="122"/>
      <c r="H901" s="122"/>
      <c r="I901" s="122"/>
      <c r="J901" s="122"/>
      <c r="K901" s="122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  <c r="AA901" s="122"/>
      <c r="AB901" s="122"/>
    </row>
    <row r="902" spans="1:28" ht="15.75" customHeight="1" x14ac:dyDescent="0.2">
      <c r="A902" s="122"/>
      <c r="B902" s="122"/>
      <c r="C902" s="122"/>
      <c r="D902" s="122"/>
      <c r="E902" s="122"/>
      <c r="F902" s="122"/>
      <c r="G902" s="122"/>
      <c r="H902" s="122"/>
      <c r="I902" s="122"/>
      <c r="J902" s="122"/>
      <c r="K902" s="122"/>
      <c r="L902" s="122"/>
      <c r="M902" s="122"/>
      <c r="N902" s="122"/>
      <c r="O902" s="122"/>
      <c r="P902" s="122"/>
      <c r="Q902" s="122"/>
      <c r="R902" s="122"/>
      <c r="S902" s="122"/>
      <c r="T902" s="122"/>
      <c r="U902" s="122"/>
      <c r="V902" s="122"/>
      <c r="W902" s="122"/>
      <c r="X902" s="122"/>
      <c r="Y902" s="122"/>
      <c r="Z902" s="122"/>
      <c r="AA902" s="122"/>
      <c r="AB902" s="122"/>
    </row>
    <row r="903" spans="1:28" ht="15.75" customHeight="1" x14ac:dyDescent="0.2">
      <c r="A903" s="122"/>
      <c r="B903" s="122"/>
      <c r="C903" s="122"/>
      <c r="D903" s="122"/>
      <c r="E903" s="122"/>
      <c r="F903" s="122"/>
      <c r="G903" s="122"/>
      <c r="H903" s="122"/>
      <c r="I903" s="122"/>
      <c r="J903" s="122"/>
      <c r="K903" s="122"/>
      <c r="L903" s="122"/>
      <c r="M903" s="122"/>
      <c r="N903" s="122"/>
      <c r="O903" s="122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  <c r="AA903" s="122"/>
      <c r="AB903" s="122"/>
    </row>
    <row r="904" spans="1:28" ht="15.75" customHeight="1" x14ac:dyDescent="0.2">
      <c r="A904" s="122"/>
      <c r="B904" s="122"/>
      <c r="C904" s="122"/>
      <c r="D904" s="122"/>
      <c r="E904" s="122"/>
      <c r="F904" s="122"/>
      <c r="G904" s="122"/>
      <c r="H904" s="122"/>
      <c r="I904" s="122"/>
      <c r="J904" s="122"/>
      <c r="K904" s="122"/>
      <c r="L904" s="122"/>
      <c r="M904" s="122"/>
      <c r="N904" s="122"/>
      <c r="O904" s="122"/>
      <c r="P904" s="122"/>
      <c r="Q904" s="122"/>
      <c r="R904" s="122"/>
      <c r="S904" s="122"/>
      <c r="T904" s="122"/>
      <c r="U904" s="122"/>
      <c r="V904" s="122"/>
      <c r="W904" s="122"/>
      <c r="X904" s="122"/>
      <c r="Y904" s="122"/>
      <c r="Z904" s="122"/>
      <c r="AA904" s="122"/>
      <c r="AB904" s="122"/>
    </row>
    <row r="905" spans="1:28" ht="15.75" customHeight="1" x14ac:dyDescent="0.2">
      <c r="A905" s="122"/>
      <c r="B905" s="122"/>
      <c r="C905" s="122"/>
      <c r="D905" s="122"/>
      <c r="E905" s="122"/>
      <c r="F905" s="122"/>
      <c r="G905" s="122"/>
      <c r="H905" s="122"/>
      <c r="I905" s="122"/>
      <c r="J905" s="122"/>
      <c r="K905" s="122"/>
      <c r="L905" s="122"/>
      <c r="M905" s="122"/>
      <c r="N905" s="122"/>
      <c r="O905" s="122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  <c r="AA905" s="122"/>
      <c r="AB905" s="122"/>
    </row>
    <row r="906" spans="1:28" ht="15.75" customHeight="1" x14ac:dyDescent="0.2">
      <c r="A906" s="122"/>
      <c r="B906" s="122"/>
      <c r="C906" s="122"/>
      <c r="D906" s="122"/>
      <c r="E906" s="122"/>
      <c r="F906" s="122"/>
      <c r="G906" s="122"/>
      <c r="H906" s="122"/>
      <c r="I906" s="122"/>
      <c r="J906" s="122"/>
      <c r="K906" s="122"/>
      <c r="L906" s="122"/>
      <c r="M906" s="122"/>
      <c r="N906" s="122"/>
      <c r="O906" s="122"/>
      <c r="P906" s="122"/>
      <c r="Q906" s="122"/>
      <c r="R906" s="122"/>
      <c r="S906" s="122"/>
      <c r="T906" s="122"/>
      <c r="U906" s="122"/>
      <c r="V906" s="122"/>
      <c r="W906" s="122"/>
      <c r="X906" s="122"/>
      <c r="Y906" s="122"/>
      <c r="Z906" s="122"/>
      <c r="AA906" s="122"/>
      <c r="AB906" s="122"/>
    </row>
    <row r="907" spans="1:28" ht="15.75" customHeight="1" x14ac:dyDescent="0.2">
      <c r="A907" s="122"/>
      <c r="B907" s="122"/>
      <c r="C907" s="122"/>
      <c r="D907" s="122"/>
      <c r="E907" s="122"/>
      <c r="F907" s="122"/>
      <c r="G907" s="122"/>
      <c r="H907" s="122"/>
      <c r="I907" s="122"/>
      <c r="J907" s="122"/>
      <c r="K907" s="122"/>
      <c r="L907" s="122"/>
      <c r="M907" s="122"/>
      <c r="N907" s="122"/>
      <c r="O907" s="122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  <c r="AA907" s="122"/>
      <c r="AB907" s="122"/>
    </row>
    <row r="908" spans="1:28" ht="15.75" customHeight="1" x14ac:dyDescent="0.2">
      <c r="A908" s="122"/>
      <c r="B908" s="122"/>
      <c r="C908" s="122"/>
      <c r="D908" s="122"/>
      <c r="E908" s="122"/>
      <c r="F908" s="122"/>
      <c r="G908" s="122"/>
      <c r="H908" s="122"/>
      <c r="I908" s="122"/>
      <c r="J908" s="122"/>
      <c r="K908" s="122"/>
      <c r="L908" s="122"/>
      <c r="M908" s="122"/>
      <c r="N908" s="122"/>
      <c r="O908" s="122"/>
      <c r="P908" s="122"/>
      <c r="Q908" s="122"/>
      <c r="R908" s="122"/>
      <c r="S908" s="122"/>
      <c r="T908" s="122"/>
      <c r="U908" s="122"/>
      <c r="V908" s="122"/>
      <c r="W908" s="122"/>
      <c r="X908" s="122"/>
      <c r="Y908" s="122"/>
      <c r="Z908" s="122"/>
      <c r="AA908" s="122"/>
      <c r="AB908" s="122"/>
    </row>
    <row r="909" spans="1:28" ht="15.75" customHeight="1" x14ac:dyDescent="0.2">
      <c r="A909" s="122"/>
      <c r="B909" s="122"/>
      <c r="C909" s="122"/>
      <c r="D909" s="122"/>
      <c r="E909" s="122"/>
      <c r="F909" s="122"/>
      <c r="G909" s="122"/>
      <c r="H909" s="122"/>
      <c r="I909" s="122"/>
      <c r="J909" s="122"/>
      <c r="K909" s="122"/>
      <c r="L909" s="122"/>
      <c r="M909" s="122"/>
      <c r="N909" s="122"/>
      <c r="O909" s="122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  <c r="Z909" s="122"/>
      <c r="AA909" s="122"/>
      <c r="AB909" s="122"/>
    </row>
    <row r="910" spans="1:28" ht="15.75" customHeight="1" x14ac:dyDescent="0.2">
      <c r="A910" s="122"/>
      <c r="B910" s="122"/>
      <c r="C910" s="122"/>
      <c r="D910" s="122"/>
      <c r="E910" s="122"/>
      <c r="F910" s="122"/>
      <c r="G910" s="122"/>
      <c r="H910" s="122"/>
      <c r="I910" s="122"/>
      <c r="J910" s="122"/>
      <c r="K910" s="122"/>
      <c r="L910" s="122"/>
      <c r="M910" s="122"/>
      <c r="N910" s="122"/>
      <c r="O910" s="122"/>
      <c r="P910" s="122"/>
      <c r="Q910" s="122"/>
      <c r="R910" s="122"/>
      <c r="S910" s="122"/>
      <c r="T910" s="122"/>
      <c r="U910" s="122"/>
      <c r="V910" s="122"/>
      <c r="W910" s="122"/>
      <c r="X910" s="122"/>
      <c r="Y910" s="122"/>
      <c r="Z910" s="122"/>
      <c r="AA910" s="122"/>
      <c r="AB910" s="122"/>
    </row>
    <row r="911" spans="1:28" ht="15.75" customHeight="1" x14ac:dyDescent="0.2">
      <c r="A911" s="122"/>
      <c r="B911" s="122"/>
      <c r="C911" s="122"/>
      <c r="D911" s="122"/>
      <c r="E911" s="122"/>
      <c r="F911" s="122"/>
      <c r="G911" s="122"/>
      <c r="H911" s="122"/>
      <c r="I911" s="122"/>
      <c r="J911" s="122"/>
      <c r="K911" s="122"/>
      <c r="L911" s="122"/>
      <c r="M911" s="122"/>
      <c r="N911" s="122"/>
      <c r="O911" s="122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  <c r="Z911" s="122"/>
      <c r="AA911" s="122"/>
      <c r="AB911" s="122"/>
    </row>
    <row r="912" spans="1:28" ht="15.75" customHeight="1" x14ac:dyDescent="0.2">
      <c r="A912" s="122"/>
      <c r="B912" s="122"/>
      <c r="C912" s="122"/>
      <c r="D912" s="122"/>
      <c r="E912" s="122"/>
      <c r="F912" s="122"/>
      <c r="G912" s="122"/>
      <c r="H912" s="122"/>
      <c r="I912" s="122"/>
      <c r="J912" s="122"/>
      <c r="K912" s="122"/>
      <c r="L912" s="122"/>
      <c r="M912" s="122"/>
      <c r="N912" s="122"/>
      <c r="O912" s="122"/>
      <c r="P912" s="122"/>
      <c r="Q912" s="122"/>
      <c r="R912" s="122"/>
      <c r="S912" s="122"/>
      <c r="T912" s="122"/>
      <c r="U912" s="122"/>
      <c r="V912" s="122"/>
      <c r="W912" s="122"/>
      <c r="X912" s="122"/>
      <c r="Y912" s="122"/>
      <c r="Z912" s="122"/>
      <c r="AA912" s="122"/>
      <c r="AB912" s="122"/>
    </row>
    <row r="913" spans="1:28" ht="15.75" customHeight="1" x14ac:dyDescent="0.2">
      <c r="A913" s="122"/>
      <c r="B913" s="122"/>
      <c r="C913" s="122"/>
      <c r="D913" s="122"/>
      <c r="E913" s="122"/>
      <c r="F913" s="122"/>
      <c r="G913" s="122"/>
      <c r="H913" s="122"/>
      <c r="I913" s="122"/>
      <c r="J913" s="122"/>
      <c r="K913" s="122"/>
      <c r="L913" s="122"/>
      <c r="M913" s="122"/>
      <c r="N913" s="122"/>
      <c r="O913" s="122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  <c r="Z913" s="122"/>
      <c r="AA913" s="122"/>
      <c r="AB913" s="122"/>
    </row>
    <row r="914" spans="1:28" ht="15.75" customHeight="1" x14ac:dyDescent="0.2">
      <c r="A914" s="122"/>
      <c r="B914" s="122"/>
      <c r="C914" s="122"/>
      <c r="D914" s="122"/>
      <c r="E914" s="122"/>
      <c r="F914" s="122"/>
      <c r="G914" s="122"/>
      <c r="H914" s="122"/>
      <c r="I914" s="122"/>
      <c r="J914" s="122"/>
      <c r="K914" s="122"/>
      <c r="L914" s="122"/>
      <c r="M914" s="122"/>
      <c r="N914" s="122"/>
      <c r="O914" s="122"/>
      <c r="P914" s="122"/>
      <c r="Q914" s="122"/>
      <c r="R914" s="122"/>
      <c r="S914" s="122"/>
      <c r="T914" s="122"/>
      <c r="U914" s="122"/>
      <c r="V914" s="122"/>
      <c r="W914" s="122"/>
      <c r="X914" s="122"/>
      <c r="Y914" s="122"/>
      <c r="Z914" s="122"/>
      <c r="AA914" s="122"/>
      <c r="AB914" s="122"/>
    </row>
    <row r="915" spans="1:28" ht="15.75" customHeight="1" x14ac:dyDescent="0.2">
      <c r="A915" s="122"/>
      <c r="B915" s="122"/>
      <c r="C915" s="122"/>
      <c r="D915" s="122"/>
      <c r="E915" s="122"/>
      <c r="F915" s="122"/>
      <c r="G915" s="122"/>
      <c r="H915" s="122"/>
      <c r="I915" s="122"/>
      <c r="J915" s="122"/>
      <c r="K915" s="122"/>
      <c r="L915" s="122"/>
      <c r="M915" s="122"/>
      <c r="N915" s="122"/>
      <c r="O915" s="122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  <c r="Z915" s="122"/>
      <c r="AA915" s="122"/>
      <c r="AB915" s="122"/>
    </row>
    <row r="916" spans="1:28" ht="15.75" customHeight="1" x14ac:dyDescent="0.2">
      <c r="A916" s="122"/>
      <c r="B916" s="122"/>
      <c r="C916" s="122"/>
      <c r="D916" s="122"/>
      <c r="E916" s="122"/>
      <c r="F916" s="122"/>
      <c r="G916" s="122"/>
      <c r="H916" s="122"/>
      <c r="I916" s="122"/>
      <c r="J916" s="122"/>
      <c r="K916" s="122"/>
      <c r="L916" s="122"/>
      <c r="M916" s="122"/>
      <c r="N916" s="122"/>
      <c r="O916" s="122"/>
      <c r="P916" s="122"/>
      <c r="Q916" s="122"/>
      <c r="R916" s="122"/>
      <c r="S916" s="122"/>
      <c r="T916" s="122"/>
      <c r="U916" s="122"/>
      <c r="V916" s="122"/>
      <c r="W916" s="122"/>
      <c r="X916" s="122"/>
      <c r="Y916" s="122"/>
      <c r="Z916" s="122"/>
      <c r="AA916" s="122"/>
      <c r="AB916" s="122"/>
    </row>
    <row r="917" spans="1:28" ht="15.75" customHeight="1" x14ac:dyDescent="0.2">
      <c r="A917" s="122"/>
      <c r="B917" s="122"/>
      <c r="C917" s="122"/>
      <c r="D917" s="122"/>
      <c r="E917" s="122"/>
      <c r="F917" s="122"/>
      <c r="G917" s="122"/>
      <c r="H917" s="122"/>
      <c r="I917" s="122"/>
      <c r="J917" s="122"/>
      <c r="K917" s="122"/>
      <c r="L917" s="122"/>
      <c r="M917" s="122"/>
      <c r="N917" s="122"/>
      <c r="O917" s="122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  <c r="Z917" s="122"/>
      <c r="AA917" s="122"/>
      <c r="AB917" s="122"/>
    </row>
    <row r="918" spans="1:28" ht="15.75" customHeight="1" x14ac:dyDescent="0.2">
      <c r="A918" s="122"/>
      <c r="B918" s="122"/>
      <c r="C918" s="122"/>
      <c r="D918" s="122"/>
      <c r="E918" s="122"/>
      <c r="F918" s="122"/>
      <c r="G918" s="122"/>
      <c r="H918" s="122"/>
      <c r="I918" s="122"/>
      <c r="J918" s="122"/>
      <c r="K918" s="122"/>
      <c r="L918" s="122"/>
      <c r="M918" s="122"/>
      <c r="N918" s="122"/>
      <c r="O918" s="122"/>
      <c r="P918" s="122"/>
      <c r="Q918" s="122"/>
      <c r="R918" s="122"/>
      <c r="S918" s="122"/>
      <c r="T918" s="122"/>
      <c r="U918" s="122"/>
      <c r="V918" s="122"/>
      <c r="W918" s="122"/>
      <c r="X918" s="122"/>
      <c r="Y918" s="122"/>
      <c r="Z918" s="122"/>
      <c r="AA918" s="122"/>
      <c r="AB918" s="122"/>
    </row>
    <row r="919" spans="1:28" ht="15.75" customHeight="1" x14ac:dyDescent="0.2">
      <c r="A919" s="122"/>
      <c r="B919" s="122"/>
      <c r="C919" s="122"/>
      <c r="D919" s="122"/>
      <c r="E919" s="122"/>
      <c r="F919" s="122"/>
      <c r="G919" s="122"/>
      <c r="H919" s="122"/>
      <c r="I919" s="122"/>
      <c r="J919" s="122"/>
      <c r="K919" s="122"/>
      <c r="L919" s="122"/>
      <c r="M919" s="122"/>
      <c r="N919" s="122"/>
      <c r="O919" s="122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  <c r="Z919" s="122"/>
      <c r="AA919" s="122"/>
      <c r="AB919" s="122"/>
    </row>
    <row r="920" spans="1:28" ht="15.75" customHeight="1" x14ac:dyDescent="0.2">
      <c r="A920" s="122"/>
      <c r="B920" s="122"/>
      <c r="C920" s="122"/>
      <c r="D920" s="122"/>
      <c r="E920" s="122"/>
      <c r="F920" s="122"/>
      <c r="G920" s="122"/>
      <c r="H920" s="122"/>
      <c r="I920" s="122"/>
      <c r="J920" s="122"/>
      <c r="K920" s="122"/>
      <c r="L920" s="122"/>
      <c r="M920" s="122"/>
      <c r="N920" s="122"/>
      <c r="O920" s="122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  <c r="Z920" s="122"/>
      <c r="AA920" s="122"/>
      <c r="AB920" s="122"/>
    </row>
    <row r="921" spans="1:28" ht="15.75" customHeight="1" x14ac:dyDescent="0.2">
      <c r="A921" s="122"/>
      <c r="B921" s="122"/>
      <c r="C921" s="122"/>
      <c r="D921" s="122"/>
      <c r="E921" s="122"/>
      <c r="F921" s="122"/>
      <c r="G921" s="122"/>
      <c r="H921" s="122"/>
      <c r="I921" s="122"/>
      <c r="J921" s="122"/>
      <c r="K921" s="122"/>
      <c r="L921" s="122"/>
      <c r="M921" s="122"/>
      <c r="N921" s="122"/>
      <c r="O921" s="122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  <c r="AA921" s="122"/>
      <c r="AB921" s="122"/>
    </row>
    <row r="922" spans="1:28" ht="15.75" customHeight="1" x14ac:dyDescent="0.2">
      <c r="A922" s="122"/>
      <c r="B922" s="122"/>
      <c r="C922" s="122"/>
      <c r="D922" s="122"/>
      <c r="E922" s="122"/>
      <c r="F922" s="122"/>
      <c r="G922" s="122"/>
      <c r="H922" s="122"/>
      <c r="I922" s="122"/>
      <c r="J922" s="122"/>
      <c r="K922" s="122"/>
      <c r="L922" s="122"/>
      <c r="M922" s="122"/>
      <c r="N922" s="122"/>
      <c r="O922" s="122"/>
      <c r="P922" s="122"/>
      <c r="Q922" s="122"/>
      <c r="R922" s="122"/>
      <c r="S922" s="122"/>
      <c r="T922" s="122"/>
      <c r="U922" s="122"/>
      <c r="V922" s="122"/>
      <c r="W922" s="122"/>
      <c r="X922" s="122"/>
      <c r="Y922" s="122"/>
      <c r="Z922" s="122"/>
      <c r="AA922" s="122"/>
      <c r="AB922" s="122"/>
    </row>
    <row r="923" spans="1:28" ht="15.75" customHeight="1" x14ac:dyDescent="0.2">
      <c r="A923" s="122"/>
      <c r="B923" s="122"/>
      <c r="C923" s="122"/>
      <c r="D923" s="122"/>
      <c r="E923" s="122"/>
      <c r="F923" s="122"/>
      <c r="G923" s="122"/>
      <c r="H923" s="122"/>
      <c r="I923" s="122"/>
      <c r="J923" s="122"/>
      <c r="K923" s="122"/>
      <c r="L923" s="122"/>
      <c r="M923" s="122"/>
      <c r="N923" s="122"/>
      <c r="O923" s="122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  <c r="Z923" s="122"/>
      <c r="AA923" s="122"/>
      <c r="AB923" s="122"/>
    </row>
    <row r="924" spans="1:28" ht="15.75" customHeight="1" x14ac:dyDescent="0.2">
      <c r="A924" s="122"/>
      <c r="B924" s="122"/>
      <c r="C924" s="122"/>
      <c r="D924" s="122"/>
      <c r="E924" s="122"/>
      <c r="F924" s="122"/>
      <c r="G924" s="122"/>
      <c r="H924" s="122"/>
      <c r="I924" s="122"/>
      <c r="J924" s="122"/>
      <c r="K924" s="122"/>
      <c r="L924" s="122"/>
      <c r="M924" s="122"/>
      <c r="N924" s="122"/>
      <c r="O924" s="122"/>
      <c r="P924" s="122"/>
      <c r="Q924" s="122"/>
      <c r="R924" s="122"/>
      <c r="S924" s="122"/>
      <c r="T924" s="122"/>
      <c r="U924" s="122"/>
      <c r="V924" s="122"/>
      <c r="W924" s="122"/>
      <c r="X924" s="122"/>
      <c r="Y924" s="122"/>
      <c r="Z924" s="122"/>
      <c r="AA924" s="122"/>
      <c r="AB924" s="122"/>
    </row>
    <row r="925" spans="1:28" ht="15.75" customHeight="1" x14ac:dyDescent="0.2">
      <c r="A925" s="122"/>
      <c r="B925" s="122"/>
      <c r="C925" s="122"/>
      <c r="D925" s="122"/>
      <c r="E925" s="122"/>
      <c r="F925" s="122"/>
      <c r="G925" s="122"/>
      <c r="H925" s="122"/>
      <c r="I925" s="122"/>
      <c r="J925" s="122"/>
      <c r="K925" s="122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  <c r="AA925" s="122"/>
      <c r="AB925" s="122"/>
    </row>
    <row r="926" spans="1:28" ht="15.75" customHeight="1" x14ac:dyDescent="0.2">
      <c r="A926" s="122"/>
      <c r="B926" s="122"/>
      <c r="C926" s="122"/>
      <c r="D926" s="122"/>
      <c r="E926" s="122"/>
      <c r="F926" s="122"/>
      <c r="G926" s="122"/>
      <c r="H926" s="122"/>
      <c r="I926" s="122"/>
      <c r="J926" s="122"/>
      <c r="K926" s="122"/>
      <c r="L926" s="122"/>
      <c r="M926" s="122"/>
      <c r="N926" s="122"/>
      <c r="O926" s="122"/>
      <c r="P926" s="122"/>
      <c r="Q926" s="122"/>
      <c r="R926" s="122"/>
      <c r="S926" s="122"/>
      <c r="T926" s="122"/>
      <c r="U926" s="122"/>
      <c r="V926" s="122"/>
      <c r="W926" s="122"/>
      <c r="X926" s="122"/>
      <c r="Y926" s="122"/>
      <c r="Z926" s="122"/>
      <c r="AA926" s="122"/>
      <c r="AB926" s="122"/>
    </row>
    <row r="927" spans="1:28" ht="15.75" customHeight="1" x14ac:dyDescent="0.2">
      <c r="A927" s="122"/>
      <c r="B927" s="122"/>
      <c r="C927" s="122"/>
      <c r="D927" s="122"/>
      <c r="E927" s="122"/>
      <c r="F927" s="122"/>
      <c r="G927" s="122"/>
      <c r="H927" s="122"/>
      <c r="I927" s="122"/>
      <c r="J927" s="122"/>
      <c r="K927" s="122"/>
      <c r="L927" s="122"/>
      <c r="M927" s="122"/>
      <c r="N927" s="122"/>
      <c r="O927" s="122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  <c r="AA927" s="122"/>
      <c r="AB927" s="122"/>
    </row>
    <row r="928" spans="1:28" ht="15.75" customHeight="1" x14ac:dyDescent="0.2">
      <c r="A928" s="122"/>
      <c r="B928" s="122"/>
      <c r="C928" s="122"/>
      <c r="D928" s="122"/>
      <c r="E928" s="122"/>
      <c r="F928" s="122"/>
      <c r="G928" s="122"/>
      <c r="H928" s="122"/>
      <c r="I928" s="122"/>
      <c r="J928" s="122"/>
      <c r="K928" s="122"/>
      <c r="L928" s="122"/>
      <c r="M928" s="122"/>
      <c r="N928" s="122"/>
      <c r="O928" s="122"/>
      <c r="P928" s="122"/>
      <c r="Q928" s="122"/>
      <c r="R928" s="122"/>
      <c r="S928" s="122"/>
      <c r="T928" s="122"/>
      <c r="U928" s="122"/>
      <c r="V928" s="122"/>
      <c r="W928" s="122"/>
      <c r="X928" s="122"/>
      <c r="Y928" s="122"/>
      <c r="Z928" s="122"/>
      <c r="AA928" s="122"/>
      <c r="AB928" s="122"/>
    </row>
    <row r="929" spans="1:28" ht="15.75" customHeight="1" x14ac:dyDescent="0.2">
      <c r="A929" s="122"/>
      <c r="B929" s="122"/>
      <c r="C929" s="122"/>
      <c r="D929" s="122"/>
      <c r="E929" s="122"/>
      <c r="F929" s="122"/>
      <c r="G929" s="122"/>
      <c r="H929" s="122"/>
      <c r="I929" s="122"/>
      <c r="J929" s="122"/>
      <c r="K929" s="122"/>
      <c r="L929" s="122"/>
      <c r="M929" s="122"/>
      <c r="N929" s="122"/>
      <c r="O929" s="122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  <c r="AA929" s="122"/>
      <c r="AB929" s="122"/>
    </row>
    <row r="930" spans="1:28" ht="15.75" customHeight="1" x14ac:dyDescent="0.2">
      <c r="A930" s="122"/>
      <c r="B930" s="122"/>
      <c r="C930" s="122"/>
      <c r="D930" s="122"/>
      <c r="E930" s="122"/>
      <c r="F930" s="122"/>
      <c r="G930" s="122"/>
      <c r="H930" s="122"/>
      <c r="I930" s="122"/>
      <c r="J930" s="122"/>
      <c r="K930" s="122"/>
      <c r="L930" s="122"/>
      <c r="M930" s="122"/>
      <c r="N930" s="122"/>
      <c r="O930" s="122"/>
      <c r="P930" s="122"/>
      <c r="Q930" s="122"/>
      <c r="R930" s="122"/>
      <c r="S930" s="122"/>
      <c r="T930" s="122"/>
      <c r="U930" s="122"/>
      <c r="V930" s="122"/>
      <c r="W930" s="122"/>
      <c r="X930" s="122"/>
      <c r="Y930" s="122"/>
      <c r="Z930" s="122"/>
      <c r="AA930" s="122"/>
      <c r="AB930" s="122"/>
    </row>
    <row r="931" spans="1:28" ht="15.75" customHeight="1" x14ac:dyDescent="0.2">
      <c r="A931" s="122"/>
      <c r="B931" s="122"/>
      <c r="C931" s="122"/>
      <c r="D931" s="122"/>
      <c r="E931" s="122"/>
      <c r="F931" s="122"/>
      <c r="G931" s="122"/>
      <c r="H931" s="122"/>
      <c r="I931" s="122"/>
      <c r="J931" s="122"/>
      <c r="K931" s="122"/>
      <c r="L931" s="122"/>
      <c r="M931" s="122"/>
      <c r="N931" s="122"/>
      <c r="O931" s="122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  <c r="AA931" s="122"/>
      <c r="AB931" s="122"/>
    </row>
    <row r="932" spans="1:28" ht="15.75" customHeight="1" x14ac:dyDescent="0.2">
      <c r="A932" s="122"/>
      <c r="B932" s="122"/>
      <c r="C932" s="122"/>
      <c r="D932" s="122"/>
      <c r="E932" s="122"/>
      <c r="F932" s="122"/>
      <c r="G932" s="122"/>
      <c r="H932" s="122"/>
      <c r="I932" s="122"/>
      <c r="J932" s="122"/>
      <c r="K932" s="122"/>
      <c r="L932" s="122"/>
      <c r="M932" s="122"/>
      <c r="N932" s="122"/>
      <c r="O932" s="122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  <c r="Z932" s="122"/>
      <c r="AA932" s="122"/>
      <c r="AB932" s="122"/>
    </row>
    <row r="933" spans="1:28" ht="15.75" customHeight="1" x14ac:dyDescent="0.2">
      <c r="A933" s="122"/>
      <c r="B933" s="122"/>
      <c r="C933" s="122"/>
      <c r="D933" s="122"/>
      <c r="E933" s="122"/>
      <c r="F933" s="122"/>
      <c r="G933" s="122"/>
      <c r="H933" s="122"/>
      <c r="I933" s="122"/>
      <c r="J933" s="122"/>
      <c r="K933" s="122"/>
      <c r="L933" s="122"/>
      <c r="M933" s="122"/>
      <c r="N933" s="122"/>
      <c r="O933" s="122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  <c r="AA933" s="122"/>
      <c r="AB933" s="122"/>
    </row>
    <row r="934" spans="1:28" ht="15.75" customHeight="1" x14ac:dyDescent="0.2">
      <c r="A934" s="122"/>
      <c r="B934" s="122"/>
      <c r="C934" s="122"/>
      <c r="D934" s="122"/>
      <c r="E934" s="122"/>
      <c r="F934" s="122"/>
      <c r="G934" s="122"/>
      <c r="H934" s="122"/>
      <c r="I934" s="122"/>
      <c r="J934" s="122"/>
      <c r="K934" s="122"/>
      <c r="L934" s="122"/>
      <c r="M934" s="122"/>
      <c r="N934" s="122"/>
      <c r="O934" s="122"/>
      <c r="P934" s="122"/>
      <c r="Q934" s="122"/>
      <c r="R934" s="122"/>
      <c r="S934" s="122"/>
      <c r="T934" s="122"/>
      <c r="U934" s="122"/>
      <c r="V934" s="122"/>
      <c r="W934" s="122"/>
      <c r="X934" s="122"/>
      <c r="Y934" s="122"/>
      <c r="Z934" s="122"/>
      <c r="AA934" s="122"/>
      <c r="AB934" s="122"/>
    </row>
    <row r="935" spans="1:28" ht="15.75" customHeight="1" x14ac:dyDescent="0.2">
      <c r="A935" s="122"/>
      <c r="B935" s="122"/>
      <c r="C935" s="122"/>
      <c r="D935" s="122"/>
      <c r="E935" s="122"/>
      <c r="F935" s="122"/>
      <c r="G935" s="122"/>
      <c r="H935" s="122"/>
      <c r="I935" s="122"/>
      <c r="J935" s="122"/>
      <c r="K935" s="122"/>
      <c r="L935" s="122"/>
      <c r="M935" s="122"/>
      <c r="N935" s="122"/>
      <c r="O935" s="122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  <c r="AA935" s="122"/>
      <c r="AB935" s="122"/>
    </row>
    <row r="936" spans="1:28" ht="15.75" customHeight="1" x14ac:dyDescent="0.2">
      <c r="A936" s="122"/>
      <c r="B936" s="122"/>
      <c r="C936" s="122"/>
      <c r="D936" s="122"/>
      <c r="E936" s="122"/>
      <c r="F936" s="122"/>
      <c r="G936" s="122"/>
      <c r="H936" s="122"/>
      <c r="I936" s="122"/>
      <c r="J936" s="122"/>
      <c r="K936" s="122"/>
      <c r="L936" s="122"/>
      <c r="M936" s="122"/>
      <c r="N936" s="122"/>
      <c r="O936" s="122"/>
      <c r="P936" s="122"/>
      <c r="Q936" s="122"/>
      <c r="R936" s="122"/>
      <c r="S936" s="122"/>
      <c r="T936" s="122"/>
      <c r="U936" s="122"/>
      <c r="V936" s="122"/>
      <c r="W936" s="122"/>
      <c r="X936" s="122"/>
      <c r="Y936" s="122"/>
      <c r="Z936" s="122"/>
      <c r="AA936" s="122"/>
      <c r="AB936" s="122"/>
    </row>
    <row r="937" spans="1:28" ht="15.75" customHeight="1" x14ac:dyDescent="0.2">
      <c r="A937" s="122"/>
      <c r="B937" s="122"/>
      <c r="C937" s="122"/>
      <c r="D937" s="122"/>
      <c r="E937" s="122"/>
      <c r="F937" s="122"/>
      <c r="G937" s="122"/>
      <c r="H937" s="122"/>
      <c r="I937" s="122"/>
      <c r="J937" s="122"/>
      <c r="K937" s="122"/>
      <c r="L937" s="122"/>
      <c r="M937" s="122"/>
      <c r="N937" s="122"/>
      <c r="O937" s="122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  <c r="AA937" s="122"/>
      <c r="AB937" s="122"/>
    </row>
    <row r="938" spans="1:28" ht="15.75" customHeight="1" x14ac:dyDescent="0.2">
      <c r="A938" s="122"/>
      <c r="B938" s="122"/>
      <c r="C938" s="122"/>
      <c r="D938" s="122"/>
      <c r="E938" s="122"/>
      <c r="F938" s="122"/>
      <c r="G938" s="122"/>
      <c r="H938" s="122"/>
      <c r="I938" s="122"/>
      <c r="J938" s="122"/>
      <c r="K938" s="122"/>
      <c r="L938" s="122"/>
      <c r="M938" s="122"/>
      <c r="N938" s="122"/>
      <c r="O938" s="122"/>
      <c r="P938" s="122"/>
      <c r="Q938" s="122"/>
      <c r="R938" s="122"/>
      <c r="S938" s="122"/>
      <c r="T938" s="122"/>
      <c r="U938" s="122"/>
      <c r="V938" s="122"/>
      <c r="W938" s="122"/>
      <c r="X938" s="122"/>
      <c r="Y938" s="122"/>
      <c r="Z938" s="122"/>
      <c r="AA938" s="122"/>
      <c r="AB938" s="122"/>
    </row>
    <row r="939" spans="1:28" ht="15.75" customHeight="1" x14ac:dyDescent="0.2">
      <c r="A939" s="122"/>
      <c r="B939" s="122"/>
      <c r="C939" s="122"/>
      <c r="D939" s="122"/>
      <c r="E939" s="122"/>
      <c r="F939" s="122"/>
      <c r="G939" s="122"/>
      <c r="H939" s="122"/>
      <c r="I939" s="122"/>
      <c r="J939" s="122"/>
      <c r="K939" s="122"/>
      <c r="L939" s="122"/>
      <c r="M939" s="122"/>
      <c r="N939" s="122"/>
      <c r="O939" s="122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  <c r="AA939" s="122"/>
      <c r="AB939" s="122"/>
    </row>
    <row r="940" spans="1:28" ht="15.75" customHeight="1" x14ac:dyDescent="0.2">
      <c r="A940" s="122"/>
      <c r="B940" s="122"/>
      <c r="C940" s="122"/>
      <c r="D940" s="122"/>
      <c r="E940" s="122"/>
      <c r="F940" s="122"/>
      <c r="G940" s="122"/>
      <c r="H940" s="122"/>
      <c r="I940" s="122"/>
      <c r="J940" s="122"/>
      <c r="K940" s="122"/>
      <c r="L940" s="122"/>
      <c r="M940" s="122"/>
      <c r="N940" s="122"/>
      <c r="O940" s="122"/>
      <c r="P940" s="122"/>
      <c r="Q940" s="122"/>
      <c r="R940" s="122"/>
      <c r="S940" s="122"/>
      <c r="T940" s="122"/>
      <c r="U940" s="122"/>
      <c r="V940" s="122"/>
      <c r="W940" s="122"/>
      <c r="X940" s="122"/>
      <c r="Y940" s="122"/>
      <c r="Z940" s="122"/>
      <c r="AA940" s="122"/>
      <c r="AB940" s="122"/>
    </row>
    <row r="941" spans="1:28" ht="15.75" customHeight="1" x14ac:dyDescent="0.2">
      <c r="A941" s="122"/>
      <c r="B941" s="122"/>
      <c r="C941" s="122"/>
      <c r="D941" s="122"/>
      <c r="E941" s="122"/>
      <c r="F941" s="122"/>
      <c r="G941" s="122"/>
      <c r="H941" s="122"/>
      <c r="I941" s="122"/>
      <c r="J941" s="122"/>
      <c r="K941" s="122"/>
      <c r="L941" s="122"/>
      <c r="M941" s="122"/>
      <c r="N941" s="122"/>
      <c r="O941" s="122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  <c r="AA941" s="122"/>
      <c r="AB941" s="122"/>
    </row>
    <row r="942" spans="1:28" ht="15.75" customHeight="1" x14ac:dyDescent="0.2">
      <c r="A942" s="122"/>
      <c r="B942" s="122"/>
      <c r="C942" s="122"/>
      <c r="D942" s="122"/>
      <c r="E942" s="122"/>
      <c r="F942" s="122"/>
      <c r="G942" s="122"/>
      <c r="H942" s="122"/>
      <c r="I942" s="122"/>
      <c r="J942" s="122"/>
      <c r="K942" s="122"/>
      <c r="L942" s="122"/>
      <c r="M942" s="122"/>
      <c r="N942" s="122"/>
      <c r="O942" s="122"/>
      <c r="P942" s="122"/>
      <c r="Q942" s="122"/>
      <c r="R942" s="122"/>
      <c r="S942" s="122"/>
      <c r="T942" s="122"/>
      <c r="U942" s="122"/>
      <c r="V942" s="122"/>
      <c r="W942" s="122"/>
      <c r="X942" s="122"/>
      <c r="Y942" s="122"/>
      <c r="Z942" s="122"/>
      <c r="AA942" s="122"/>
      <c r="AB942" s="122"/>
    </row>
    <row r="943" spans="1:28" ht="15.75" customHeight="1" x14ac:dyDescent="0.2">
      <c r="A943" s="122"/>
      <c r="B943" s="122"/>
      <c r="C943" s="122"/>
      <c r="D943" s="122"/>
      <c r="E943" s="122"/>
      <c r="F943" s="122"/>
      <c r="G943" s="122"/>
      <c r="H943" s="122"/>
      <c r="I943" s="122"/>
      <c r="J943" s="122"/>
      <c r="K943" s="122"/>
      <c r="L943" s="122"/>
      <c r="M943" s="122"/>
      <c r="N943" s="122"/>
      <c r="O943" s="122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  <c r="AA943" s="122"/>
      <c r="AB943" s="122"/>
    </row>
    <row r="944" spans="1:28" ht="15.75" customHeight="1" x14ac:dyDescent="0.2">
      <c r="A944" s="122"/>
      <c r="B944" s="122"/>
      <c r="C944" s="122"/>
      <c r="D944" s="122"/>
      <c r="E944" s="122"/>
      <c r="F944" s="122"/>
      <c r="G944" s="122"/>
      <c r="H944" s="122"/>
      <c r="I944" s="122"/>
      <c r="J944" s="122"/>
      <c r="K944" s="122"/>
      <c r="L944" s="122"/>
      <c r="M944" s="122"/>
      <c r="N944" s="122"/>
      <c r="O944" s="122"/>
      <c r="P944" s="122"/>
      <c r="Q944" s="122"/>
      <c r="R944" s="122"/>
      <c r="S944" s="122"/>
      <c r="T944" s="122"/>
      <c r="U944" s="122"/>
      <c r="V944" s="122"/>
      <c r="W944" s="122"/>
      <c r="X944" s="122"/>
      <c r="Y944" s="122"/>
      <c r="Z944" s="122"/>
      <c r="AA944" s="122"/>
      <c r="AB944" s="122"/>
    </row>
    <row r="945" spans="1:28" ht="15.75" customHeight="1" x14ac:dyDescent="0.2">
      <c r="A945" s="122"/>
      <c r="B945" s="122"/>
      <c r="C945" s="122"/>
      <c r="D945" s="122"/>
      <c r="E945" s="122"/>
      <c r="F945" s="122"/>
      <c r="G945" s="122"/>
      <c r="H945" s="122"/>
      <c r="I945" s="122"/>
      <c r="J945" s="122"/>
      <c r="K945" s="122"/>
      <c r="L945" s="122"/>
      <c r="M945" s="122"/>
      <c r="N945" s="122"/>
      <c r="O945" s="122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  <c r="AA945" s="122"/>
      <c r="AB945" s="122"/>
    </row>
    <row r="946" spans="1:28" ht="15.75" customHeight="1" x14ac:dyDescent="0.2">
      <c r="A946" s="122"/>
      <c r="B946" s="122"/>
      <c r="C946" s="122"/>
      <c r="D946" s="122"/>
      <c r="E946" s="122"/>
      <c r="F946" s="122"/>
      <c r="G946" s="122"/>
      <c r="H946" s="122"/>
      <c r="I946" s="122"/>
      <c r="J946" s="122"/>
      <c r="K946" s="122"/>
      <c r="L946" s="122"/>
      <c r="M946" s="122"/>
      <c r="N946" s="122"/>
      <c r="O946" s="122"/>
      <c r="P946" s="122"/>
      <c r="Q946" s="122"/>
      <c r="R946" s="122"/>
      <c r="S946" s="122"/>
      <c r="T946" s="122"/>
      <c r="U946" s="122"/>
      <c r="V946" s="122"/>
      <c r="W946" s="122"/>
      <c r="X946" s="122"/>
      <c r="Y946" s="122"/>
      <c r="Z946" s="122"/>
      <c r="AA946" s="122"/>
      <c r="AB946" s="122"/>
    </row>
    <row r="947" spans="1:28" ht="15.75" customHeight="1" x14ac:dyDescent="0.2">
      <c r="A947" s="122"/>
      <c r="B947" s="122"/>
      <c r="C947" s="122"/>
      <c r="D947" s="122"/>
      <c r="E947" s="122"/>
      <c r="F947" s="122"/>
      <c r="G947" s="122"/>
      <c r="H947" s="122"/>
      <c r="I947" s="122"/>
      <c r="J947" s="122"/>
      <c r="K947" s="122"/>
      <c r="L947" s="122"/>
      <c r="M947" s="122"/>
      <c r="N947" s="122"/>
      <c r="O947" s="122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  <c r="Z947" s="122"/>
      <c r="AA947" s="122"/>
      <c r="AB947" s="122"/>
    </row>
    <row r="948" spans="1:28" ht="15.75" customHeight="1" x14ac:dyDescent="0.2">
      <c r="A948" s="122"/>
      <c r="B948" s="122"/>
      <c r="C948" s="122"/>
      <c r="D948" s="122"/>
      <c r="E948" s="122"/>
      <c r="F948" s="122"/>
      <c r="G948" s="122"/>
      <c r="H948" s="122"/>
      <c r="I948" s="122"/>
      <c r="J948" s="122"/>
      <c r="K948" s="122"/>
      <c r="L948" s="122"/>
      <c r="M948" s="122"/>
      <c r="N948" s="122"/>
      <c r="O948" s="122"/>
      <c r="P948" s="122"/>
      <c r="Q948" s="122"/>
      <c r="R948" s="122"/>
      <c r="S948" s="122"/>
      <c r="T948" s="122"/>
      <c r="U948" s="122"/>
      <c r="V948" s="122"/>
      <c r="W948" s="122"/>
      <c r="X948" s="122"/>
      <c r="Y948" s="122"/>
      <c r="Z948" s="122"/>
      <c r="AA948" s="122"/>
      <c r="AB948" s="122"/>
    </row>
    <row r="949" spans="1:28" ht="15.75" customHeight="1" x14ac:dyDescent="0.2">
      <c r="A949" s="122"/>
      <c r="B949" s="122"/>
      <c r="C949" s="122"/>
      <c r="D949" s="122"/>
      <c r="E949" s="122"/>
      <c r="F949" s="122"/>
      <c r="G949" s="122"/>
      <c r="H949" s="122"/>
      <c r="I949" s="122"/>
      <c r="J949" s="122"/>
      <c r="K949" s="122"/>
      <c r="L949" s="122"/>
      <c r="M949" s="122"/>
      <c r="N949" s="122"/>
      <c r="O949" s="122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  <c r="Z949" s="122"/>
      <c r="AA949" s="122"/>
      <c r="AB949" s="122"/>
    </row>
    <row r="950" spans="1:28" ht="15.75" customHeight="1" x14ac:dyDescent="0.2">
      <c r="A950" s="122"/>
      <c r="B950" s="122"/>
      <c r="C950" s="122"/>
      <c r="D950" s="122"/>
      <c r="E950" s="122"/>
      <c r="F950" s="122"/>
      <c r="G950" s="122"/>
      <c r="H950" s="122"/>
      <c r="I950" s="122"/>
      <c r="J950" s="122"/>
      <c r="K950" s="122"/>
      <c r="L950" s="122"/>
      <c r="M950" s="122"/>
      <c r="N950" s="122"/>
      <c r="O950" s="122"/>
      <c r="P950" s="122"/>
      <c r="Q950" s="122"/>
      <c r="R950" s="122"/>
      <c r="S950" s="122"/>
      <c r="T950" s="122"/>
      <c r="U950" s="122"/>
      <c r="V950" s="122"/>
      <c r="W950" s="122"/>
      <c r="X950" s="122"/>
      <c r="Y950" s="122"/>
      <c r="Z950" s="122"/>
      <c r="AA950" s="122"/>
      <c r="AB950" s="122"/>
    </row>
    <row r="951" spans="1:28" ht="15.75" customHeight="1" x14ac:dyDescent="0.2">
      <c r="A951" s="122"/>
      <c r="B951" s="122"/>
      <c r="C951" s="122"/>
      <c r="D951" s="122"/>
      <c r="E951" s="122"/>
      <c r="F951" s="122"/>
      <c r="G951" s="122"/>
      <c r="H951" s="122"/>
      <c r="I951" s="122"/>
      <c r="J951" s="122"/>
      <c r="K951" s="122"/>
      <c r="L951" s="122"/>
      <c r="M951" s="122"/>
      <c r="N951" s="122"/>
      <c r="O951" s="122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  <c r="AA951" s="122"/>
      <c r="AB951" s="122"/>
    </row>
    <row r="952" spans="1:28" ht="15.75" customHeight="1" x14ac:dyDescent="0.2">
      <c r="A952" s="122"/>
      <c r="B952" s="122"/>
      <c r="C952" s="122"/>
      <c r="D952" s="122"/>
      <c r="E952" s="122"/>
      <c r="F952" s="122"/>
      <c r="G952" s="122"/>
      <c r="H952" s="122"/>
      <c r="I952" s="122"/>
      <c r="J952" s="122"/>
      <c r="K952" s="122"/>
      <c r="L952" s="122"/>
      <c r="M952" s="122"/>
      <c r="N952" s="122"/>
      <c r="O952" s="122"/>
      <c r="P952" s="122"/>
      <c r="Q952" s="122"/>
      <c r="R952" s="122"/>
      <c r="S952" s="122"/>
      <c r="T952" s="122"/>
      <c r="U952" s="122"/>
      <c r="V952" s="122"/>
      <c r="W952" s="122"/>
      <c r="X952" s="122"/>
      <c r="Y952" s="122"/>
      <c r="Z952" s="122"/>
      <c r="AA952" s="122"/>
      <c r="AB952" s="122"/>
    </row>
    <row r="953" spans="1:28" ht="15.75" customHeight="1" x14ac:dyDescent="0.2">
      <c r="A953" s="122"/>
      <c r="B953" s="122"/>
      <c r="C953" s="122"/>
      <c r="D953" s="122"/>
      <c r="E953" s="122"/>
      <c r="F953" s="122"/>
      <c r="G953" s="122"/>
      <c r="H953" s="122"/>
      <c r="I953" s="122"/>
      <c r="J953" s="122"/>
      <c r="K953" s="122"/>
      <c r="L953" s="122"/>
      <c r="M953" s="122"/>
      <c r="N953" s="122"/>
      <c r="O953" s="122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  <c r="AA953" s="122"/>
      <c r="AB953" s="122"/>
    </row>
    <row r="954" spans="1:28" ht="15.75" customHeight="1" x14ac:dyDescent="0.2">
      <c r="A954" s="122"/>
      <c r="B954" s="122"/>
      <c r="C954" s="122"/>
      <c r="D954" s="122"/>
      <c r="E954" s="122"/>
      <c r="F954" s="122"/>
      <c r="G954" s="122"/>
      <c r="H954" s="122"/>
      <c r="I954" s="122"/>
      <c r="J954" s="122"/>
      <c r="K954" s="122"/>
      <c r="L954" s="122"/>
      <c r="M954" s="122"/>
      <c r="N954" s="122"/>
      <c r="O954" s="122"/>
      <c r="P954" s="122"/>
      <c r="Q954" s="122"/>
      <c r="R954" s="122"/>
      <c r="S954" s="122"/>
      <c r="T954" s="122"/>
      <c r="U954" s="122"/>
      <c r="V954" s="122"/>
      <c r="W954" s="122"/>
      <c r="X954" s="122"/>
      <c r="Y954" s="122"/>
      <c r="Z954" s="122"/>
      <c r="AA954" s="122"/>
      <c r="AB954" s="122"/>
    </row>
    <row r="955" spans="1:28" ht="15.75" customHeight="1" x14ac:dyDescent="0.2">
      <c r="A955" s="122"/>
      <c r="B955" s="122"/>
      <c r="C955" s="122"/>
      <c r="D955" s="122"/>
      <c r="E955" s="122"/>
      <c r="F955" s="122"/>
      <c r="G955" s="122"/>
      <c r="H955" s="122"/>
      <c r="I955" s="122"/>
      <c r="J955" s="122"/>
      <c r="K955" s="122"/>
      <c r="L955" s="122"/>
      <c r="M955" s="122"/>
      <c r="N955" s="122"/>
      <c r="O955" s="122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  <c r="AA955" s="122"/>
      <c r="AB955" s="122"/>
    </row>
    <row r="956" spans="1:28" ht="15.75" customHeight="1" x14ac:dyDescent="0.2">
      <c r="A956" s="122"/>
      <c r="B956" s="122"/>
      <c r="C956" s="122"/>
      <c r="D956" s="122"/>
      <c r="E956" s="122"/>
      <c r="F956" s="122"/>
      <c r="G956" s="122"/>
      <c r="H956" s="122"/>
      <c r="I956" s="122"/>
      <c r="J956" s="122"/>
      <c r="K956" s="122"/>
      <c r="L956" s="122"/>
      <c r="M956" s="122"/>
      <c r="N956" s="122"/>
      <c r="O956" s="122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  <c r="Z956" s="122"/>
      <c r="AA956" s="122"/>
      <c r="AB956" s="122"/>
    </row>
    <row r="957" spans="1:28" ht="15.75" customHeight="1" x14ac:dyDescent="0.2">
      <c r="A957" s="122"/>
      <c r="B957" s="122"/>
      <c r="C957" s="122"/>
      <c r="D957" s="122"/>
      <c r="E957" s="122"/>
      <c r="F957" s="122"/>
      <c r="G957" s="122"/>
      <c r="H957" s="122"/>
      <c r="I957" s="122"/>
      <c r="J957" s="122"/>
      <c r="K957" s="122"/>
      <c r="L957" s="122"/>
      <c r="M957" s="122"/>
      <c r="N957" s="122"/>
      <c r="O957" s="122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  <c r="AA957" s="122"/>
      <c r="AB957" s="122"/>
    </row>
    <row r="958" spans="1:28" ht="15.75" customHeight="1" x14ac:dyDescent="0.2">
      <c r="A958" s="122"/>
      <c r="B958" s="122"/>
      <c r="C958" s="122"/>
      <c r="D958" s="122"/>
      <c r="E958" s="122"/>
      <c r="F958" s="122"/>
      <c r="G958" s="122"/>
      <c r="H958" s="122"/>
      <c r="I958" s="122"/>
      <c r="J958" s="122"/>
      <c r="K958" s="122"/>
      <c r="L958" s="122"/>
      <c r="M958" s="122"/>
      <c r="N958" s="122"/>
      <c r="O958" s="122"/>
      <c r="P958" s="122"/>
      <c r="Q958" s="122"/>
      <c r="R958" s="122"/>
      <c r="S958" s="122"/>
      <c r="T958" s="122"/>
      <c r="U958" s="122"/>
      <c r="V958" s="122"/>
      <c r="W958" s="122"/>
      <c r="X958" s="122"/>
      <c r="Y958" s="122"/>
      <c r="Z958" s="122"/>
      <c r="AA958" s="122"/>
      <c r="AB958" s="122"/>
    </row>
    <row r="959" spans="1:28" ht="15.75" customHeight="1" x14ac:dyDescent="0.2">
      <c r="A959" s="122"/>
      <c r="B959" s="122"/>
      <c r="C959" s="122"/>
      <c r="D959" s="122"/>
      <c r="E959" s="122"/>
      <c r="F959" s="122"/>
      <c r="G959" s="122"/>
      <c r="H959" s="122"/>
      <c r="I959" s="122"/>
      <c r="J959" s="122"/>
      <c r="K959" s="122"/>
      <c r="L959" s="122"/>
      <c r="M959" s="122"/>
      <c r="N959" s="122"/>
      <c r="O959" s="122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  <c r="AA959" s="122"/>
      <c r="AB959" s="122"/>
    </row>
    <row r="960" spans="1:28" ht="15.75" customHeight="1" x14ac:dyDescent="0.2">
      <c r="A960" s="122"/>
      <c r="B960" s="122"/>
      <c r="C960" s="122"/>
      <c r="D960" s="122"/>
      <c r="E960" s="122"/>
      <c r="F960" s="122"/>
      <c r="G960" s="122"/>
      <c r="H960" s="122"/>
      <c r="I960" s="122"/>
      <c r="J960" s="122"/>
      <c r="K960" s="122"/>
      <c r="L960" s="122"/>
      <c r="M960" s="122"/>
      <c r="N960" s="122"/>
      <c r="O960" s="122"/>
      <c r="P960" s="122"/>
      <c r="Q960" s="122"/>
      <c r="R960" s="122"/>
      <c r="S960" s="122"/>
      <c r="T960" s="122"/>
      <c r="U960" s="122"/>
      <c r="V960" s="122"/>
      <c r="W960" s="122"/>
      <c r="X960" s="122"/>
      <c r="Y960" s="122"/>
      <c r="Z960" s="122"/>
      <c r="AA960" s="122"/>
      <c r="AB960" s="122"/>
    </row>
    <row r="961" spans="1:28" ht="15.75" customHeight="1" x14ac:dyDescent="0.2">
      <c r="A961" s="122"/>
      <c r="B961" s="122"/>
      <c r="C961" s="122"/>
      <c r="D961" s="122"/>
      <c r="E961" s="122"/>
      <c r="F961" s="122"/>
      <c r="G961" s="122"/>
      <c r="H961" s="122"/>
      <c r="I961" s="122"/>
      <c r="J961" s="122"/>
      <c r="K961" s="122"/>
      <c r="L961" s="122"/>
      <c r="M961" s="122"/>
      <c r="N961" s="122"/>
      <c r="O961" s="122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  <c r="Z961" s="122"/>
      <c r="AA961" s="122"/>
      <c r="AB961" s="122"/>
    </row>
    <row r="962" spans="1:28" ht="15.75" customHeight="1" x14ac:dyDescent="0.2">
      <c r="A962" s="122"/>
      <c r="B962" s="122"/>
      <c r="C962" s="122"/>
      <c r="D962" s="122"/>
      <c r="E962" s="122"/>
      <c r="F962" s="122"/>
      <c r="G962" s="122"/>
      <c r="H962" s="122"/>
      <c r="I962" s="122"/>
      <c r="J962" s="122"/>
      <c r="K962" s="122"/>
      <c r="L962" s="122"/>
      <c r="M962" s="122"/>
      <c r="N962" s="122"/>
      <c r="O962" s="122"/>
      <c r="P962" s="122"/>
      <c r="Q962" s="122"/>
      <c r="R962" s="122"/>
      <c r="S962" s="122"/>
      <c r="T962" s="122"/>
      <c r="U962" s="122"/>
      <c r="V962" s="122"/>
      <c r="W962" s="122"/>
      <c r="X962" s="122"/>
      <c r="Y962" s="122"/>
      <c r="Z962" s="122"/>
      <c r="AA962" s="122"/>
      <c r="AB962" s="122"/>
    </row>
    <row r="963" spans="1:28" ht="15.75" customHeight="1" x14ac:dyDescent="0.2">
      <c r="A963" s="122"/>
      <c r="B963" s="122"/>
      <c r="C963" s="122"/>
      <c r="D963" s="122"/>
      <c r="E963" s="122"/>
      <c r="F963" s="122"/>
      <c r="G963" s="122"/>
      <c r="H963" s="122"/>
      <c r="I963" s="122"/>
      <c r="J963" s="122"/>
      <c r="K963" s="122"/>
      <c r="L963" s="122"/>
      <c r="M963" s="122"/>
      <c r="N963" s="122"/>
      <c r="O963" s="122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  <c r="Z963" s="122"/>
      <c r="AA963" s="122"/>
      <c r="AB963" s="122"/>
    </row>
    <row r="964" spans="1:28" ht="15.75" customHeight="1" x14ac:dyDescent="0.2">
      <c r="A964" s="122"/>
      <c r="B964" s="122"/>
      <c r="C964" s="122"/>
      <c r="D964" s="122"/>
      <c r="E964" s="122"/>
      <c r="F964" s="122"/>
      <c r="G964" s="122"/>
      <c r="H964" s="122"/>
      <c r="I964" s="122"/>
      <c r="J964" s="122"/>
      <c r="K964" s="122"/>
      <c r="L964" s="122"/>
      <c r="M964" s="122"/>
      <c r="N964" s="122"/>
      <c r="O964" s="122"/>
      <c r="P964" s="122"/>
      <c r="Q964" s="122"/>
      <c r="R964" s="122"/>
      <c r="S964" s="122"/>
      <c r="T964" s="122"/>
      <c r="U964" s="122"/>
      <c r="V964" s="122"/>
      <c r="W964" s="122"/>
      <c r="X964" s="122"/>
      <c r="Y964" s="122"/>
      <c r="Z964" s="122"/>
      <c r="AA964" s="122"/>
      <c r="AB964" s="122"/>
    </row>
    <row r="965" spans="1:28" ht="15.75" customHeight="1" x14ac:dyDescent="0.2">
      <c r="A965" s="122"/>
      <c r="B965" s="122"/>
      <c r="C965" s="122"/>
      <c r="D965" s="122"/>
      <c r="E965" s="122"/>
      <c r="F965" s="122"/>
      <c r="G965" s="122"/>
      <c r="H965" s="122"/>
      <c r="I965" s="122"/>
      <c r="J965" s="122"/>
      <c r="K965" s="122"/>
      <c r="L965" s="122"/>
      <c r="M965" s="122"/>
      <c r="N965" s="122"/>
      <c r="O965" s="122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  <c r="Z965" s="122"/>
      <c r="AA965" s="122"/>
      <c r="AB965" s="122"/>
    </row>
    <row r="966" spans="1:28" ht="15.75" customHeight="1" x14ac:dyDescent="0.2">
      <c r="A966" s="122"/>
      <c r="B966" s="122"/>
      <c r="C966" s="122"/>
      <c r="D966" s="122"/>
      <c r="E966" s="122"/>
      <c r="F966" s="122"/>
      <c r="G966" s="122"/>
      <c r="H966" s="122"/>
      <c r="I966" s="122"/>
      <c r="J966" s="122"/>
      <c r="K966" s="122"/>
      <c r="L966" s="122"/>
      <c r="M966" s="122"/>
      <c r="N966" s="122"/>
      <c r="O966" s="122"/>
      <c r="P966" s="122"/>
      <c r="Q966" s="122"/>
      <c r="R966" s="122"/>
      <c r="S966" s="122"/>
      <c r="T966" s="122"/>
      <c r="U966" s="122"/>
      <c r="V966" s="122"/>
      <c r="W966" s="122"/>
      <c r="X966" s="122"/>
      <c r="Y966" s="122"/>
      <c r="Z966" s="122"/>
      <c r="AA966" s="122"/>
      <c r="AB966" s="122"/>
    </row>
    <row r="967" spans="1:28" ht="15.75" customHeight="1" x14ac:dyDescent="0.2">
      <c r="A967" s="122"/>
      <c r="B967" s="122"/>
      <c r="C967" s="122"/>
      <c r="D967" s="122"/>
      <c r="E967" s="122"/>
      <c r="F967" s="122"/>
      <c r="G967" s="122"/>
      <c r="H967" s="122"/>
      <c r="I967" s="122"/>
      <c r="J967" s="122"/>
      <c r="K967" s="122"/>
      <c r="L967" s="122"/>
      <c r="M967" s="122"/>
      <c r="N967" s="122"/>
      <c r="O967" s="122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  <c r="Z967" s="122"/>
      <c r="AA967" s="122"/>
      <c r="AB967" s="122"/>
    </row>
    <row r="968" spans="1:28" ht="15.75" customHeight="1" x14ac:dyDescent="0.2">
      <c r="A968" s="122"/>
      <c r="B968" s="122"/>
      <c r="C968" s="122"/>
      <c r="D968" s="122"/>
      <c r="E968" s="122"/>
      <c r="F968" s="122"/>
      <c r="G968" s="122"/>
      <c r="H968" s="122"/>
      <c r="I968" s="122"/>
      <c r="J968" s="122"/>
      <c r="K968" s="122"/>
      <c r="L968" s="122"/>
      <c r="M968" s="122"/>
      <c r="N968" s="122"/>
      <c r="O968" s="122"/>
      <c r="P968" s="122"/>
      <c r="Q968" s="122"/>
      <c r="R968" s="122"/>
      <c r="S968" s="122"/>
      <c r="T968" s="122"/>
      <c r="U968" s="122"/>
      <c r="V968" s="122"/>
      <c r="W968" s="122"/>
      <c r="X968" s="122"/>
      <c r="Y968" s="122"/>
      <c r="Z968" s="122"/>
      <c r="AA968" s="122"/>
      <c r="AB968" s="122"/>
    </row>
    <row r="969" spans="1:28" ht="15.75" customHeight="1" x14ac:dyDescent="0.2">
      <c r="A969" s="122"/>
      <c r="B969" s="122"/>
      <c r="C969" s="122"/>
      <c r="D969" s="122"/>
      <c r="E969" s="122"/>
      <c r="F969" s="122"/>
      <c r="G969" s="122"/>
      <c r="H969" s="122"/>
      <c r="I969" s="122"/>
      <c r="J969" s="122"/>
      <c r="K969" s="122"/>
      <c r="L969" s="122"/>
      <c r="M969" s="122"/>
      <c r="N969" s="122"/>
      <c r="O969" s="122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  <c r="Z969" s="122"/>
      <c r="AA969" s="122"/>
      <c r="AB969" s="122"/>
    </row>
    <row r="970" spans="1:28" ht="15.75" customHeight="1" x14ac:dyDescent="0.2">
      <c r="A970" s="122"/>
      <c r="B970" s="122"/>
      <c r="C970" s="122"/>
      <c r="D970" s="122"/>
      <c r="E970" s="122"/>
      <c r="F970" s="122"/>
      <c r="G970" s="122"/>
      <c r="H970" s="122"/>
      <c r="I970" s="122"/>
      <c r="J970" s="122"/>
      <c r="K970" s="122"/>
      <c r="L970" s="122"/>
      <c r="M970" s="122"/>
      <c r="N970" s="122"/>
      <c r="O970" s="122"/>
      <c r="P970" s="122"/>
      <c r="Q970" s="122"/>
      <c r="R970" s="122"/>
      <c r="S970" s="122"/>
      <c r="T970" s="122"/>
      <c r="U970" s="122"/>
      <c r="V970" s="122"/>
      <c r="W970" s="122"/>
      <c r="X970" s="122"/>
      <c r="Y970" s="122"/>
      <c r="Z970" s="122"/>
      <c r="AA970" s="122"/>
      <c r="AB970" s="122"/>
    </row>
    <row r="971" spans="1:28" ht="15.75" customHeight="1" x14ac:dyDescent="0.2">
      <c r="A971" s="122"/>
      <c r="B971" s="122"/>
      <c r="C971" s="122"/>
      <c r="D971" s="122"/>
      <c r="E971" s="122"/>
      <c r="F971" s="122"/>
      <c r="G971" s="122"/>
      <c r="H971" s="122"/>
      <c r="I971" s="122"/>
      <c r="J971" s="122"/>
      <c r="K971" s="122"/>
      <c r="L971" s="122"/>
      <c r="M971" s="122"/>
      <c r="N971" s="122"/>
      <c r="O971" s="122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  <c r="Z971" s="122"/>
      <c r="AA971" s="122"/>
      <c r="AB971" s="122"/>
    </row>
    <row r="972" spans="1:28" ht="15.75" customHeight="1" x14ac:dyDescent="0.2">
      <c r="A972" s="122"/>
      <c r="B972" s="122"/>
      <c r="C972" s="122"/>
      <c r="D972" s="122"/>
      <c r="E972" s="122"/>
      <c r="F972" s="122"/>
      <c r="G972" s="122"/>
      <c r="H972" s="122"/>
      <c r="I972" s="122"/>
      <c r="J972" s="122"/>
      <c r="K972" s="122"/>
      <c r="L972" s="122"/>
      <c r="M972" s="122"/>
      <c r="N972" s="122"/>
      <c r="O972" s="122"/>
      <c r="P972" s="122"/>
      <c r="Q972" s="122"/>
      <c r="R972" s="122"/>
      <c r="S972" s="122"/>
      <c r="T972" s="122"/>
      <c r="U972" s="122"/>
      <c r="V972" s="122"/>
      <c r="W972" s="122"/>
      <c r="X972" s="122"/>
      <c r="Y972" s="122"/>
      <c r="Z972" s="122"/>
      <c r="AA972" s="122"/>
      <c r="AB972" s="122"/>
    </row>
    <row r="973" spans="1:28" ht="15.75" customHeight="1" x14ac:dyDescent="0.2">
      <c r="A973" s="122"/>
      <c r="B973" s="122"/>
      <c r="C973" s="122"/>
      <c r="D973" s="122"/>
      <c r="E973" s="122"/>
      <c r="F973" s="122"/>
      <c r="G973" s="122"/>
      <c r="H973" s="122"/>
      <c r="I973" s="122"/>
      <c r="J973" s="122"/>
      <c r="K973" s="122"/>
      <c r="L973" s="122"/>
      <c r="M973" s="122"/>
      <c r="N973" s="122"/>
      <c r="O973" s="122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  <c r="Z973" s="122"/>
      <c r="AA973" s="122"/>
      <c r="AB973" s="122"/>
    </row>
    <row r="974" spans="1:28" ht="15.75" customHeight="1" x14ac:dyDescent="0.2">
      <c r="A974" s="122"/>
      <c r="B974" s="122"/>
      <c r="C974" s="122"/>
      <c r="D974" s="122"/>
      <c r="E974" s="122"/>
      <c r="F974" s="122"/>
      <c r="G974" s="122"/>
      <c r="H974" s="122"/>
      <c r="I974" s="122"/>
      <c r="J974" s="122"/>
      <c r="K974" s="122"/>
      <c r="L974" s="122"/>
      <c r="M974" s="122"/>
      <c r="N974" s="122"/>
      <c r="O974" s="122"/>
      <c r="P974" s="122"/>
      <c r="Q974" s="122"/>
      <c r="R974" s="122"/>
      <c r="S974" s="122"/>
      <c r="T974" s="122"/>
      <c r="U974" s="122"/>
      <c r="V974" s="122"/>
      <c r="W974" s="122"/>
      <c r="X974" s="122"/>
      <c r="Y974" s="122"/>
      <c r="Z974" s="122"/>
      <c r="AA974" s="122"/>
      <c r="AB974" s="122"/>
    </row>
    <row r="975" spans="1:28" ht="15.75" customHeight="1" x14ac:dyDescent="0.2">
      <c r="A975" s="122"/>
      <c r="B975" s="122"/>
      <c r="C975" s="122"/>
      <c r="D975" s="122"/>
      <c r="E975" s="122"/>
      <c r="F975" s="122"/>
      <c r="G975" s="122"/>
      <c r="H975" s="122"/>
      <c r="I975" s="122"/>
      <c r="J975" s="122"/>
      <c r="K975" s="122"/>
      <c r="L975" s="122"/>
      <c r="M975" s="122"/>
      <c r="N975" s="122"/>
      <c r="O975" s="122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  <c r="Z975" s="122"/>
      <c r="AA975" s="122"/>
      <c r="AB975" s="122"/>
    </row>
    <row r="976" spans="1:28" ht="15.75" customHeight="1" x14ac:dyDescent="0.2">
      <c r="A976" s="122"/>
      <c r="B976" s="122"/>
      <c r="C976" s="122"/>
      <c r="D976" s="122"/>
      <c r="E976" s="122"/>
      <c r="F976" s="122"/>
      <c r="G976" s="122"/>
      <c r="H976" s="122"/>
      <c r="I976" s="122"/>
      <c r="J976" s="122"/>
      <c r="K976" s="122"/>
      <c r="L976" s="122"/>
      <c r="M976" s="122"/>
      <c r="N976" s="122"/>
      <c r="O976" s="122"/>
      <c r="P976" s="122"/>
      <c r="Q976" s="122"/>
      <c r="R976" s="122"/>
      <c r="S976" s="122"/>
      <c r="T976" s="122"/>
      <c r="U976" s="122"/>
      <c r="V976" s="122"/>
      <c r="W976" s="122"/>
      <c r="X976" s="122"/>
      <c r="Y976" s="122"/>
      <c r="Z976" s="122"/>
      <c r="AA976" s="122"/>
      <c r="AB976" s="122"/>
    </row>
    <row r="977" spans="1:28" ht="15.75" customHeight="1" x14ac:dyDescent="0.2">
      <c r="A977" s="122"/>
      <c r="B977" s="122"/>
      <c r="C977" s="122"/>
      <c r="D977" s="122"/>
      <c r="E977" s="122"/>
      <c r="F977" s="122"/>
      <c r="G977" s="122"/>
      <c r="H977" s="122"/>
      <c r="I977" s="122"/>
      <c r="J977" s="122"/>
      <c r="K977" s="122"/>
      <c r="L977" s="122"/>
      <c r="M977" s="122"/>
      <c r="N977" s="122"/>
      <c r="O977" s="122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  <c r="Z977" s="122"/>
      <c r="AA977" s="122"/>
      <c r="AB977" s="122"/>
    </row>
    <row r="978" spans="1:28" ht="15.75" customHeight="1" x14ac:dyDescent="0.2">
      <c r="A978" s="122"/>
      <c r="B978" s="122"/>
      <c r="C978" s="122"/>
      <c r="D978" s="122"/>
      <c r="E978" s="122"/>
      <c r="F978" s="122"/>
      <c r="G978" s="122"/>
      <c r="H978" s="122"/>
      <c r="I978" s="122"/>
      <c r="J978" s="122"/>
      <c r="K978" s="122"/>
      <c r="L978" s="122"/>
      <c r="M978" s="122"/>
      <c r="N978" s="122"/>
      <c r="O978" s="122"/>
      <c r="P978" s="122"/>
      <c r="Q978" s="122"/>
      <c r="R978" s="122"/>
      <c r="S978" s="122"/>
      <c r="T978" s="122"/>
      <c r="U978" s="122"/>
      <c r="V978" s="122"/>
      <c r="W978" s="122"/>
      <c r="X978" s="122"/>
      <c r="Y978" s="122"/>
      <c r="Z978" s="122"/>
      <c r="AA978" s="122"/>
      <c r="AB978" s="122"/>
    </row>
    <row r="979" spans="1:28" ht="15.75" customHeight="1" x14ac:dyDescent="0.2">
      <c r="A979" s="122"/>
      <c r="B979" s="122"/>
      <c r="C979" s="122"/>
      <c r="D979" s="122"/>
      <c r="E979" s="122"/>
      <c r="F979" s="122"/>
      <c r="G979" s="122"/>
      <c r="H979" s="122"/>
      <c r="I979" s="122"/>
      <c r="J979" s="122"/>
      <c r="K979" s="122"/>
      <c r="L979" s="122"/>
      <c r="M979" s="122"/>
      <c r="N979" s="122"/>
      <c r="O979" s="122"/>
      <c r="P979" s="122"/>
      <c r="Q979" s="122"/>
      <c r="R979" s="122"/>
      <c r="S979" s="122"/>
      <c r="T979" s="122"/>
      <c r="U979" s="122"/>
      <c r="V979" s="122"/>
      <c r="W979" s="122"/>
      <c r="X979" s="122"/>
      <c r="Y979" s="122"/>
      <c r="Z979" s="122"/>
      <c r="AA979" s="122"/>
      <c r="AB979" s="122"/>
    </row>
    <row r="980" spans="1:28" ht="15.75" customHeight="1" x14ac:dyDescent="0.2">
      <c r="A980" s="122"/>
      <c r="B980" s="122"/>
      <c r="C980" s="122"/>
      <c r="D980" s="122"/>
      <c r="E980" s="122"/>
      <c r="F980" s="122"/>
      <c r="G980" s="122"/>
      <c r="H980" s="122"/>
      <c r="I980" s="122"/>
      <c r="J980" s="122"/>
      <c r="K980" s="122"/>
      <c r="L980" s="122"/>
      <c r="M980" s="122"/>
      <c r="N980" s="122"/>
      <c r="O980" s="122"/>
      <c r="P980" s="122"/>
      <c r="Q980" s="122"/>
      <c r="R980" s="122"/>
      <c r="S980" s="122"/>
      <c r="T980" s="122"/>
      <c r="U980" s="122"/>
      <c r="V980" s="122"/>
      <c r="W980" s="122"/>
      <c r="X980" s="122"/>
      <c r="Y980" s="122"/>
      <c r="Z980" s="122"/>
      <c r="AA980" s="122"/>
      <c r="AB980" s="122"/>
    </row>
    <row r="981" spans="1:28" ht="15.75" customHeight="1" x14ac:dyDescent="0.2">
      <c r="A981" s="122"/>
      <c r="B981" s="122"/>
      <c r="C981" s="122"/>
      <c r="D981" s="122"/>
      <c r="E981" s="122"/>
      <c r="F981" s="122"/>
      <c r="G981" s="122"/>
      <c r="H981" s="122"/>
      <c r="I981" s="122"/>
      <c r="J981" s="122"/>
      <c r="K981" s="122"/>
      <c r="L981" s="122"/>
      <c r="M981" s="122"/>
      <c r="N981" s="122"/>
      <c r="O981" s="122"/>
      <c r="P981" s="122"/>
      <c r="Q981" s="122"/>
      <c r="R981" s="122"/>
      <c r="S981" s="122"/>
      <c r="T981" s="122"/>
      <c r="U981" s="122"/>
      <c r="V981" s="122"/>
      <c r="W981" s="122"/>
      <c r="X981" s="122"/>
      <c r="Y981" s="122"/>
      <c r="Z981" s="122"/>
      <c r="AA981" s="122"/>
      <c r="AB981" s="122"/>
    </row>
    <row r="982" spans="1:28" ht="15.75" customHeight="1" x14ac:dyDescent="0.2">
      <c r="A982" s="122"/>
      <c r="B982" s="122"/>
      <c r="C982" s="122"/>
      <c r="D982" s="122"/>
      <c r="E982" s="122"/>
      <c r="F982" s="122"/>
      <c r="G982" s="122"/>
      <c r="H982" s="122"/>
      <c r="I982" s="122"/>
      <c r="J982" s="122"/>
      <c r="K982" s="122"/>
      <c r="L982" s="122"/>
      <c r="M982" s="122"/>
      <c r="N982" s="122"/>
      <c r="O982" s="122"/>
      <c r="P982" s="122"/>
      <c r="Q982" s="122"/>
      <c r="R982" s="122"/>
      <c r="S982" s="122"/>
      <c r="T982" s="122"/>
      <c r="U982" s="122"/>
      <c r="V982" s="122"/>
      <c r="W982" s="122"/>
      <c r="X982" s="122"/>
      <c r="Y982" s="122"/>
      <c r="Z982" s="122"/>
      <c r="AA982" s="122"/>
      <c r="AB982" s="122"/>
    </row>
    <row r="983" spans="1:28" ht="15.75" customHeight="1" x14ac:dyDescent="0.2">
      <c r="A983" s="122"/>
      <c r="B983" s="122"/>
      <c r="C983" s="122"/>
      <c r="D983" s="122"/>
      <c r="E983" s="122"/>
      <c r="F983" s="122"/>
      <c r="G983" s="122"/>
      <c r="H983" s="122"/>
      <c r="I983" s="122"/>
      <c r="J983" s="122"/>
      <c r="K983" s="122"/>
      <c r="L983" s="122"/>
      <c r="M983" s="122"/>
      <c r="N983" s="122"/>
      <c r="O983" s="122"/>
      <c r="P983" s="122"/>
      <c r="Q983" s="122"/>
      <c r="R983" s="122"/>
      <c r="S983" s="122"/>
      <c r="T983" s="122"/>
      <c r="U983" s="122"/>
      <c r="V983" s="122"/>
      <c r="W983" s="122"/>
      <c r="X983" s="122"/>
      <c r="Y983" s="122"/>
      <c r="Z983" s="122"/>
      <c r="AA983" s="122"/>
      <c r="AB983" s="122"/>
    </row>
    <row r="984" spans="1:28" ht="15.75" customHeight="1" x14ac:dyDescent="0.2">
      <c r="A984" s="122"/>
      <c r="B984" s="122"/>
      <c r="C984" s="122"/>
      <c r="D984" s="122"/>
      <c r="E984" s="122"/>
      <c r="F984" s="122"/>
      <c r="G984" s="122"/>
      <c r="H984" s="122"/>
      <c r="I984" s="122"/>
      <c r="J984" s="122"/>
      <c r="K984" s="122"/>
      <c r="L984" s="122"/>
      <c r="M984" s="122"/>
      <c r="N984" s="122"/>
      <c r="O984" s="122"/>
      <c r="P984" s="122"/>
      <c r="Q984" s="122"/>
      <c r="R984" s="122"/>
      <c r="S984" s="122"/>
      <c r="T984" s="122"/>
      <c r="U984" s="122"/>
      <c r="V984" s="122"/>
      <c r="W984" s="122"/>
      <c r="X984" s="122"/>
      <c r="Y984" s="122"/>
      <c r="Z984" s="122"/>
      <c r="AA984" s="122"/>
      <c r="AB984" s="122"/>
    </row>
    <row r="985" spans="1:28" ht="15.75" customHeight="1" x14ac:dyDescent="0.2">
      <c r="A985" s="122"/>
      <c r="B985" s="122"/>
      <c r="C985" s="122"/>
      <c r="D985" s="122"/>
      <c r="E985" s="122"/>
      <c r="F985" s="122"/>
      <c r="G985" s="122"/>
      <c r="H985" s="122"/>
      <c r="I985" s="122"/>
      <c r="J985" s="122"/>
      <c r="K985" s="122"/>
      <c r="L985" s="122"/>
      <c r="M985" s="122"/>
      <c r="N985" s="122"/>
      <c r="O985" s="122"/>
      <c r="P985" s="122"/>
      <c r="Q985" s="122"/>
      <c r="R985" s="122"/>
      <c r="S985" s="122"/>
      <c r="T985" s="122"/>
      <c r="U985" s="122"/>
      <c r="V985" s="122"/>
      <c r="W985" s="122"/>
      <c r="X985" s="122"/>
      <c r="Y985" s="122"/>
      <c r="Z985" s="122"/>
      <c r="AA985" s="122"/>
      <c r="AB985" s="122"/>
    </row>
    <row r="986" spans="1:28" ht="15.75" customHeight="1" x14ac:dyDescent="0.2">
      <c r="A986" s="122"/>
      <c r="B986" s="122"/>
      <c r="C986" s="122"/>
      <c r="D986" s="122"/>
      <c r="E986" s="122"/>
      <c r="F986" s="122"/>
      <c r="G986" s="122"/>
      <c r="H986" s="122"/>
      <c r="I986" s="122"/>
      <c r="J986" s="122"/>
      <c r="K986" s="122"/>
      <c r="L986" s="122"/>
      <c r="M986" s="122"/>
      <c r="N986" s="122"/>
      <c r="O986" s="122"/>
      <c r="P986" s="122"/>
      <c r="Q986" s="122"/>
      <c r="R986" s="122"/>
      <c r="S986" s="122"/>
      <c r="T986" s="122"/>
      <c r="U986" s="122"/>
      <c r="V986" s="122"/>
      <c r="W986" s="122"/>
      <c r="X986" s="122"/>
      <c r="Y986" s="122"/>
      <c r="Z986" s="122"/>
      <c r="AA986" s="122"/>
      <c r="AB986" s="122"/>
    </row>
    <row r="987" spans="1:28" ht="15.75" customHeight="1" x14ac:dyDescent="0.2">
      <c r="A987" s="122"/>
      <c r="B987" s="122"/>
      <c r="C987" s="122"/>
      <c r="D987" s="122"/>
      <c r="E987" s="122"/>
      <c r="F987" s="122"/>
      <c r="G987" s="122"/>
      <c r="H987" s="122"/>
      <c r="I987" s="122"/>
      <c r="J987" s="122"/>
      <c r="K987" s="122"/>
      <c r="L987" s="122"/>
      <c r="M987" s="122"/>
      <c r="N987" s="122"/>
      <c r="O987" s="122"/>
      <c r="P987" s="122"/>
      <c r="Q987" s="122"/>
      <c r="R987" s="122"/>
      <c r="S987" s="122"/>
      <c r="T987" s="122"/>
      <c r="U987" s="122"/>
      <c r="V987" s="122"/>
      <c r="W987" s="122"/>
      <c r="X987" s="122"/>
      <c r="Y987" s="122"/>
      <c r="Z987" s="122"/>
      <c r="AA987" s="122"/>
      <c r="AB987" s="122"/>
    </row>
    <row r="988" spans="1:28" ht="15.75" customHeight="1" x14ac:dyDescent="0.2">
      <c r="A988" s="122"/>
      <c r="B988" s="122"/>
      <c r="C988" s="122"/>
      <c r="D988" s="122"/>
      <c r="E988" s="122"/>
      <c r="F988" s="122"/>
      <c r="G988" s="122"/>
      <c r="H988" s="122"/>
      <c r="I988" s="122"/>
      <c r="J988" s="122"/>
      <c r="K988" s="122"/>
      <c r="L988" s="122"/>
      <c r="M988" s="122"/>
      <c r="N988" s="122"/>
      <c r="O988" s="122"/>
      <c r="P988" s="122"/>
      <c r="Q988" s="122"/>
      <c r="R988" s="122"/>
      <c r="S988" s="122"/>
      <c r="T988" s="122"/>
      <c r="U988" s="122"/>
      <c r="V988" s="122"/>
      <c r="W988" s="122"/>
      <c r="X988" s="122"/>
      <c r="Y988" s="122"/>
      <c r="Z988" s="122"/>
      <c r="AA988" s="122"/>
      <c r="AB988" s="122"/>
    </row>
    <row r="989" spans="1:28" ht="15.75" customHeight="1" x14ac:dyDescent="0.2">
      <c r="A989" s="122"/>
      <c r="B989" s="122"/>
      <c r="C989" s="122"/>
      <c r="D989" s="122"/>
      <c r="E989" s="122"/>
      <c r="F989" s="122"/>
      <c r="G989" s="122"/>
      <c r="H989" s="122"/>
      <c r="I989" s="122"/>
      <c r="J989" s="122"/>
      <c r="K989" s="122"/>
      <c r="L989" s="122"/>
      <c r="M989" s="122"/>
      <c r="N989" s="122"/>
      <c r="O989" s="122"/>
      <c r="P989" s="122"/>
      <c r="Q989" s="122"/>
      <c r="R989" s="122"/>
      <c r="S989" s="122"/>
      <c r="T989" s="122"/>
      <c r="U989" s="122"/>
      <c r="V989" s="122"/>
      <c r="W989" s="122"/>
      <c r="X989" s="122"/>
      <c r="Y989" s="122"/>
      <c r="Z989" s="122"/>
      <c r="AA989" s="122"/>
      <c r="AB989" s="122"/>
    </row>
    <row r="990" spans="1:28" ht="15.75" customHeight="1" x14ac:dyDescent="0.2">
      <c r="A990" s="122"/>
      <c r="B990" s="122"/>
      <c r="C990" s="122"/>
      <c r="D990" s="122"/>
      <c r="E990" s="122"/>
      <c r="F990" s="122"/>
      <c r="G990" s="122"/>
      <c r="H990" s="122"/>
      <c r="I990" s="122"/>
      <c r="J990" s="122"/>
      <c r="K990" s="122"/>
      <c r="L990" s="122"/>
      <c r="M990" s="122"/>
      <c r="N990" s="122"/>
      <c r="O990" s="122"/>
      <c r="P990" s="122"/>
      <c r="Q990" s="122"/>
      <c r="R990" s="122"/>
      <c r="S990" s="122"/>
      <c r="T990" s="122"/>
      <c r="U990" s="122"/>
      <c r="V990" s="122"/>
      <c r="W990" s="122"/>
      <c r="X990" s="122"/>
      <c r="Y990" s="122"/>
      <c r="Z990" s="122"/>
      <c r="AA990" s="122"/>
      <c r="AB990" s="122"/>
    </row>
    <row r="991" spans="1:28" ht="15.75" customHeight="1" x14ac:dyDescent="0.2">
      <c r="A991" s="122"/>
      <c r="B991" s="122"/>
      <c r="C991" s="122"/>
      <c r="D991" s="122"/>
      <c r="E991" s="122"/>
      <c r="F991" s="122"/>
      <c r="G991" s="122"/>
      <c r="H991" s="122"/>
      <c r="I991" s="122"/>
      <c r="J991" s="122"/>
      <c r="K991" s="122"/>
      <c r="L991" s="122"/>
      <c r="M991" s="122"/>
      <c r="N991" s="122"/>
      <c r="O991" s="122"/>
      <c r="P991" s="122"/>
      <c r="Q991" s="122"/>
      <c r="R991" s="122"/>
      <c r="S991" s="122"/>
      <c r="T991" s="122"/>
      <c r="U991" s="122"/>
      <c r="V991" s="122"/>
      <c r="W991" s="122"/>
      <c r="X991" s="122"/>
      <c r="Y991" s="122"/>
      <c r="Z991" s="122"/>
      <c r="AA991" s="122"/>
      <c r="AB991" s="122"/>
    </row>
    <row r="992" spans="1:28" ht="15.75" customHeight="1" x14ac:dyDescent="0.2">
      <c r="A992" s="122"/>
      <c r="B992" s="122"/>
      <c r="C992" s="122"/>
      <c r="D992" s="122"/>
      <c r="E992" s="122"/>
      <c r="F992" s="122"/>
      <c r="G992" s="122"/>
      <c r="H992" s="122"/>
      <c r="I992" s="122"/>
      <c r="J992" s="122"/>
      <c r="K992" s="122"/>
      <c r="L992" s="122"/>
      <c r="M992" s="122"/>
      <c r="N992" s="122"/>
      <c r="O992" s="122"/>
      <c r="P992" s="122"/>
      <c r="Q992" s="122"/>
      <c r="R992" s="122"/>
      <c r="S992" s="122"/>
      <c r="T992" s="122"/>
      <c r="U992" s="122"/>
      <c r="V992" s="122"/>
      <c r="W992" s="122"/>
      <c r="X992" s="122"/>
      <c r="Y992" s="122"/>
      <c r="Z992" s="122"/>
      <c r="AA992" s="122"/>
      <c r="AB992" s="122"/>
    </row>
    <row r="993" spans="1:28" ht="15.75" customHeight="1" x14ac:dyDescent="0.2">
      <c r="A993" s="122"/>
      <c r="B993" s="122"/>
      <c r="C993" s="122"/>
      <c r="D993" s="122"/>
      <c r="E993" s="122"/>
      <c r="F993" s="122"/>
      <c r="G993" s="122"/>
      <c r="H993" s="122"/>
      <c r="I993" s="122"/>
      <c r="J993" s="122"/>
      <c r="K993" s="122"/>
      <c r="L993" s="122"/>
      <c r="M993" s="122"/>
      <c r="N993" s="122"/>
      <c r="O993" s="122"/>
      <c r="P993" s="122"/>
      <c r="Q993" s="122"/>
      <c r="R993" s="122"/>
      <c r="S993" s="122"/>
      <c r="T993" s="122"/>
      <c r="U993" s="122"/>
      <c r="V993" s="122"/>
      <c r="W993" s="122"/>
      <c r="X993" s="122"/>
      <c r="Y993" s="122"/>
      <c r="Z993" s="122"/>
      <c r="AA993" s="122"/>
      <c r="AB993" s="122"/>
    </row>
    <row r="994" spans="1:28" ht="15.75" customHeight="1" x14ac:dyDescent="0.2">
      <c r="A994" s="122"/>
      <c r="B994" s="122"/>
      <c r="C994" s="122"/>
      <c r="D994" s="122"/>
      <c r="E994" s="122"/>
      <c r="F994" s="122"/>
      <c r="G994" s="122"/>
      <c r="H994" s="122"/>
      <c r="I994" s="122"/>
      <c r="J994" s="122"/>
      <c r="K994" s="122"/>
      <c r="L994" s="122"/>
      <c r="M994" s="122"/>
      <c r="N994" s="122"/>
      <c r="O994" s="122"/>
      <c r="P994" s="122"/>
      <c r="Q994" s="122"/>
      <c r="R994" s="122"/>
      <c r="S994" s="122"/>
      <c r="T994" s="122"/>
      <c r="U994" s="122"/>
      <c r="V994" s="122"/>
      <c r="W994" s="122"/>
      <c r="X994" s="122"/>
      <c r="Y994" s="122"/>
      <c r="Z994" s="122"/>
      <c r="AA994" s="122"/>
      <c r="AB994" s="122"/>
    </row>
    <row r="995" spans="1:28" ht="15.75" customHeight="1" x14ac:dyDescent="0.2">
      <c r="A995" s="122"/>
      <c r="B995" s="122"/>
      <c r="C995" s="122"/>
      <c r="D995" s="122"/>
      <c r="E995" s="122"/>
      <c r="F995" s="122"/>
      <c r="G995" s="122"/>
      <c r="H995" s="122"/>
      <c r="I995" s="122"/>
      <c r="J995" s="122"/>
      <c r="K995" s="122"/>
      <c r="L995" s="122"/>
      <c r="M995" s="122"/>
      <c r="N995" s="122"/>
      <c r="O995" s="122"/>
      <c r="P995" s="122"/>
      <c r="Q995" s="122"/>
      <c r="R995" s="122"/>
      <c r="S995" s="122"/>
      <c r="T995" s="122"/>
      <c r="U995" s="122"/>
      <c r="V995" s="122"/>
      <c r="W995" s="122"/>
      <c r="X995" s="122"/>
      <c r="Y995" s="122"/>
      <c r="Z995" s="122"/>
      <c r="AA995" s="122"/>
      <c r="AB995" s="122"/>
    </row>
    <row r="996" spans="1:28" ht="15.75" customHeight="1" x14ac:dyDescent="0.2">
      <c r="A996" s="122"/>
      <c r="B996" s="122"/>
      <c r="C996" s="122"/>
      <c r="D996" s="122"/>
      <c r="E996" s="122"/>
      <c r="F996" s="122"/>
      <c r="G996" s="122"/>
      <c r="H996" s="122"/>
      <c r="I996" s="122"/>
      <c r="J996" s="122"/>
      <c r="K996" s="122"/>
      <c r="L996" s="122"/>
      <c r="M996" s="122"/>
      <c r="N996" s="122"/>
      <c r="O996" s="122"/>
      <c r="P996" s="122"/>
      <c r="Q996" s="122"/>
      <c r="R996" s="122"/>
      <c r="S996" s="122"/>
      <c r="T996" s="122"/>
      <c r="U996" s="122"/>
      <c r="V996" s="122"/>
      <c r="W996" s="122"/>
      <c r="X996" s="122"/>
      <c r="Y996" s="122"/>
      <c r="Z996" s="122"/>
      <c r="AA996" s="122"/>
      <c r="AB996" s="122"/>
    </row>
    <row r="997" spans="1:28" ht="15.75" customHeight="1" x14ac:dyDescent="0.2">
      <c r="A997" s="122"/>
      <c r="B997" s="122"/>
      <c r="C997" s="122"/>
      <c r="D997" s="122"/>
      <c r="E997" s="122"/>
      <c r="F997" s="122"/>
      <c r="G997" s="122"/>
      <c r="H997" s="122"/>
      <c r="I997" s="122"/>
      <c r="J997" s="122"/>
      <c r="K997" s="122"/>
      <c r="L997" s="122"/>
      <c r="M997" s="122"/>
      <c r="N997" s="122"/>
      <c r="O997" s="122"/>
      <c r="P997" s="122"/>
      <c r="Q997" s="122"/>
      <c r="R997" s="122"/>
      <c r="S997" s="122"/>
      <c r="T997" s="122"/>
      <c r="U997" s="122"/>
      <c r="V997" s="122"/>
      <c r="W997" s="122"/>
      <c r="X997" s="122"/>
      <c r="Y997" s="122"/>
      <c r="Z997" s="122"/>
      <c r="AA997" s="122"/>
      <c r="AB997" s="122"/>
    </row>
    <row r="998" spans="1:28" ht="15.75" customHeight="1" x14ac:dyDescent="0.2">
      <c r="A998" s="122"/>
      <c r="B998" s="122"/>
      <c r="C998" s="122"/>
      <c r="D998" s="122"/>
      <c r="E998" s="122"/>
      <c r="F998" s="122"/>
      <c r="G998" s="122"/>
      <c r="H998" s="122"/>
      <c r="I998" s="122"/>
      <c r="J998" s="122"/>
      <c r="K998" s="122"/>
      <c r="L998" s="122"/>
      <c r="M998" s="122"/>
      <c r="N998" s="122"/>
      <c r="O998" s="122"/>
      <c r="P998" s="122"/>
      <c r="Q998" s="122"/>
      <c r="R998" s="122"/>
      <c r="S998" s="122"/>
      <c r="T998" s="122"/>
      <c r="U998" s="122"/>
      <c r="V998" s="122"/>
      <c r="W998" s="122"/>
      <c r="X998" s="122"/>
      <c r="Y998" s="122"/>
      <c r="Z998" s="122"/>
      <c r="AA998" s="122"/>
      <c r="AB998" s="122"/>
    </row>
    <row r="999" spans="1:28" ht="15.75" customHeight="1" x14ac:dyDescent="0.2">
      <c r="A999" s="122"/>
      <c r="B999" s="122"/>
      <c r="C999" s="122"/>
      <c r="D999" s="122"/>
      <c r="E999" s="122"/>
      <c r="F999" s="122"/>
      <c r="G999" s="122"/>
      <c r="H999" s="122"/>
      <c r="I999" s="122"/>
      <c r="J999" s="122"/>
      <c r="K999" s="122"/>
      <c r="L999" s="122"/>
      <c r="M999" s="122"/>
      <c r="N999" s="122"/>
      <c r="O999" s="122"/>
      <c r="P999" s="122"/>
      <c r="Q999" s="122"/>
      <c r="R999" s="122"/>
      <c r="S999" s="122"/>
      <c r="T999" s="122"/>
      <c r="U999" s="122"/>
      <c r="V999" s="122"/>
      <c r="W999" s="122"/>
      <c r="X999" s="122"/>
      <c r="Y999" s="122"/>
      <c r="Z999" s="122"/>
      <c r="AA999" s="122"/>
      <c r="AB999" s="122"/>
    </row>
    <row r="1000" spans="1:28" ht="15.75" customHeight="1" x14ac:dyDescent="0.2">
      <c r="A1000" s="122"/>
      <c r="B1000" s="122"/>
      <c r="C1000" s="122"/>
      <c r="D1000" s="122"/>
      <c r="E1000" s="122"/>
      <c r="F1000" s="122"/>
      <c r="G1000" s="122"/>
      <c r="H1000" s="122"/>
      <c r="I1000" s="122"/>
      <c r="J1000" s="122"/>
      <c r="K1000" s="122"/>
      <c r="L1000" s="122"/>
      <c r="M1000" s="122"/>
      <c r="N1000" s="122"/>
      <c r="O1000" s="122"/>
      <c r="P1000" s="122"/>
      <c r="Q1000" s="122"/>
      <c r="R1000" s="122"/>
      <c r="S1000" s="122"/>
      <c r="T1000" s="122"/>
      <c r="U1000" s="122"/>
      <c r="V1000" s="122"/>
      <c r="W1000" s="122"/>
      <c r="X1000" s="122"/>
      <c r="Y1000" s="122"/>
      <c r="Z1000" s="122"/>
      <c r="AA1000" s="122"/>
      <c r="AB1000" s="122"/>
    </row>
    <row r="1001" spans="1:28" ht="15.75" customHeight="1" x14ac:dyDescent="0.2">
      <c r="A1001" s="122"/>
      <c r="F1001" s="122"/>
      <c r="K1001" s="122"/>
      <c r="L1001" s="122"/>
      <c r="M1001" s="122"/>
      <c r="N1001" s="122"/>
      <c r="O1001" s="122"/>
      <c r="P1001" s="122"/>
      <c r="Q1001" s="122"/>
      <c r="R1001" s="122"/>
      <c r="S1001" s="122"/>
      <c r="T1001" s="122"/>
      <c r="U1001" s="122"/>
      <c r="V1001" s="122"/>
      <c r="W1001" s="122"/>
      <c r="X1001" s="122"/>
      <c r="Y1001" s="122"/>
      <c r="Z1001" s="122"/>
      <c r="AA1001" s="122"/>
      <c r="AB1001" s="122"/>
    </row>
  </sheetData>
  <sheetProtection sheet="1" objects="1" scenarios="1" selectLockedCells="1"/>
  <mergeCells count="6">
    <mergeCell ref="B12:C12"/>
    <mergeCell ref="B2:D2"/>
    <mergeCell ref="G2:I2"/>
    <mergeCell ref="E3:E10"/>
    <mergeCell ref="J3:J6"/>
    <mergeCell ref="G8:H8"/>
  </mergeCells>
  <pageMargins left="0" right="0" top="0" bottom="0" header="0.3" footer="0.3"/>
  <pageSetup orientation="landscape" horizontalDpi="0" verticalDpi="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5B8BB-9716-4186-98B2-82923738DA8C}">
  <dimension ref="B1:G11"/>
  <sheetViews>
    <sheetView workbookViewId="0">
      <selection activeCell="C6" sqref="C6"/>
    </sheetView>
  </sheetViews>
  <sheetFormatPr defaultColWidth="9.14453125" defaultRowHeight="15" x14ac:dyDescent="0.2"/>
  <cols>
    <col min="1" max="1" width="9.14453125" style="9"/>
    <col min="2" max="2" width="24.48046875" style="9" bestFit="1" customWidth="1"/>
    <col min="3" max="3" width="8.875" style="9" bestFit="1" customWidth="1"/>
    <col min="4" max="4" width="8.609375" style="9" bestFit="1" customWidth="1"/>
    <col min="5" max="5" width="13.1796875" style="9" bestFit="1" customWidth="1"/>
    <col min="6" max="6" width="12.10546875" style="9" bestFit="1" customWidth="1"/>
    <col min="7" max="7" width="8.875" style="9" bestFit="1" customWidth="1"/>
    <col min="8" max="8" width="8.203125" style="9" bestFit="1" customWidth="1"/>
    <col min="9" max="9" width="13.1796875" style="9" bestFit="1" customWidth="1"/>
    <col min="10" max="16384" width="9.14453125" style="9"/>
  </cols>
  <sheetData>
    <row r="1" spans="2:7" ht="15.75" thickBot="1" x14ac:dyDescent="0.25"/>
    <row r="2" spans="2:7" ht="15.75" thickBot="1" x14ac:dyDescent="0.25">
      <c r="B2" s="302" t="s">
        <v>142</v>
      </c>
      <c r="C2" s="303"/>
      <c r="D2" s="303"/>
      <c r="E2" s="304"/>
    </row>
    <row r="3" spans="2:7" ht="15.75" thickBot="1" x14ac:dyDescent="0.25">
      <c r="B3" s="220"/>
      <c r="C3" s="221" t="s">
        <v>92</v>
      </c>
      <c r="D3" s="222" t="s">
        <v>96</v>
      </c>
      <c r="E3" s="12" t="s">
        <v>171</v>
      </c>
    </row>
    <row r="4" spans="2:7" ht="15.75" thickBot="1" x14ac:dyDescent="0.25">
      <c r="B4" s="12" t="s">
        <v>146</v>
      </c>
      <c r="C4" s="150">
        <v>0.25</v>
      </c>
      <c r="D4" s="218">
        <f>48*12/16*C4*1.15</f>
        <v>10.35</v>
      </c>
      <c r="E4" s="12" t="str">
        <f>ROUNDUP(((((C6*12*C4/16)*1.25))/20),0)&amp; " Boxes"</f>
        <v>5 Boxes</v>
      </c>
    </row>
    <row r="6" spans="2:7" x14ac:dyDescent="0.2">
      <c r="B6" s="9" t="s">
        <v>20</v>
      </c>
      <c r="C6" s="78">
        <v>384</v>
      </c>
    </row>
    <row r="8" spans="2:7" x14ac:dyDescent="0.2">
      <c r="C8" s="78"/>
      <c r="G8" s="78"/>
    </row>
    <row r="11" spans="2:7" x14ac:dyDescent="0.2">
      <c r="C11" s="94"/>
      <c r="G11" s="94"/>
    </row>
  </sheetData>
  <sheetProtection sheet="1" objects="1" scenarios="1" selectLockedCells="1"/>
  <mergeCells count="1">
    <mergeCell ref="B2:E2"/>
  </mergeCells>
  <pageMargins left="0" right="0" top="0" bottom="0" header="0.3" footer="0.3"/>
  <pageSetup orientation="landscape" horizontalDpi="0" verticalDpi="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1492A-2308-4BF3-8EF9-DA3DEE6A745B}">
  <dimension ref="B1:D11"/>
  <sheetViews>
    <sheetView workbookViewId="0">
      <selection activeCell="C6" sqref="C6"/>
    </sheetView>
  </sheetViews>
  <sheetFormatPr defaultColWidth="14.390625" defaultRowHeight="15" x14ac:dyDescent="0.2"/>
  <cols>
    <col min="1" max="1" width="3.765625" style="9" customWidth="1"/>
    <col min="2" max="2" width="27.7109375" style="9" bestFit="1" customWidth="1"/>
    <col min="3" max="3" width="8.875" style="9" bestFit="1" customWidth="1"/>
    <col min="4" max="4" width="17.21875" style="9" bestFit="1" customWidth="1"/>
    <col min="5" max="26" width="9.14453125" style="9" customWidth="1"/>
    <col min="27" max="16384" width="14.390625" style="9"/>
  </cols>
  <sheetData>
    <row r="1" spans="2:4" ht="15.75" thickBot="1" x14ac:dyDescent="0.25"/>
    <row r="2" spans="2:4" ht="15.75" thickBot="1" x14ac:dyDescent="0.25">
      <c r="B2" s="268" t="s">
        <v>197</v>
      </c>
      <c r="C2" s="269"/>
      <c r="D2" s="270"/>
    </row>
    <row r="3" spans="2:4" ht="15.75" thickBot="1" x14ac:dyDescent="0.25">
      <c r="B3" s="36"/>
      <c r="C3" s="37" t="s">
        <v>92</v>
      </c>
      <c r="D3" s="105" t="s">
        <v>96</v>
      </c>
    </row>
    <row r="4" spans="2:4" ht="15.75" thickBot="1" x14ac:dyDescent="0.25">
      <c r="B4" s="35" t="s">
        <v>19</v>
      </c>
      <c r="C4" s="35">
        <v>1</v>
      </c>
      <c r="D4" s="109">
        <f>48*12/16*C4*1.15</f>
        <v>41.4</v>
      </c>
    </row>
    <row r="6" spans="2:4" x14ac:dyDescent="0.2">
      <c r="B6" s="9" t="s">
        <v>20</v>
      </c>
      <c r="C6" s="78">
        <v>48</v>
      </c>
    </row>
    <row r="8" spans="2:4" x14ac:dyDescent="0.2">
      <c r="B8" s="9" t="s">
        <v>9</v>
      </c>
      <c r="C8" s="78">
        <v>0</v>
      </c>
    </row>
    <row r="10" spans="2:4" x14ac:dyDescent="0.2">
      <c r="B10" s="9" t="s">
        <v>11</v>
      </c>
    </row>
    <row r="11" spans="2:4" x14ac:dyDescent="0.2">
      <c r="B11" s="9" t="s">
        <v>19</v>
      </c>
      <c r="C11" s="94">
        <f>((C6*12*C4/16)*1.25)-C8</f>
        <v>45</v>
      </c>
      <c r="D11" s="9" t="s">
        <v>12</v>
      </c>
    </row>
  </sheetData>
  <sheetProtection sheet="1" objects="1" scenarios="1" selectLockedCells="1"/>
  <mergeCells count="1">
    <mergeCell ref="B2:D2"/>
  </mergeCells>
  <pageMargins left="0" right="0" top="0" bottom="0" header="0.3" footer="0.3"/>
  <pageSetup orientation="landscape" horizontalDpi="0" verticalDpi="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D6878-C62D-44BB-800F-B7FDA74AAC47}">
  <dimension ref="B1:E998"/>
  <sheetViews>
    <sheetView workbookViewId="0">
      <selection activeCell="C14" sqref="C14"/>
    </sheetView>
  </sheetViews>
  <sheetFormatPr defaultColWidth="14.390625" defaultRowHeight="15" x14ac:dyDescent="0.2"/>
  <cols>
    <col min="1" max="1" width="9.14453125" style="18" customWidth="1"/>
    <col min="2" max="2" width="27.7109375" style="18" bestFit="1" customWidth="1"/>
    <col min="3" max="3" width="8.875" style="18" bestFit="1" customWidth="1"/>
    <col min="4" max="4" width="9.28125" style="18" bestFit="1" customWidth="1"/>
    <col min="5" max="5" width="10.76171875" style="18" bestFit="1" customWidth="1"/>
    <col min="6" max="27" width="9.14453125" style="18" customWidth="1"/>
    <col min="28" max="16384" width="14.390625" style="18"/>
  </cols>
  <sheetData>
    <row r="1" spans="2:5" ht="15.75" thickBot="1" x14ac:dyDescent="0.25"/>
    <row r="2" spans="2:5" ht="15.75" thickBot="1" x14ac:dyDescent="0.25">
      <c r="B2" s="305" t="s">
        <v>84</v>
      </c>
      <c r="C2" s="294"/>
      <c r="D2" s="294"/>
      <c r="E2" s="38" t="s">
        <v>0</v>
      </c>
    </row>
    <row r="3" spans="2:5" ht="15.75" customHeight="1" thickBot="1" x14ac:dyDescent="0.25">
      <c r="B3" s="47"/>
      <c r="C3" s="47" t="s">
        <v>92</v>
      </c>
      <c r="D3" s="237" t="s">
        <v>132</v>
      </c>
      <c r="E3" s="296">
        <f>ROUNDUP(C16/D10,1)</f>
        <v>1</v>
      </c>
    </row>
    <row r="4" spans="2:5" ht="15" customHeight="1" x14ac:dyDescent="0.2">
      <c r="B4" s="23" t="s">
        <v>62</v>
      </c>
      <c r="C4" s="112">
        <v>0.74</v>
      </c>
      <c r="D4" s="112">
        <f t="shared" ref="D4:D9" si="0">54*12*C4/16*1.15</f>
        <v>34.465499999999999</v>
      </c>
      <c r="E4" s="297"/>
    </row>
    <row r="5" spans="2:5" ht="15" customHeight="1" x14ac:dyDescent="0.2">
      <c r="B5" s="251" t="s">
        <v>162</v>
      </c>
      <c r="C5" s="113">
        <v>0.71</v>
      </c>
      <c r="D5" s="112">
        <f t="shared" si="0"/>
        <v>33.068249999999999</v>
      </c>
      <c r="E5" s="297"/>
    </row>
    <row r="6" spans="2:5" ht="15" customHeight="1" x14ac:dyDescent="0.2">
      <c r="B6" s="45" t="s">
        <v>1</v>
      </c>
      <c r="C6" s="113">
        <v>0.71</v>
      </c>
      <c r="D6" s="112">
        <f t="shared" si="0"/>
        <v>33.068249999999999</v>
      </c>
      <c r="E6" s="297"/>
    </row>
    <row r="7" spans="2:5" ht="15" customHeight="1" x14ac:dyDescent="0.2">
      <c r="B7" s="45" t="s">
        <v>63</v>
      </c>
      <c r="C7" s="113">
        <v>0.63</v>
      </c>
      <c r="D7" s="112">
        <f t="shared" si="0"/>
        <v>29.34225</v>
      </c>
      <c r="E7" s="297"/>
    </row>
    <row r="8" spans="2:5" ht="15" customHeight="1" x14ac:dyDescent="0.2">
      <c r="B8" s="251" t="s">
        <v>129</v>
      </c>
      <c r="C8" s="113">
        <v>0.46</v>
      </c>
      <c r="D8" s="112">
        <f t="shared" si="0"/>
        <v>21.424500000000002</v>
      </c>
      <c r="E8" s="297"/>
    </row>
    <row r="9" spans="2:5" ht="15" customHeight="1" thickBot="1" x14ac:dyDescent="0.25">
      <c r="B9" s="26" t="s">
        <v>64</v>
      </c>
      <c r="C9" s="250">
        <v>0.11</v>
      </c>
      <c r="D9" s="112">
        <f t="shared" si="0"/>
        <v>5.1232499999999996</v>
      </c>
      <c r="E9" s="297"/>
    </row>
    <row r="10" spans="2:5" ht="16.5" customHeight="1" thickBot="1" x14ac:dyDescent="0.25">
      <c r="B10" s="41" t="s">
        <v>17</v>
      </c>
      <c r="C10" s="115">
        <f>SUM(C4:C9)</f>
        <v>3.36</v>
      </c>
      <c r="D10" s="115">
        <f>SUM(D4:D6,D7:D9)</f>
        <v>156.49200000000002</v>
      </c>
      <c r="E10" s="298"/>
    </row>
    <row r="11" spans="2:5" ht="15.75" customHeight="1" x14ac:dyDescent="0.2"/>
    <row r="12" spans="2:5" ht="15.75" customHeight="1" x14ac:dyDescent="0.2">
      <c r="B12" s="258" t="s">
        <v>133</v>
      </c>
      <c r="C12" s="258"/>
      <c r="D12" s="94">
        <f>ROUNDDOWN(250/D10,2)</f>
        <v>1.59</v>
      </c>
    </row>
    <row r="13" spans="2:5" ht="15.75" customHeight="1" x14ac:dyDescent="0.2"/>
    <row r="14" spans="2:5" x14ac:dyDescent="0.2">
      <c r="B14" s="18" t="s">
        <v>29</v>
      </c>
      <c r="C14" s="64">
        <v>54</v>
      </c>
    </row>
    <row r="16" spans="2:5" x14ac:dyDescent="0.2">
      <c r="B16" s="18" t="s">
        <v>8</v>
      </c>
      <c r="C16" s="99">
        <f>((C14*12*C10/16)*1.15)-C17</f>
        <v>156.49199999999996</v>
      </c>
    </row>
    <row r="17" spans="2:4" x14ac:dyDescent="0.2">
      <c r="B17" s="18" t="s">
        <v>9</v>
      </c>
      <c r="C17" s="64">
        <v>0</v>
      </c>
    </row>
    <row r="18" spans="2:4" x14ac:dyDescent="0.2">
      <c r="B18" s="18" t="s">
        <v>10</v>
      </c>
      <c r="C18" s="99">
        <f>E3*D10</f>
        <v>156.49200000000002</v>
      </c>
    </row>
    <row r="20" spans="2:4" ht="15.75" customHeight="1" x14ac:dyDescent="0.2">
      <c r="B20" s="18" t="s">
        <v>11</v>
      </c>
    </row>
    <row r="21" spans="2:4" ht="15.75" customHeight="1" x14ac:dyDescent="0.2">
      <c r="B21" s="18" t="s">
        <v>62</v>
      </c>
      <c r="C21" s="99">
        <f>D4*E3</f>
        <v>34.465499999999999</v>
      </c>
      <c r="D21" s="18" t="s">
        <v>12</v>
      </c>
    </row>
    <row r="22" spans="2:4" ht="15.75" customHeight="1" x14ac:dyDescent="0.2">
      <c r="B22" s="216" t="s">
        <v>162</v>
      </c>
      <c r="C22" s="99">
        <f>D5*E3</f>
        <v>33.068249999999999</v>
      </c>
      <c r="D22" s="18" t="s">
        <v>12</v>
      </c>
    </row>
    <row r="23" spans="2:4" ht="15.75" customHeight="1" x14ac:dyDescent="0.2">
      <c r="B23" s="18" t="s">
        <v>1</v>
      </c>
      <c r="C23" s="99">
        <f>D6*E3</f>
        <v>33.068249999999999</v>
      </c>
      <c r="D23" s="18" t="s">
        <v>12</v>
      </c>
    </row>
    <row r="24" spans="2:4" ht="15.75" customHeight="1" x14ac:dyDescent="0.2">
      <c r="B24" s="18" t="s">
        <v>63</v>
      </c>
      <c r="C24" s="99">
        <f>D7*E3</f>
        <v>29.34225</v>
      </c>
      <c r="D24" s="18" t="s">
        <v>12</v>
      </c>
    </row>
    <row r="25" spans="2:4" ht="15.75" customHeight="1" x14ac:dyDescent="0.2">
      <c r="B25" s="18" t="s">
        <v>129</v>
      </c>
      <c r="C25" s="99">
        <f>D8*E3</f>
        <v>21.424500000000002</v>
      </c>
      <c r="D25" s="18" t="s">
        <v>12</v>
      </c>
    </row>
    <row r="26" spans="2:4" ht="15.75" customHeight="1" x14ac:dyDescent="0.2">
      <c r="B26" s="18" t="s">
        <v>64</v>
      </c>
      <c r="C26" s="99">
        <f>D9*E3</f>
        <v>5.1232499999999996</v>
      </c>
      <c r="D26" s="18" t="s">
        <v>12</v>
      </c>
    </row>
    <row r="27" spans="2:4" ht="15.75" customHeight="1" x14ac:dyDescent="0.2"/>
    <row r="28" spans="2:4" ht="15.75" customHeight="1" x14ac:dyDescent="0.2"/>
    <row r="29" spans="2:4" ht="15.75" customHeight="1" x14ac:dyDescent="0.2"/>
    <row r="30" spans="2:4" ht="15.75" customHeight="1" x14ac:dyDescent="0.2"/>
    <row r="31" spans="2:4" ht="15.75" customHeight="1" x14ac:dyDescent="0.2"/>
    <row r="32" spans="2: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sheetProtection sheet="1" objects="1" scenarios="1" selectLockedCells="1"/>
  <mergeCells count="3">
    <mergeCell ref="B2:D2"/>
    <mergeCell ref="E3:E10"/>
    <mergeCell ref="B12:C12"/>
  </mergeCells>
  <pageMargins left="0" right="0" top="0" bottom="0" header="0" footer="0"/>
  <pageSetup orientation="landscape" horizontalDpi="0" verticalDpi="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48D6B-9EA4-4616-92E1-512C38A64984}">
  <dimension ref="B1:E18"/>
  <sheetViews>
    <sheetView workbookViewId="0">
      <selection activeCell="C10" sqref="C10"/>
    </sheetView>
  </sheetViews>
  <sheetFormatPr defaultColWidth="14.390625" defaultRowHeight="15" x14ac:dyDescent="0.2"/>
  <cols>
    <col min="1" max="1" width="9.14453125" style="18" customWidth="1"/>
    <col min="2" max="2" width="27.7109375" style="18" bestFit="1" customWidth="1"/>
    <col min="3" max="3" width="8.875" style="18" bestFit="1" customWidth="1"/>
    <col min="4" max="4" width="9.28125" style="18" bestFit="1" customWidth="1"/>
    <col min="5" max="5" width="10.76171875" style="18" bestFit="1" customWidth="1"/>
    <col min="6" max="27" width="9.14453125" style="18" customWidth="1"/>
    <col min="28" max="16384" width="14.390625" style="18"/>
  </cols>
  <sheetData>
    <row r="1" spans="2:5" ht="15.75" thickBot="1" x14ac:dyDescent="0.25"/>
    <row r="2" spans="2:5" ht="15.75" thickBot="1" x14ac:dyDescent="0.25">
      <c r="B2" s="299" t="s">
        <v>122</v>
      </c>
      <c r="C2" s="300"/>
      <c r="D2" s="301"/>
      <c r="E2" s="38" t="s">
        <v>0</v>
      </c>
    </row>
    <row r="3" spans="2:5" ht="15.75" thickBot="1" x14ac:dyDescent="0.25">
      <c r="B3" s="43"/>
      <c r="C3" s="57" t="s">
        <v>92</v>
      </c>
      <c r="D3" s="217" t="s">
        <v>132</v>
      </c>
      <c r="E3" s="274">
        <f>ROUNDUP(C12/D6,1)</f>
        <v>1</v>
      </c>
    </row>
    <row r="4" spans="2:5" x14ac:dyDescent="0.2">
      <c r="B4" s="245" t="s">
        <v>182</v>
      </c>
      <c r="C4" s="168">
        <v>1.25</v>
      </c>
      <c r="D4" s="168">
        <f>54*12*C4/16*1.15</f>
        <v>58.218749999999993</v>
      </c>
      <c r="E4" s="275"/>
    </row>
    <row r="5" spans="2:5" ht="42" thickBot="1" x14ac:dyDescent="0.25">
      <c r="B5" s="246" t="s">
        <v>178</v>
      </c>
      <c r="C5" s="170">
        <v>0.5</v>
      </c>
      <c r="D5" s="170">
        <f>54*12*C5/16*1.15</f>
        <v>23.287499999999998</v>
      </c>
      <c r="E5" s="275"/>
    </row>
    <row r="6" spans="2:5" ht="15.75" thickBot="1" x14ac:dyDescent="0.25">
      <c r="B6" s="19" t="s">
        <v>17</v>
      </c>
      <c r="C6" s="171">
        <f>SUM(C4:C5)</f>
        <v>1.75</v>
      </c>
      <c r="D6" s="171">
        <f>SUM(D4:D5)</f>
        <v>81.506249999999994</v>
      </c>
      <c r="E6" s="276"/>
    </row>
    <row r="8" spans="2:5" x14ac:dyDescent="0.2">
      <c r="B8" s="258" t="s">
        <v>133</v>
      </c>
      <c r="C8" s="258"/>
      <c r="D8" s="94">
        <f>ROUNDDOWN(250/D6,2)</f>
        <v>3.06</v>
      </c>
    </row>
    <row r="10" spans="2:5" x14ac:dyDescent="0.2">
      <c r="B10" s="18" t="s">
        <v>29</v>
      </c>
      <c r="C10" s="64">
        <v>54</v>
      </c>
    </row>
    <row r="12" spans="2:5" x14ac:dyDescent="0.2">
      <c r="B12" s="18" t="s">
        <v>8</v>
      </c>
      <c r="C12" s="99">
        <f>((C10*12*C6/16)*1.15)-C13</f>
        <v>81.506249999999994</v>
      </c>
    </row>
    <row r="13" spans="2:5" x14ac:dyDescent="0.2">
      <c r="B13" s="18" t="s">
        <v>9</v>
      </c>
      <c r="C13" s="64">
        <v>0</v>
      </c>
    </row>
    <row r="14" spans="2:5" x14ac:dyDescent="0.2">
      <c r="B14" s="18" t="s">
        <v>10</v>
      </c>
      <c r="C14" s="99">
        <f>E3*D6</f>
        <v>81.506249999999994</v>
      </c>
    </row>
    <row r="16" spans="2:5" x14ac:dyDescent="0.2">
      <c r="B16" s="18" t="s">
        <v>11</v>
      </c>
    </row>
    <row r="17" spans="2:4" x14ac:dyDescent="0.2">
      <c r="B17" s="216" t="s">
        <v>182</v>
      </c>
      <c r="C17" s="99">
        <f>D4*E3</f>
        <v>58.218749999999993</v>
      </c>
      <c r="D17" s="18" t="s">
        <v>12</v>
      </c>
    </row>
    <row r="18" spans="2:4" ht="41.25" x14ac:dyDescent="0.2">
      <c r="B18" s="239" t="s">
        <v>178</v>
      </c>
      <c r="C18" s="99">
        <f>D5*E3</f>
        <v>23.287499999999998</v>
      </c>
      <c r="D18" s="18" t="s">
        <v>12</v>
      </c>
    </row>
  </sheetData>
  <sheetProtection sheet="1" objects="1" scenarios="1" selectLockedCells="1"/>
  <mergeCells count="3">
    <mergeCell ref="B2:D2"/>
    <mergeCell ref="E3:E6"/>
    <mergeCell ref="B8:C8"/>
  </mergeCells>
  <pageMargins left="0" right="0" top="0" bottom="0" header="0" footer="0"/>
  <pageSetup orientation="landscape" horizontalDpi="0" verticalDpi="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8FC98-0658-47F4-9D52-0009E0B285EC}">
  <dimension ref="B1:E20"/>
  <sheetViews>
    <sheetView workbookViewId="0">
      <selection activeCell="C11" sqref="C11"/>
    </sheetView>
  </sheetViews>
  <sheetFormatPr defaultColWidth="14.390625" defaultRowHeight="15" x14ac:dyDescent="0.2"/>
  <cols>
    <col min="1" max="1" width="9.14453125" style="18" customWidth="1"/>
    <col min="2" max="2" width="27.7109375" style="18" bestFit="1" customWidth="1"/>
    <col min="3" max="4" width="9.01171875" style="18" bestFit="1" customWidth="1"/>
    <col min="5" max="5" width="10.76171875" style="18" bestFit="1" customWidth="1"/>
    <col min="6" max="27" width="9.14453125" style="18" customWidth="1"/>
    <col min="28" max="16384" width="14.390625" style="18"/>
  </cols>
  <sheetData>
    <row r="1" spans="2:5" ht="15.75" thickBot="1" x14ac:dyDescent="0.25"/>
    <row r="2" spans="2:5" ht="15.75" thickBot="1" x14ac:dyDescent="0.25">
      <c r="B2" s="305" t="s">
        <v>82</v>
      </c>
      <c r="C2" s="294"/>
      <c r="D2" s="295"/>
      <c r="E2" s="47" t="s">
        <v>0</v>
      </c>
    </row>
    <row r="3" spans="2:5" ht="15.75" thickBot="1" x14ac:dyDescent="0.25">
      <c r="B3" s="47"/>
      <c r="C3" s="47" t="s">
        <v>96</v>
      </c>
      <c r="D3" s="237" t="s">
        <v>132</v>
      </c>
      <c r="E3" s="296">
        <f>ROUNDUP(C13/D7,1)</f>
        <v>1</v>
      </c>
    </row>
    <row r="4" spans="2:5" x14ac:dyDescent="0.2">
      <c r="B4" s="252" t="s">
        <v>162</v>
      </c>
      <c r="C4" s="120">
        <v>1</v>
      </c>
      <c r="D4" s="120">
        <f>54*12*C4/16*1.15</f>
        <v>46.574999999999996</v>
      </c>
      <c r="E4" s="297"/>
    </row>
    <row r="5" spans="2:5" ht="41.25" x14ac:dyDescent="0.2">
      <c r="B5" s="238" t="s">
        <v>178</v>
      </c>
      <c r="C5" s="113">
        <v>0.7</v>
      </c>
      <c r="D5" s="113">
        <f>54*12*C5/16*1.15</f>
        <v>32.602499999999992</v>
      </c>
      <c r="E5" s="297"/>
    </row>
    <row r="6" spans="2:5" ht="15.75" thickBot="1" x14ac:dyDescent="0.25">
      <c r="B6" s="52" t="s">
        <v>32</v>
      </c>
      <c r="C6" s="114">
        <v>0.15</v>
      </c>
      <c r="D6" s="114">
        <f>54*12*C6/16*1.15</f>
        <v>6.9862500000000001</v>
      </c>
      <c r="E6" s="297"/>
    </row>
    <row r="7" spans="2:5" ht="15.75" thickBot="1" x14ac:dyDescent="0.25">
      <c r="B7" s="41" t="s">
        <v>17</v>
      </c>
      <c r="C7" s="121">
        <f>SUM(C4:C6)</f>
        <v>1.8499999999999999</v>
      </c>
      <c r="D7" s="121">
        <f>SUM(D4:D6)</f>
        <v>86.163749999999979</v>
      </c>
      <c r="E7" s="298"/>
    </row>
    <row r="9" spans="2:5" x14ac:dyDescent="0.2">
      <c r="B9" s="258" t="s">
        <v>133</v>
      </c>
      <c r="C9" s="258"/>
      <c r="D9" s="94">
        <f>ROUNDDOWN(250/D7,2)</f>
        <v>2.9</v>
      </c>
    </row>
    <row r="11" spans="2:5" x14ac:dyDescent="0.2">
      <c r="B11" s="18" t="s">
        <v>29</v>
      </c>
      <c r="C11" s="64">
        <v>54</v>
      </c>
    </row>
    <row r="13" spans="2:5" x14ac:dyDescent="0.2">
      <c r="B13" s="18" t="s">
        <v>8</v>
      </c>
      <c r="C13" s="99">
        <f>((C11*12*C7/16)*1.15)-C14</f>
        <v>86.163749999999993</v>
      </c>
    </row>
    <row r="14" spans="2:5" x14ac:dyDescent="0.2">
      <c r="B14" s="18" t="s">
        <v>9</v>
      </c>
      <c r="C14" s="64">
        <v>0</v>
      </c>
    </row>
    <row r="15" spans="2:5" x14ac:dyDescent="0.2">
      <c r="B15" s="18" t="s">
        <v>83</v>
      </c>
      <c r="C15" s="99">
        <f>E3*D7</f>
        <v>86.163749999999979</v>
      </c>
    </row>
    <row r="17" spans="2:4" x14ac:dyDescent="0.2">
      <c r="B17" s="18" t="s">
        <v>11</v>
      </c>
    </row>
    <row r="18" spans="2:4" x14ac:dyDescent="0.2">
      <c r="B18" s="216" t="s">
        <v>162</v>
      </c>
      <c r="C18" s="99">
        <f>D4*E3</f>
        <v>46.574999999999996</v>
      </c>
      <c r="D18" s="18" t="s">
        <v>12</v>
      </c>
    </row>
    <row r="19" spans="2:4" ht="41.25" x14ac:dyDescent="0.2">
      <c r="B19" s="239" t="s">
        <v>178</v>
      </c>
      <c r="C19" s="99">
        <f>D5*E3</f>
        <v>32.602499999999992</v>
      </c>
      <c r="D19" s="18" t="s">
        <v>12</v>
      </c>
    </row>
    <row r="20" spans="2:4" x14ac:dyDescent="0.2">
      <c r="B20" s="18" t="s">
        <v>32</v>
      </c>
      <c r="C20" s="99">
        <f>D6*E3</f>
        <v>6.9862500000000001</v>
      </c>
      <c r="D20" s="18" t="s">
        <v>12</v>
      </c>
    </row>
  </sheetData>
  <sheetProtection sheet="1" objects="1" scenarios="1" selectLockedCells="1"/>
  <mergeCells count="3">
    <mergeCell ref="B2:D2"/>
    <mergeCell ref="E3:E7"/>
    <mergeCell ref="B9:C9"/>
  </mergeCells>
  <pageMargins left="0" right="0" top="0" bottom="0" header="0" footer="0"/>
  <pageSetup orientation="landscape" horizontalDpi="0" verticalDpi="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2C1B5-115F-4C5F-9971-7314D84805EA}">
  <dimension ref="B1:J20"/>
  <sheetViews>
    <sheetView workbookViewId="0">
      <selection activeCell="C10" sqref="C10"/>
    </sheetView>
  </sheetViews>
  <sheetFormatPr defaultColWidth="14.390625" defaultRowHeight="15" x14ac:dyDescent="0.2"/>
  <cols>
    <col min="1" max="1" width="9.14453125" style="18" customWidth="1"/>
    <col min="2" max="2" width="27.7109375" style="18" bestFit="1" customWidth="1"/>
    <col min="3" max="3" width="9.01171875" style="18" bestFit="1" customWidth="1"/>
    <col min="4" max="4" width="9.953125" style="18" bestFit="1" customWidth="1"/>
    <col min="5" max="5" width="10.76171875" style="18" bestFit="1" customWidth="1"/>
    <col min="6" max="6" width="9.14453125" style="18" customWidth="1"/>
    <col min="7" max="7" width="21.5234375" style="18" bestFit="1" customWidth="1"/>
    <col min="8" max="8" width="8.875" style="18" bestFit="1" customWidth="1"/>
    <col min="9" max="9" width="9.28125" style="18" bestFit="1" customWidth="1"/>
    <col min="10" max="10" width="13.1796875" style="18" bestFit="1" customWidth="1"/>
    <col min="11" max="28" width="9.14453125" style="18" customWidth="1"/>
    <col min="29" max="16384" width="14.390625" style="18"/>
  </cols>
  <sheetData>
    <row r="1" spans="2:10" ht="15.75" thickBot="1" x14ac:dyDescent="0.25"/>
    <row r="2" spans="2:10" ht="15.75" thickBot="1" x14ac:dyDescent="0.25">
      <c r="B2" s="299" t="s">
        <v>37</v>
      </c>
      <c r="C2" s="300"/>
      <c r="D2" s="301"/>
      <c r="E2" s="47" t="s">
        <v>0</v>
      </c>
      <c r="G2" s="299" t="s">
        <v>38</v>
      </c>
      <c r="H2" s="300"/>
      <c r="I2" s="301"/>
      <c r="J2" s="47" t="s">
        <v>0</v>
      </c>
    </row>
    <row r="3" spans="2:10" ht="15.75" thickBot="1" x14ac:dyDescent="0.25">
      <c r="B3" s="43"/>
      <c r="C3" s="57" t="s">
        <v>92</v>
      </c>
      <c r="D3" s="240" t="s">
        <v>132</v>
      </c>
      <c r="E3" s="274">
        <f>ROUNDUP(C12/D6,1)</f>
        <v>1</v>
      </c>
      <c r="G3" s="181"/>
      <c r="H3" s="55" t="s">
        <v>92</v>
      </c>
      <c r="I3" s="242" t="s">
        <v>132</v>
      </c>
      <c r="J3" s="274">
        <f>ROUNDUP(H12/I6,1)</f>
        <v>1.5</v>
      </c>
    </row>
    <row r="4" spans="2:10" x14ac:dyDescent="0.2">
      <c r="B4" s="24" t="s">
        <v>39</v>
      </c>
      <c r="C4" s="168">
        <v>7.0000000000000007E-2</v>
      </c>
      <c r="D4" s="185">
        <f>54*12*C4/16*1.15</f>
        <v>3.2602500000000001</v>
      </c>
      <c r="E4" s="275"/>
      <c r="G4" s="25" t="s">
        <v>36</v>
      </c>
      <c r="H4" s="96">
        <v>0.25</v>
      </c>
      <c r="I4" s="96">
        <f>54*12*H4/16*1.15</f>
        <v>11.643749999999999</v>
      </c>
      <c r="J4" s="275"/>
    </row>
    <row r="5" spans="2:10" ht="42" thickBot="1" x14ac:dyDescent="0.25">
      <c r="B5" s="241" t="s">
        <v>179</v>
      </c>
      <c r="C5" s="183">
        <v>2.4300000000000002</v>
      </c>
      <c r="D5" s="186">
        <f>54*12*C5/16*1.15</f>
        <v>113.17725</v>
      </c>
      <c r="E5" s="275"/>
      <c r="G5" s="244" t="s">
        <v>180</v>
      </c>
      <c r="H5" s="97">
        <v>0.5</v>
      </c>
      <c r="I5" s="97">
        <f>54*12*H5/16*1.15</f>
        <v>23.287499999999998</v>
      </c>
      <c r="J5" s="275"/>
    </row>
    <row r="6" spans="2:10" ht="15.75" thickBot="1" x14ac:dyDescent="0.25">
      <c r="B6" s="46" t="s">
        <v>2</v>
      </c>
      <c r="C6" s="184">
        <f>SUM(C4:C5)</f>
        <v>2.5</v>
      </c>
      <c r="D6" s="187">
        <f>SUM(D4:D5)</f>
        <v>116.4375</v>
      </c>
      <c r="E6" s="276"/>
      <c r="G6" s="42" t="s">
        <v>17</v>
      </c>
      <c r="H6" s="188">
        <f>SUM(H4:H5)</f>
        <v>0.75</v>
      </c>
      <c r="I6" s="243">
        <f>SUM(I5:I5)</f>
        <v>23.287499999999998</v>
      </c>
      <c r="J6" s="276"/>
    </row>
    <row r="8" spans="2:10" x14ac:dyDescent="0.2">
      <c r="B8" s="258" t="s">
        <v>133</v>
      </c>
      <c r="C8" s="258"/>
      <c r="D8" s="94">
        <f>ROUNDDOWN(250/D6,2)</f>
        <v>2.14</v>
      </c>
      <c r="G8" s="258" t="s">
        <v>133</v>
      </c>
      <c r="H8" s="258"/>
      <c r="I8" s="94">
        <f>ROUNDDOWN(250/I6,2)</f>
        <v>10.73</v>
      </c>
    </row>
    <row r="10" spans="2:10" x14ac:dyDescent="0.2">
      <c r="B10" s="18" t="s">
        <v>29</v>
      </c>
      <c r="C10" s="64">
        <v>54</v>
      </c>
    </row>
    <row r="12" spans="2:10" x14ac:dyDescent="0.2">
      <c r="B12" s="18" t="s">
        <v>8</v>
      </c>
      <c r="C12" s="99">
        <f>((C10*12*C6/16)*1.15)-C13</f>
        <v>116.43749999999999</v>
      </c>
      <c r="G12" s="18" t="s">
        <v>40</v>
      </c>
      <c r="H12" s="99">
        <f>((C10*12*H6/16)*1.15)-H13</f>
        <v>34.931249999999999</v>
      </c>
    </row>
    <row r="13" spans="2:10" x14ac:dyDescent="0.2">
      <c r="B13" s="18" t="s">
        <v>9</v>
      </c>
      <c r="C13" s="64">
        <v>0</v>
      </c>
      <c r="G13" s="18" t="s">
        <v>9</v>
      </c>
      <c r="H13" s="64">
        <v>0</v>
      </c>
    </row>
    <row r="14" spans="2:10" x14ac:dyDescent="0.2">
      <c r="B14" s="18" t="s">
        <v>10</v>
      </c>
      <c r="C14" s="99">
        <f>E3*D6</f>
        <v>116.4375</v>
      </c>
      <c r="G14" s="18" t="s">
        <v>41</v>
      </c>
      <c r="H14" s="99">
        <f>J3*I6</f>
        <v>34.931249999999999</v>
      </c>
    </row>
    <row r="15" spans="2:10" ht="15.75" thickBot="1" x14ac:dyDescent="0.25"/>
    <row r="16" spans="2:10" ht="15.75" thickBot="1" x14ac:dyDescent="0.25">
      <c r="B16" s="18" t="s">
        <v>11</v>
      </c>
      <c r="G16" s="302" t="s">
        <v>142</v>
      </c>
      <c r="H16" s="303"/>
      <c r="I16" s="303"/>
      <c r="J16" s="304"/>
    </row>
    <row r="17" spans="2:10" ht="15.75" thickBot="1" x14ac:dyDescent="0.25">
      <c r="B17" s="18" t="s">
        <v>36</v>
      </c>
      <c r="C17" s="99">
        <f>J3*I4</f>
        <v>17.465624999999999</v>
      </c>
      <c r="D17" s="18" t="s">
        <v>12</v>
      </c>
      <c r="G17" s="220"/>
      <c r="H17" s="223" t="s">
        <v>92</v>
      </c>
      <c r="I17" s="222" t="s">
        <v>96</v>
      </c>
      <c r="J17" s="12" t="s">
        <v>171</v>
      </c>
    </row>
    <row r="18" spans="2:10" ht="15.75" thickBot="1" x14ac:dyDescent="0.25">
      <c r="B18" s="18" t="s">
        <v>39</v>
      </c>
      <c r="C18" s="99">
        <f>D4*E3</f>
        <v>3.2602500000000001</v>
      </c>
      <c r="D18" s="18" t="s">
        <v>12</v>
      </c>
      <c r="G18" s="35" t="s">
        <v>141</v>
      </c>
      <c r="H18" s="109">
        <v>3</v>
      </c>
      <c r="I18" s="218">
        <f>54*12/16*H18*1.25</f>
        <v>151.875</v>
      </c>
      <c r="J18" s="12" t="str">
        <f>ROUNDUP(((((C10*12*H18/16)*1.25))/82),0)&amp; " Buckets"</f>
        <v>2 Buckets</v>
      </c>
    </row>
    <row r="19" spans="2:10" ht="41.25" x14ac:dyDescent="0.2">
      <c r="B19" s="239" t="s">
        <v>180</v>
      </c>
      <c r="C19" s="99">
        <f>J3*I5</f>
        <v>34.931249999999999</v>
      </c>
      <c r="D19" s="18" t="s">
        <v>12</v>
      </c>
    </row>
    <row r="20" spans="2:10" ht="41.25" x14ac:dyDescent="0.2">
      <c r="B20" s="239" t="s">
        <v>179</v>
      </c>
      <c r="C20" s="99">
        <f>D5*E3</f>
        <v>113.17725</v>
      </c>
      <c r="D20" s="18" t="s">
        <v>12</v>
      </c>
    </row>
  </sheetData>
  <sheetProtection sheet="1" objects="1" scenarios="1" selectLockedCells="1"/>
  <mergeCells count="7">
    <mergeCell ref="G16:J16"/>
    <mergeCell ref="B2:D2"/>
    <mergeCell ref="G2:I2"/>
    <mergeCell ref="E3:E6"/>
    <mergeCell ref="J3:J6"/>
    <mergeCell ref="B8:C8"/>
    <mergeCell ref="G8:H8"/>
  </mergeCells>
  <pageMargins left="0" right="0" top="0" bottom="0" header="0" footer="0"/>
  <pageSetup orientation="landscape" horizontalDpi="0" verticalDpi="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5DB34-D13B-430C-9E28-BE8C6EC61F8C}">
  <dimension ref="B1:J27"/>
  <sheetViews>
    <sheetView workbookViewId="0">
      <selection activeCell="C12" sqref="C12"/>
    </sheetView>
  </sheetViews>
  <sheetFormatPr defaultColWidth="9.14453125" defaultRowHeight="15" x14ac:dyDescent="0.2"/>
  <cols>
    <col min="1" max="1" width="9.14453125" style="18"/>
    <col min="2" max="2" width="23.67578125" style="18" bestFit="1" customWidth="1"/>
    <col min="3" max="3" width="8.875" style="18" bestFit="1" customWidth="1"/>
    <col min="4" max="4" width="9.28125" style="18" bestFit="1" customWidth="1"/>
    <col min="5" max="5" width="10.76171875" style="18" bestFit="1" customWidth="1"/>
    <col min="6" max="6" width="9.14453125" style="18"/>
    <col min="7" max="7" width="17.484375" style="18" bestFit="1" customWidth="1"/>
    <col min="8" max="8" width="8.875" style="18" bestFit="1" customWidth="1"/>
    <col min="9" max="9" width="8.203125" style="18" bestFit="1" customWidth="1"/>
    <col min="10" max="10" width="13.1796875" style="18" bestFit="1" customWidth="1"/>
    <col min="11" max="16384" width="9.14453125" style="18"/>
  </cols>
  <sheetData>
    <row r="1" spans="2:10" ht="15.75" thickBot="1" x14ac:dyDescent="0.25"/>
    <row r="2" spans="2:10" ht="15.75" thickBot="1" x14ac:dyDescent="0.25">
      <c r="B2" s="337" t="s">
        <v>188</v>
      </c>
      <c r="C2" s="294"/>
      <c r="D2" s="295"/>
      <c r="E2" s="38" t="s">
        <v>0</v>
      </c>
      <c r="G2" s="284" t="s">
        <v>46</v>
      </c>
      <c r="H2" s="320"/>
      <c r="I2" s="320"/>
      <c r="J2" s="321"/>
    </row>
    <row r="3" spans="2:10" ht="15.75" thickBot="1" x14ac:dyDescent="0.25">
      <c r="B3" s="38"/>
      <c r="C3" s="38" t="s">
        <v>92</v>
      </c>
      <c r="D3" s="155" t="s">
        <v>132</v>
      </c>
      <c r="E3" s="296">
        <f>ROUNDUP(C14/D8,1)</f>
        <v>1</v>
      </c>
      <c r="G3" s="220"/>
      <c r="H3" s="221" t="s">
        <v>92</v>
      </c>
      <c r="I3" s="222" t="s">
        <v>96</v>
      </c>
      <c r="J3" s="217" t="s">
        <v>171</v>
      </c>
    </row>
    <row r="4" spans="2:10" ht="15.75" thickBot="1" x14ac:dyDescent="0.25">
      <c r="B4" s="253" t="s">
        <v>189</v>
      </c>
      <c r="C4" s="194">
        <v>0.7</v>
      </c>
      <c r="D4" s="120">
        <f>54*12*C4/16*1.15</f>
        <v>32.602499999999992</v>
      </c>
      <c r="E4" s="297"/>
      <c r="G4" s="35" t="s">
        <v>173</v>
      </c>
      <c r="H4" s="109">
        <v>0.75</v>
      </c>
      <c r="I4" s="218">
        <f>48*12/16*H4*1.15</f>
        <v>31.049999999999997</v>
      </c>
      <c r="J4" s="149">
        <f>(C12*12*H4/16*1.25)+5</f>
        <v>42.96875</v>
      </c>
    </row>
    <row r="5" spans="2:10" x14ac:dyDescent="0.2">
      <c r="B5" s="44" t="s">
        <v>114</v>
      </c>
      <c r="C5" s="146">
        <v>0.6</v>
      </c>
      <c r="D5" s="113">
        <f>54*12*C5/16*1.15</f>
        <v>27.945</v>
      </c>
      <c r="E5" s="297"/>
    </row>
    <row r="6" spans="2:10" x14ac:dyDescent="0.2">
      <c r="B6" s="44" t="s">
        <v>44</v>
      </c>
      <c r="C6" s="146"/>
      <c r="D6" s="113">
        <v>5</v>
      </c>
      <c r="E6" s="297"/>
    </row>
    <row r="7" spans="2:10" ht="15.75" thickBot="1" x14ac:dyDescent="0.25">
      <c r="B7" s="51" t="s">
        <v>36</v>
      </c>
      <c r="C7" s="195">
        <v>0.2</v>
      </c>
      <c r="D7" s="114">
        <f>54*12*C7/16*1.15</f>
        <v>9.3149999999999995</v>
      </c>
      <c r="E7" s="297"/>
    </row>
    <row r="8" spans="2:10" ht="15.75" thickBot="1" x14ac:dyDescent="0.25">
      <c r="B8" s="54" t="s">
        <v>17</v>
      </c>
      <c r="C8" s="165">
        <f>SUM(C4:C7)</f>
        <v>1.4999999999999998</v>
      </c>
      <c r="D8" s="165">
        <f>SUM(D4,D5,D7)</f>
        <v>69.862499999999997</v>
      </c>
      <c r="E8" s="298"/>
    </row>
    <row r="10" spans="2:10" x14ac:dyDescent="0.2">
      <c r="B10" s="258" t="s">
        <v>133</v>
      </c>
      <c r="C10" s="258"/>
      <c r="D10" s="94">
        <f>ROUNDDOWN(250/D8,2)</f>
        <v>3.57</v>
      </c>
    </row>
    <row r="12" spans="2:10" x14ac:dyDescent="0.2">
      <c r="B12" s="18" t="s">
        <v>29</v>
      </c>
      <c r="C12" s="64">
        <v>54</v>
      </c>
    </row>
    <row r="14" spans="2:10" x14ac:dyDescent="0.2">
      <c r="B14" s="18" t="s">
        <v>45</v>
      </c>
      <c r="C14" s="99">
        <f>((C12*12*C8/16)*1.15)-C15</f>
        <v>69.862499999999983</v>
      </c>
    </row>
    <row r="15" spans="2:10" x14ac:dyDescent="0.2">
      <c r="B15" s="18" t="s">
        <v>9</v>
      </c>
      <c r="C15" s="64">
        <v>0</v>
      </c>
    </row>
    <row r="16" spans="2:10" x14ac:dyDescent="0.2">
      <c r="B16" s="18" t="s">
        <v>41</v>
      </c>
      <c r="C16" s="99">
        <f>E3*D8</f>
        <v>69.862499999999997</v>
      </c>
    </row>
    <row r="18" spans="2:5" x14ac:dyDescent="0.2">
      <c r="B18" s="18" t="s">
        <v>11</v>
      </c>
    </row>
    <row r="19" spans="2:5" x14ac:dyDescent="0.2">
      <c r="B19" s="216" t="s">
        <v>190</v>
      </c>
      <c r="C19" s="99">
        <f>D4*E3</f>
        <v>32.602499999999992</v>
      </c>
      <c r="D19" s="18" t="s">
        <v>12</v>
      </c>
    </row>
    <row r="20" spans="2:5" x14ac:dyDescent="0.2">
      <c r="B20" s="18" t="s">
        <v>114</v>
      </c>
      <c r="C20" s="99">
        <f>D5*E3</f>
        <v>27.945</v>
      </c>
      <c r="D20" s="18" t="s">
        <v>12</v>
      </c>
    </row>
    <row r="21" spans="2:5" x14ac:dyDescent="0.2">
      <c r="B21" s="18" t="s">
        <v>36</v>
      </c>
      <c r="C21" s="99">
        <f>D7*E3</f>
        <v>9.3149999999999995</v>
      </c>
      <c r="D21" s="18" t="s">
        <v>12</v>
      </c>
    </row>
    <row r="22" spans="2:5" x14ac:dyDescent="0.2">
      <c r="B22" s="18" t="s">
        <v>44</v>
      </c>
      <c r="C22" s="99">
        <f>E3*D6</f>
        <v>5</v>
      </c>
      <c r="D22" s="18" t="s">
        <v>12</v>
      </c>
    </row>
    <row r="24" spans="2:5" x14ac:dyDescent="0.2">
      <c r="B24" s="216" t="s">
        <v>46</v>
      </c>
      <c r="D24" s="216" t="s">
        <v>174</v>
      </c>
    </row>
    <row r="25" spans="2:5" x14ac:dyDescent="0.2">
      <c r="B25" s="18" t="s">
        <v>117</v>
      </c>
      <c r="C25" s="99">
        <f>J4/3.5*6</f>
        <v>73.660714285714278</v>
      </c>
      <c r="D25" s="99">
        <f>C25/6</f>
        <v>12.276785714285714</v>
      </c>
      <c r="E25" s="18" t="s">
        <v>118</v>
      </c>
    </row>
    <row r="27" spans="2:5" x14ac:dyDescent="0.2">
      <c r="B27" s="319" t="s">
        <v>116</v>
      </c>
      <c r="C27" s="319"/>
      <c r="D27" s="319"/>
      <c r="E27" s="319"/>
    </row>
  </sheetData>
  <sheetProtection sheet="1" objects="1" scenarios="1" selectLockedCells="1"/>
  <mergeCells count="5">
    <mergeCell ref="B27:E27"/>
    <mergeCell ref="B2:D2"/>
    <mergeCell ref="E3:E8"/>
    <mergeCell ref="G2:J2"/>
    <mergeCell ref="B10:C10"/>
  </mergeCells>
  <pageMargins left="0" right="0" top="0" bottom="0" header="0" footer="0"/>
  <pageSetup orientation="landscape" horizontalDpi="0" verticalDpi="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B1:E18"/>
  <sheetViews>
    <sheetView workbookViewId="0">
      <selection activeCell="C10" sqref="C10"/>
    </sheetView>
  </sheetViews>
  <sheetFormatPr defaultColWidth="14.390625" defaultRowHeight="15" x14ac:dyDescent="0.2"/>
  <cols>
    <col min="1" max="1" width="9.14453125" style="18" customWidth="1"/>
    <col min="2" max="2" width="27.7109375" style="18" bestFit="1" customWidth="1"/>
    <col min="3" max="3" width="8.875" style="18" bestFit="1" customWidth="1"/>
    <col min="4" max="4" width="9.28125" style="18" bestFit="1" customWidth="1"/>
    <col min="5" max="5" width="10.76171875" style="18" bestFit="1" customWidth="1"/>
    <col min="6" max="27" width="9.14453125" style="18" customWidth="1"/>
    <col min="28" max="16384" width="14.390625" style="18"/>
  </cols>
  <sheetData>
    <row r="1" spans="2:5" ht="15.75" thickBot="1" x14ac:dyDescent="0.25"/>
    <row r="2" spans="2:5" ht="15.75" thickBot="1" x14ac:dyDescent="0.25">
      <c r="B2" s="299" t="s">
        <v>88</v>
      </c>
      <c r="C2" s="300"/>
      <c r="D2" s="301"/>
      <c r="E2" s="38" t="s">
        <v>0</v>
      </c>
    </row>
    <row r="3" spans="2:5" ht="15.75" thickBot="1" x14ac:dyDescent="0.25">
      <c r="B3" s="21"/>
      <c r="C3" s="77" t="s">
        <v>92</v>
      </c>
      <c r="D3" s="234" t="s">
        <v>132</v>
      </c>
      <c r="E3" s="274">
        <f>ROUNDUP(C12/D6,1)</f>
        <v>1</v>
      </c>
    </row>
    <row r="4" spans="2:5" ht="41.25" x14ac:dyDescent="0.2">
      <c r="B4" s="230" t="s">
        <v>191</v>
      </c>
      <c r="C4" s="112">
        <v>0.7</v>
      </c>
      <c r="D4" s="112">
        <f>48*12*C4/16*1.15</f>
        <v>28.979999999999997</v>
      </c>
      <c r="E4" s="297"/>
    </row>
    <row r="5" spans="2:5" ht="15.75" thickBot="1" x14ac:dyDescent="0.25">
      <c r="B5" s="26" t="s">
        <v>32</v>
      </c>
      <c r="C5" s="250">
        <v>0.15</v>
      </c>
      <c r="D5" s="250">
        <f>48*12*C5/16*1.15</f>
        <v>6.2099999999999991</v>
      </c>
      <c r="E5" s="297"/>
    </row>
    <row r="6" spans="2:5" ht="15.75" thickBot="1" x14ac:dyDescent="0.25">
      <c r="B6" s="28" t="s">
        <v>17</v>
      </c>
      <c r="C6" s="254">
        <f>SUM(C4:C5)</f>
        <v>0.85</v>
      </c>
      <c r="D6" s="232">
        <f>SUM(D4:D5)</f>
        <v>35.19</v>
      </c>
      <c r="E6" s="276"/>
    </row>
    <row r="8" spans="2:5" x14ac:dyDescent="0.2">
      <c r="B8" s="258" t="s">
        <v>133</v>
      </c>
      <c r="C8" s="258"/>
      <c r="D8" s="94">
        <f>ROUNDDOWN(250/D6,2)</f>
        <v>7.1</v>
      </c>
    </row>
    <row r="10" spans="2:5" x14ac:dyDescent="0.2">
      <c r="B10" s="18" t="s">
        <v>29</v>
      </c>
      <c r="C10" s="64">
        <v>48</v>
      </c>
    </row>
    <row r="12" spans="2:5" x14ac:dyDescent="0.2">
      <c r="B12" s="18" t="s">
        <v>8</v>
      </c>
      <c r="C12" s="99">
        <f>((C10*12*C6/16)*1.15)-C13</f>
        <v>35.19</v>
      </c>
    </row>
    <row r="13" spans="2:5" x14ac:dyDescent="0.2">
      <c r="B13" s="18" t="s">
        <v>9</v>
      </c>
      <c r="C13" s="64">
        <v>0</v>
      </c>
    </row>
    <row r="14" spans="2:5" x14ac:dyDescent="0.2">
      <c r="B14" s="18" t="s">
        <v>10</v>
      </c>
      <c r="C14" s="99">
        <f>D6*E3</f>
        <v>35.19</v>
      </c>
    </row>
    <row r="16" spans="2:5" x14ac:dyDescent="0.2">
      <c r="B16" s="18" t="s">
        <v>11</v>
      </c>
    </row>
    <row r="17" spans="2:4" ht="41.25" x14ac:dyDescent="0.2">
      <c r="B17" s="239" t="s">
        <v>191</v>
      </c>
      <c r="C17" s="99">
        <f>E3*D4</f>
        <v>28.979999999999997</v>
      </c>
      <c r="D17" s="18" t="s">
        <v>12</v>
      </c>
    </row>
    <row r="18" spans="2:4" x14ac:dyDescent="0.2">
      <c r="B18" s="18" t="s">
        <v>32</v>
      </c>
      <c r="C18" s="99">
        <f>E3*D5</f>
        <v>6.2099999999999991</v>
      </c>
      <c r="D18" s="18" t="s">
        <v>12</v>
      </c>
    </row>
  </sheetData>
  <sheetProtection sheet="1" objects="1" scenarios="1" selectLockedCells="1"/>
  <mergeCells count="3">
    <mergeCell ref="B2:D2"/>
    <mergeCell ref="E3:E6"/>
    <mergeCell ref="B8:C8"/>
  </mergeCells>
  <pageMargins left="0" right="0" top="0" bottom="0" header="0" footer="0"/>
  <pageSetup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B1:E29"/>
  <sheetViews>
    <sheetView workbookViewId="0">
      <selection activeCell="C15" sqref="C15"/>
    </sheetView>
  </sheetViews>
  <sheetFormatPr defaultColWidth="14.390625" defaultRowHeight="15" x14ac:dyDescent="0.2"/>
  <cols>
    <col min="1" max="1" width="9.14453125" style="18" customWidth="1"/>
    <col min="2" max="2" width="29.0546875" style="18" bestFit="1" customWidth="1"/>
    <col min="3" max="3" width="8.875" style="18" bestFit="1" customWidth="1"/>
    <col min="4" max="4" width="9.28125" style="18" bestFit="1" customWidth="1"/>
    <col min="5" max="5" width="10.76171875" style="18" bestFit="1" customWidth="1"/>
    <col min="6" max="27" width="9.14453125" style="18" customWidth="1"/>
    <col min="28" max="16384" width="14.390625" style="18"/>
  </cols>
  <sheetData>
    <row r="1" spans="2:5" ht="15.75" thickBot="1" x14ac:dyDescent="0.25"/>
    <row r="2" spans="2:5" ht="15.75" thickBot="1" x14ac:dyDescent="0.25">
      <c r="B2" s="299" t="s">
        <v>89</v>
      </c>
      <c r="C2" s="300"/>
      <c r="D2" s="300"/>
      <c r="E2" s="38" t="s">
        <v>0</v>
      </c>
    </row>
    <row r="3" spans="2:5" ht="15.75" thickBot="1" x14ac:dyDescent="0.25">
      <c r="B3" s="21"/>
      <c r="C3" s="77" t="s">
        <v>92</v>
      </c>
      <c r="D3" s="255" t="s">
        <v>132</v>
      </c>
      <c r="E3" s="316">
        <f>ROUNDUP(C17/D11,1)</f>
        <v>1</v>
      </c>
    </row>
    <row r="4" spans="2:5" x14ac:dyDescent="0.2">
      <c r="B4" s="24" t="s">
        <v>21</v>
      </c>
      <c r="C4" s="145">
        <v>0.35</v>
      </c>
      <c r="D4" s="96">
        <f>48*16*C4/16*1.15</f>
        <v>19.319999999999997</v>
      </c>
      <c r="E4" s="317"/>
    </row>
    <row r="5" spans="2:5" x14ac:dyDescent="0.2">
      <c r="B5" s="44" t="s">
        <v>14</v>
      </c>
      <c r="C5" s="146"/>
      <c r="D5" s="235">
        <v>10</v>
      </c>
      <c r="E5" s="317"/>
    </row>
    <row r="6" spans="2:5" x14ac:dyDescent="0.2">
      <c r="B6" s="44" t="s">
        <v>22</v>
      </c>
      <c r="C6" s="146">
        <v>0.35</v>
      </c>
      <c r="D6" s="235">
        <f>48*16*C6/16*1.15</f>
        <v>19.319999999999997</v>
      </c>
      <c r="E6" s="317"/>
    </row>
    <row r="7" spans="2:5" x14ac:dyDescent="0.2">
      <c r="B7" s="44" t="s">
        <v>5</v>
      </c>
      <c r="C7" s="146"/>
      <c r="D7" s="235">
        <v>10</v>
      </c>
      <c r="E7" s="317"/>
    </row>
    <row r="8" spans="2:5" x14ac:dyDescent="0.2">
      <c r="B8" s="44" t="s">
        <v>23</v>
      </c>
      <c r="C8" s="146">
        <v>0.35</v>
      </c>
      <c r="D8" s="235">
        <f>48*16*C8/16*1.15</f>
        <v>19.319999999999997</v>
      </c>
      <c r="E8" s="317"/>
    </row>
    <row r="9" spans="2:5" x14ac:dyDescent="0.2">
      <c r="B9" s="44" t="s">
        <v>24</v>
      </c>
      <c r="C9" s="146">
        <v>0.35</v>
      </c>
      <c r="D9" s="235">
        <f>48*16*C9/16*1.15</f>
        <v>19.319999999999997</v>
      </c>
      <c r="E9" s="317"/>
    </row>
    <row r="10" spans="2:5" ht="15.75" thickBot="1" x14ac:dyDescent="0.25">
      <c r="B10" s="52" t="s">
        <v>90</v>
      </c>
      <c r="C10" s="195">
        <v>0.5</v>
      </c>
      <c r="D10" s="97">
        <f>48*16*C10/16*1.15</f>
        <v>27.599999999999998</v>
      </c>
      <c r="E10" s="317"/>
    </row>
    <row r="11" spans="2:5" ht="15.75" thickBot="1" x14ac:dyDescent="0.25">
      <c r="B11" s="54" t="s">
        <v>17</v>
      </c>
      <c r="C11" s="165">
        <f>SUM(C4:C10)</f>
        <v>1.9</v>
      </c>
      <c r="D11" s="171">
        <f>SUM(D4,D6,D8,D9,D10)</f>
        <v>104.87999999999998</v>
      </c>
      <c r="E11" s="318"/>
    </row>
    <row r="13" spans="2:5" x14ac:dyDescent="0.2">
      <c r="B13" s="258" t="s">
        <v>133</v>
      </c>
      <c r="C13" s="258"/>
      <c r="D13" s="94">
        <f>ROUNDDOWN(250/D11,2)</f>
        <v>2.38</v>
      </c>
    </row>
    <row r="15" spans="2:5" x14ac:dyDescent="0.2">
      <c r="B15" s="18" t="s">
        <v>29</v>
      </c>
      <c r="C15" s="64">
        <v>48</v>
      </c>
    </row>
    <row r="17" spans="2:4" x14ac:dyDescent="0.2">
      <c r="B17" s="18" t="s">
        <v>8</v>
      </c>
      <c r="C17" s="99">
        <f>((C15*16*C11/16)*1.15)-C18</f>
        <v>104.87999999999998</v>
      </c>
    </row>
    <row r="18" spans="2:4" x14ac:dyDescent="0.2">
      <c r="B18" s="18" t="s">
        <v>9</v>
      </c>
      <c r="C18" s="64">
        <v>0</v>
      </c>
    </row>
    <row r="19" spans="2:4" x14ac:dyDescent="0.2">
      <c r="B19" s="18" t="s">
        <v>10</v>
      </c>
      <c r="C19" s="99">
        <f>D11*E3</f>
        <v>104.87999999999998</v>
      </c>
    </row>
    <row r="22" spans="2:4" x14ac:dyDescent="0.2">
      <c r="B22" s="18" t="s">
        <v>11</v>
      </c>
    </row>
    <row r="23" spans="2:4" x14ac:dyDescent="0.2">
      <c r="B23" s="18" t="s">
        <v>21</v>
      </c>
      <c r="C23" s="99">
        <f>E3*D4</f>
        <v>19.319999999999997</v>
      </c>
      <c r="D23" s="18" t="s">
        <v>12</v>
      </c>
    </row>
    <row r="24" spans="2:4" x14ac:dyDescent="0.2">
      <c r="B24" s="18" t="s">
        <v>22</v>
      </c>
      <c r="C24" s="99">
        <f>E3*D6</f>
        <v>19.319999999999997</v>
      </c>
      <c r="D24" s="18" t="s">
        <v>12</v>
      </c>
    </row>
    <row r="25" spans="2:4" x14ac:dyDescent="0.2">
      <c r="B25" s="18" t="s">
        <v>23</v>
      </c>
      <c r="C25" s="99">
        <f>E3*D8</f>
        <v>19.319999999999997</v>
      </c>
      <c r="D25" s="18" t="s">
        <v>12</v>
      </c>
    </row>
    <row r="26" spans="2:4" x14ac:dyDescent="0.2">
      <c r="B26" s="18" t="s">
        <v>24</v>
      </c>
      <c r="C26" s="99">
        <f>E3*D9</f>
        <v>19.319999999999997</v>
      </c>
      <c r="D26" s="18" t="s">
        <v>12</v>
      </c>
    </row>
    <row r="27" spans="2:4" x14ac:dyDescent="0.2">
      <c r="B27" s="18" t="s">
        <v>90</v>
      </c>
      <c r="C27" s="99">
        <f>E3*D10</f>
        <v>27.599999999999998</v>
      </c>
      <c r="D27" s="18" t="s">
        <v>12</v>
      </c>
    </row>
    <row r="28" spans="2:4" x14ac:dyDescent="0.2">
      <c r="B28" s="18" t="s">
        <v>13</v>
      </c>
      <c r="C28" s="99">
        <f>D7*E3</f>
        <v>10</v>
      </c>
      <c r="D28" s="18" t="s">
        <v>12</v>
      </c>
    </row>
    <row r="29" spans="2:4" x14ac:dyDescent="0.2">
      <c r="B29" s="18" t="s">
        <v>14</v>
      </c>
      <c r="C29" s="99">
        <f>D5*E3</f>
        <v>10</v>
      </c>
      <c r="D29" s="18" t="s">
        <v>12</v>
      </c>
    </row>
  </sheetData>
  <sheetProtection sheet="1" objects="1" scenarios="1" selectLockedCells="1"/>
  <mergeCells count="3">
    <mergeCell ref="B2:D2"/>
    <mergeCell ref="B13:C13"/>
    <mergeCell ref="E3:E11"/>
  </mergeCells>
  <pageMargins left="0" right="0" top="0" bottom="0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49</vt:i4>
      </vt:variant>
    </vt:vector>
  </HeadingPairs>
  <TitlesOfParts>
    <vt:vector size="49" baseType="lpstr">
      <vt:lpstr>Bobos Deluxe</vt:lpstr>
      <vt:lpstr>Bobos Breakfast</vt:lpstr>
      <vt:lpstr>Basha 11' Hawaiian</vt:lpstr>
      <vt:lpstr>Basha 12' Supreme</vt:lpstr>
      <vt:lpstr>Corner Booth Chicken Alfredo </vt:lpstr>
      <vt:lpstr>Corner Booth Giardiniera</vt:lpstr>
      <vt:lpstr>Corner Booth House</vt:lpstr>
      <vt:lpstr>Corner Booth Pep &amp; Jal</vt:lpstr>
      <vt:lpstr>Corner Booth Spinach</vt:lpstr>
      <vt:lpstr>Corner Booth Supreme</vt:lpstr>
      <vt:lpstr>Hannaford Tikka Masala Mix</vt:lpstr>
      <vt:lpstr>Hannaford Spinach Goat Cheese</vt:lpstr>
      <vt:lpstr>Hannaford Club</vt:lpstr>
      <vt:lpstr>Hannaford 4Meat</vt:lpstr>
      <vt:lpstr>Lowes 7in Red Fajita</vt:lpstr>
      <vt:lpstr>Lowes 7in White Spin</vt:lpstr>
      <vt:lpstr>Lowes Bacon Cheeseburger</vt:lpstr>
      <vt:lpstr>Lowes California</vt:lpstr>
      <vt:lpstr>Lowes Carribbean</vt:lpstr>
      <vt:lpstr>Lowes Chicken Club</vt:lpstr>
      <vt:lpstr>Lowes Grilled Vegetable</vt:lpstr>
      <vt:lpstr>Lowes Red Hot</vt:lpstr>
      <vt:lpstr>Lowes Supreme</vt:lpstr>
      <vt:lpstr>Lowes Spinach</vt:lpstr>
      <vt:lpstr>Lowes 11in White Spinach</vt:lpstr>
      <vt:lpstr>Lucias Morming Melts Americano</vt:lpstr>
      <vt:lpstr>Lucias Morming Mealts Italiano</vt:lpstr>
      <vt:lpstr>Lucias Morming Melts Mexicano</vt:lpstr>
      <vt:lpstr>Lucias Morming Melts Parisian</vt:lpstr>
      <vt:lpstr>Lucias Craft Alfredo Spinach</vt:lpstr>
      <vt:lpstr>Lucias Craft Bacon Cheeseburger</vt:lpstr>
      <vt:lpstr>Lucias Craft Bratwurst</vt:lpstr>
      <vt:lpstr>Lucias Craft Carribbean Mix</vt:lpstr>
      <vt:lpstr>Lucias Craft Chicken Club</vt:lpstr>
      <vt:lpstr>Lucias Craft Red Hot</vt:lpstr>
      <vt:lpstr>Lucias Craft SOB</vt:lpstr>
      <vt:lpstr>Lucias Craft Tikka Masala</vt:lpstr>
      <vt:lpstr>Lucias Buffalo Chicken</vt:lpstr>
      <vt:lpstr>Lucias Supreme</vt:lpstr>
      <vt:lpstr>Lucias Pinsa Tikka Masala</vt:lpstr>
      <vt:lpstr>Lucias Pinsa Margherita</vt:lpstr>
      <vt:lpstr>Lucias Pinsa Spinach</vt:lpstr>
      <vt:lpstr>Nob Hill SOB</vt:lpstr>
      <vt:lpstr>Nob Hill Bacon Cheeseburger</vt:lpstr>
      <vt:lpstr>Nob Hill Club</vt:lpstr>
      <vt:lpstr>Nob Hill Red Hot</vt:lpstr>
      <vt:lpstr>Nob Hill Caribbean</vt:lpstr>
      <vt:lpstr>Price Chopper Club</vt:lpstr>
      <vt:lpstr>SMD Supreme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Donald Berg</dc:creator>
  <cp:lastModifiedBy>Donald Berg</cp:lastModifiedBy>
  <cp:lastPrinted>2026-06-09T12:16:00Z</cp:lastPrinted>
  <dcterms:created xsi:type="dcterms:W3CDTF">2025-12-02T13:39:13Z</dcterms:created>
  <dcterms:modified xsi:type="dcterms:W3CDTF">2026-06-09T12:21:54Z</dcterms:modified>
</cp:coreProperties>
</file>