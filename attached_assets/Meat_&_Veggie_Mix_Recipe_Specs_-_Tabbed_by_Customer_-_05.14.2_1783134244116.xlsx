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Meat &amp; Veggie Mix\"/>
    </mc:Choice>
  </mc:AlternateContent>
  <xr:revisionPtr revIDLastSave="0" documentId="13_ncr:1_{71EF8E6D-83C1-40D0-9421-14578F5B5856}" xr6:coauthVersionLast="47" xr6:coauthVersionMax="47" xr10:uidLastSave="{00000000-0000-0000-0000-000000000000}"/>
  <bookViews>
    <workbookView xWindow="28680" yWindow="-120" windowWidth="29040" windowHeight="15720" firstSheet="6" activeTab="13" xr2:uid="{00000000-000D-0000-FFFF-FFFF00000000}"/>
  </bookViews>
  <sheets>
    <sheet name="Aldo" sheetId="1" r:id="rId1"/>
    <sheet name="Bobo" sheetId="3" r:id="rId2"/>
    <sheet name="Corner Booth" sheetId="35" r:id="rId3"/>
    <sheet name="Costco" sheetId="16" r:id="rId4"/>
    <sheet name="CSM 7&quot;" sheetId="40" r:id="rId5"/>
    <sheet name="FSD 7&quot;" sheetId="47" r:id="rId6"/>
    <sheet name="Four Hands" sheetId="23" r:id="rId7"/>
    <sheet name="Hannaford" sheetId="6" r:id="rId8"/>
    <sheet name="Lowe's 11&quot;" sheetId="10" r:id="rId9"/>
    <sheet name="Lowe's 7&quot;" sheetId="46" r:id="rId10"/>
    <sheet name="Lucia" sheetId="28" r:id="rId11"/>
    <sheet name="Lucia Craft" sheetId="9" r:id="rId12"/>
    <sheet name="Lucia's 7&quot; Morning Melts" sheetId="42" r:id="rId13"/>
    <sheet name="Lucia's Pinsa (Proof)" sheetId="48" r:id="rId14"/>
    <sheet name="Mystic" sheetId="12" r:id="rId15"/>
    <sheet name="Price Chopper" sheetId="41" r:id="rId16"/>
    <sheet name="SMD" sheetId="14" r:id="rId17"/>
    <sheet name="Vita" sheetId="26" r:id="rId18"/>
    <sheet name="Vocelli's" sheetId="45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7" l="1"/>
  <c r="B13" i="46"/>
  <c r="B7" i="46"/>
  <c r="B35" i="3" l="1"/>
  <c r="B27" i="3"/>
  <c r="E13" i="9" l="1"/>
  <c r="F13" i="9"/>
  <c r="E12" i="6" l="1"/>
  <c r="B12" i="6"/>
  <c r="C12" i="6"/>
  <c r="D12" i="6"/>
</calcChain>
</file>

<file path=xl/sharedStrings.xml><?xml version="1.0" encoding="utf-8"?>
<sst xmlns="http://schemas.openxmlformats.org/spreadsheetml/2006/main" count="604" uniqueCount="232">
  <si>
    <t>LBS</t>
  </si>
  <si>
    <t>Total</t>
  </si>
  <si>
    <t>Garlic, Granulated</t>
  </si>
  <si>
    <t>Basil, Frozen</t>
  </si>
  <si>
    <t xml:space="preserve">Aldo's Meat Lovers Mix </t>
  </si>
  <si>
    <t>10.000</t>
  </si>
  <si>
    <t>5.000</t>
  </si>
  <si>
    <t>Aldo Mixes</t>
  </si>
  <si>
    <t>Bobo Mixes</t>
  </si>
  <si>
    <t>Red Onion, FR Strips</t>
  </si>
  <si>
    <t>Red Peppers, FR Strips</t>
  </si>
  <si>
    <t>Green Peppers, FR Strips</t>
  </si>
  <si>
    <t>Costco Mixes</t>
  </si>
  <si>
    <t xml:space="preserve">Lucia's Meat Lover Mix </t>
  </si>
  <si>
    <t>Hannaford Mixes</t>
  </si>
  <si>
    <t>Hannaford South of the Border Mix</t>
  </si>
  <si>
    <t>Black Beans, IQF</t>
  </si>
  <si>
    <t>Corn, FR</t>
  </si>
  <si>
    <t xml:space="preserve">Peppers, Orange Aji </t>
  </si>
  <si>
    <t>Red Pepper, FR Strips</t>
  </si>
  <si>
    <t>Red Onions, FR Strips</t>
  </si>
  <si>
    <t>Squash, FR</t>
  </si>
  <si>
    <t>Zucchini, FR</t>
  </si>
  <si>
    <t>Thyme, Frozen</t>
  </si>
  <si>
    <t xml:space="preserve">Lucia's Supreme Mix </t>
  </si>
  <si>
    <t>Yellow Onion, FR Strips</t>
  </si>
  <si>
    <t xml:space="preserve">Lowe's Buffalo Chicken &amp; Celery Mix </t>
  </si>
  <si>
    <t xml:space="preserve">Lowe's California Mix </t>
  </si>
  <si>
    <t>Celery, Diced</t>
  </si>
  <si>
    <t xml:space="preserve">Lowe's Grilled Vegetable Mix </t>
  </si>
  <si>
    <t xml:space="preserve">Lowe's Red Pepper Mix </t>
  </si>
  <si>
    <t>Garlic, Frozen FR</t>
  </si>
  <si>
    <t>Mystic Mixes</t>
  </si>
  <si>
    <t xml:space="preserve">Mystic Spinach Mix </t>
  </si>
  <si>
    <t>Spinach - 3 frozen, 2 spun</t>
  </si>
  <si>
    <t>120 - 140</t>
  </si>
  <si>
    <t>Butter</t>
  </si>
  <si>
    <t>Green Pepper, Blanched Diced</t>
  </si>
  <si>
    <t>Show Me Dough Mixes</t>
  </si>
  <si>
    <t xml:space="preserve">SMD BBQ Chicken Mix </t>
  </si>
  <si>
    <t xml:space="preserve">SMD Meat Lovers Mix 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</si>
  <si>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Slit egg bag at bottom and pour in.  </t>
    </r>
  </si>
  <si>
    <t>Ensure no missing plastic from bag.</t>
  </si>
  <si>
    <t>Weight will vary depending on how long spinach is spun</t>
  </si>
  <si>
    <t>Jalepeno</t>
  </si>
  <si>
    <t xml:space="preserve">Lowe's Meat Lovers Mix </t>
  </si>
  <si>
    <t>Cilantro</t>
  </si>
  <si>
    <t>Bobo's Meat Lovers Mix</t>
  </si>
  <si>
    <t>Red Pepper, Blanched Diced</t>
  </si>
  <si>
    <t>164 - 184</t>
  </si>
  <si>
    <t xml:space="preserve">Salted Egg </t>
  </si>
  <si>
    <t>Red Peppers, Blanched Diced</t>
  </si>
  <si>
    <t>Black Olives, Frozen</t>
  </si>
  <si>
    <t>Green Onion</t>
  </si>
  <si>
    <t xml:space="preserve">Hannaford Buffalo Chicken Mix </t>
  </si>
  <si>
    <t xml:space="preserve">4Hands Chicken Bacon Club Mix </t>
  </si>
  <si>
    <t>Four Hands Mixes</t>
  </si>
  <si>
    <t xml:space="preserve">4Hands Mega Meat  Mix </t>
  </si>
  <si>
    <t xml:space="preserve">4Hands Mission Taco Mexican Mix </t>
  </si>
  <si>
    <t>Jalapenos</t>
  </si>
  <si>
    <t xml:space="preserve">4Hands Red Hot Chicken Mix </t>
  </si>
  <si>
    <t xml:space="preserve">Lowe's BBQ Chicken Mix </t>
  </si>
  <si>
    <t xml:space="preserve">Lowe's Supreme Mix </t>
  </si>
  <si>
    <t>Hot Sauce, Old Vienna</t>
  </si>
  <si>
    <t>Liquid Smoke</t>
  </si>
  <si>
    <t xml:space="preserve">4Hands Sugarfire BBQ Chicken Mix </t>
  </si>
  <si>
    <t xml:space="preserve">4Hands Red Hot Bacon Jalapeno Mix </t>
  </si>
  <si>
    <t xml:space="preserve">Hannaford Club Mix </t>
  </si>
  <si>
    <t>Sauerkraut</t>
  </si>
  <si>
    <t xml:space="preserve">Lucia's Bratwurst Veggie Mix </t>
  </si>
  <si>
    <t>Pineapple</t>
  </si>
  <si>
    <t>Roasted Red Onions</t>
  </si>
  <si>
    <t>Roasted Green Peppers</t>
  </si>
  <si>
    <t>Vita Mixes</t>
  </si>
  <si>
    <t xml:space="preserve">Vita Mediterranean Mix </t>
  </si>
  <si>
    <t xml:space="preserve">Vita Sausage Mix </t>
  </si>
  <si>
    <t>Lucia's South of the Border Mix</t>
  </si>
  <si>
    <t xml:space="preserve">Lucia's Cheeseburger Mix </t>
  </si>
  <si>
    <t>Onions, FR White/Yellow</t>
  </si>
  <si>
    <t>Lucia's New &amp; Improved Mixes</t>
  </si>
  <si>
    <t>Celery</t>
  </si>
  <si>
    <t xml:space="preserve">Costco Meat Lover Mix </t>
  </si>
  <si>
    <t>Burke 87897 Happly Little Plant Sausage</t>
  </si>
  <si>
    <t>Green Pepper Strips, Blanched</t>
  </si>
  <si>
    <t>Red Pepper Strips, Blanched</t>
  </si>
  <si>
    <t>Yellow Pepper Strips, Blanched</t>
  </si>
  <si>
    <t>White Onion Strips, Blanched</t>
  </si>
  <si>
    <t xml:space="preserve">Lowe's Chicken Bacon Ranch Mix </t>
  </si>
  <si>
    <t>Buffalo Sauce, Legacy</t>
  </si>
  <si>
    <t xml:space="preserve">White Fajita Mix </t>
  </si>
  <si>
    <t>Red Fajita Mix</t>
  </si>
  <si>
    <t>Red Onion Strips, Blanched</t>
  </si>
  <si>
    <t xml:space="preserve">Lucia Red Fajita Mix </t>
  </si>
  <si>
    <t>White Fajita Mix</t>
  </si>
  <si>
    <t xml:space="preserve">SMD White Fajita Mix </t>
  </si>
  <si>
    <t>4/14/21 Revision 12</t>
  </si>
  <si>
    <t xml:space="preserve">Lucia White Fajita Mix </t>
  </si>
  <si>
    <t>Burke 114243 Happly Little Plant Chorizo</t>
  </si>
  <si>
    <t>Scrambled Egg</t>
  </si>
  <si>
    <t>IQF Black Olives</t>
  </si>
  <si>
    <t>Masala Sauce</t>
  </si>
  <si>
    <t>White Fajita Mix Mix</t>
  </si>
  <si>
    <t xml:space="preserve">Corner Booth Three Meat Mix </t>
  </si>
  <si>
    <t>Fresh Spinach (broken up)</t>
  </si>
  <si>
    <t>Parmesan</t>
  </si>
  <si>
    <t>Nutmeg</t>
  </si>
  <si>
    <t>Corner Booth Supreme Mix
with White Fajita Pre Mix</t>
  </si>
  <si>
    <t>Corner Booth Supreme Mix
without White Fajita Pre Mix</t>
  </si>
  <si>
    <t xml:space="preserve">Lowe's Red Fajita Mix </t>
  </si>
  <si>
    <t>Red Onion FR Strips</t>
  </si>
  <si>
    <t>4Hands Gyro Spice Blend</t>
  </si>
  <si>
    <t>Onion Powder</t>
  </si>
  <si>
    <t>Black Pepper</t>
  </si>
  <si>
    <t>Garlic Powder</t>
  </si>
  <si>
    <t>Lucia's Craft Mixes</t>
  </si>
  <si>
    <t xml:space="preserve">Lucia's Craft Chicken Bacon Club Mix </t>
  </si>
  <si>
    <t>Bobo's Breakfast Mix (With Sausage)</t>
  </si>
  <si>
    <t>Bobo's Breakfast Mix (Without Sausage)</t>
  </si>
  <si>
    <t>Corner Booth Spinach without Mushrooms Mix</t>
  </si>
  <si>
    <t>4Hands Bacon Cheeseburger Mix 
(With Hamburger)</t>
  </si>
  <si>
    <t>4Hands Bacon Cheeseburger Mix 
(Without Hamburger)</t>
  </si>
  <si>
    <t>4Hands Gyro Mix (Meat &amp; Veggies)</t>
  </si>
  <si>
    <t>4Hands Gyro Mix (Veggies Only)</t>
  </si>
  <si>
    <t>4Hands Gyro Mix (Meat &amp; Spice Only)</t>
  </si>
  <si>
    <t>4Hands Chicken Masala Mix (Chicken &amp; Veggies)</t>
  </si>
  <si>
    <t>4Hands Chicken Masala Mix (Chicken Only)</t>
  </si>
  <si>
    <r>
      <t xml:space="preserve">Gyro Spice Blend - </t>
    </r>
    <r>
      <rPr>
        <b/>
        <sz val="11"/>
        <rFont val="Arial"/>
        <family val="2"/>
      </rPr>
      <t>Lucia's</t>
    </r>
  </si>
  <si>
    <r>
      <t xml:space="preserve">Hot Sauce - </t>
    </r>
    <r>
      <rPr>
        <b/>
        <sz val="11"/>
        <rFont val="Arial"/>
        <family val="2"/>
      </rPr>
      <t>Old Vienna</t>
    </r>
  </si>
  <si>
    <r>
      <t>White Fajita Mix -</t>
    </r>
    <r>
      <rPr>
        <b/>
        <sz val="11"/>
        <rFont val="Arial"/>
        <family val="2"/>
      </rPr>
      <t xml:space="preserve"> Lucia's</t>
    </r>
  </si>
  <si>
    <t>Hannaford 4 Meat Mix (With Bacon)</t>
  </si>
  <si>
    <t>Hannaford 4 Meat Mix (Without Bacon)</t>
  </si>
  <si>
    <t>Lowe's Bacon Cheeseburger Mix (With Hamburger)</t>
  </si>
  <si>
    <t>Lowe's Bacon Cheeseburger Mix (Without Hamburger)</t>
  </si>
  <si>
    <t>Lucia's Buffalo Chicken Mix (With Celery)</t>
  </si>
  <si>
    <t>Lucia's Buffalo Chicken Mix (Without Celery)</t>
  </si>
  <si>
    <t>Lucia's Caribbean Chicken Mix (With Chicken)</t>
  </si>
  <si>
    <t>Lucia's Caribbean Chicken Mix 
(Without Chicken)</t>
  </si>
  <si>
    <t>Lucia's Bacon Cheeseburger Mix 
(With Hamburger)</t>
  </si>
  <si>
    <t>Lucia's Bacon Cheeseburger Mix 
(Without Hamburger)</t>
  </si>
  <si>
    <t xml:space="preserve">SMD Supreme Mix (With Sausage)                                                               </t>
  </si>
  <si>
    <t xml:space="preserve">SMD Supreme Mix (Without Sausage)                                                               </t>
  </si>
  <si>
    <t>11/13/2023 Rev 4</t>
  </si>
  <si>
    <t>Vita Supreme Mix (With Chorizo)</t>
  </si>
  <si>
    <t>Vita Supreme Mix (Without Chorizo)</t>
  </si>
  <si>
    <t>Sea Salt</t>
  </si>
  <si>
    <t>Red Onions, Diced</t>
  </si>
  <si>
    <t>Bobo's Deluxe Mix (With Sausage &amp; Bacon)</t>
  </si>
  <si>
    <t xml:space="preserve">Bobo's Deluxe Meat Only Mix </t>
  </si>
  <si>
    <t xml:space="preserve">Bobo's Deluxe Veggie Only Mix </t>
  </si>
  <si>
    <t>Yellow Onion, Blanched Diced</t>
  </si>
  <si>
    <t>02/16/24 Rev. 01</t>
  </si>
  <si>
    <t>Diced Pepperoni</t>
  </si>
  <si>
    <t>CSM 7" Mixes</t>
  </si>
  <si>
    <t>CSM 7" Supreme Mix</t>
  </si>
  <si>
    <t xml:space="preserve">Lucia's Morning Melt Parisian Mix </t>
  </si>
  <si>
    <t>Vocelli's BBQ Chicken Mix</t>
  </si>
  <si>
    <t>FR Red Onion Strips</t>
  </si>
  <si>
    <t>Bacon - Cured</t>
  </si>
  <si>
    <t>Vocelli's Deluxe Veggie Mix</t>
  </si>
  <si>
    <t>IQF Mushroooms</t>
  </si>
  <si>
    <t>Diced Blanched Red Onions</t>
  </si>
  <si>
    <t>Blanched Green Pepper Strips</t>
  </si>
  <si>
    <t>FR Diced Tomatoes</t>
  </si>
  <si>
    <t>Vocelli's Meat Lover Mix</t>
  </si>
  <si>
    <t>Diced Ham</t>
  </si>
  <si>
    <t>04/15/24 Rev. 1</t>
  </si>
  <si>
    <t>Vocelli's Garlic Spinaci Veggie Mix</t>
  </si>
  <si>
    <t>Red Onion, Diced</t>
  </si>
  <si>
    <t>FR White Onion Strips</t>
  </si>
  <si>
    <t>Oregano Flake</t>
  </si>
  <si>
    <t>Lowe's 11" Mixes</t>
  </si>
  <si>
    <t>Lowe's 7" Mixes</t>
  </si>
  <si>
    <t xml:space="preserve">Lowe's 7" Meat Lovers Mix </t>
  </si>
  <si>
    <t xml:space="preserve">Lowe's 7" Supreme Mix </t>
  </si>
  <si>
    <t>Diced Red Fajita Mix</t>
  </si>
  <si>
    <t xml:space="preserve">Diced Red Fajita Mix </t>
  </si>
  <si>
    <t>Red Onion Diced, Blanched</t>
  </si>
  <si>
    <t>Green Pepper Diced, Blanched</t>
  </si>
  <si>
    <t>Red Pepper Diced, Blanched</t>
  </si>
  <si>
    <t>Yellow Pepper Diced, Blanched</t>
  </si>
  <si>
    <t>House Veggie Mix</t>
  </si>
  <si>
    <t>Mushrooms</t>
  </si>
  <si>
    <t>Red Onion Strips, FR</t>
  </si>
  <si>
    <t>FSD 7" Mixes</t>
  </si>
  <si>
    <t>FSD Breakfast Meat Mix</t>
  </si>
  <si>
    <t>02/06/26 Revision 3</t>
  </si>
  <si>
    <r>
      <t xml:space="preserve">Sausage - </t>
    </r>
    <r>
      <rPr>
        <b/>
        <sz val="12"/>
        <rFont val="Arial"/>
        <family val="2"/>
      </rPr>
      <t xml:space="preserve">C&amp;F </t>
    </r>
    <r>
      <rPr>
        <b/>
        <sz val="12"/>
        <color rgb="FFFF0000"/>
        <rFont val="Arial"/>
        <family val="2"/>
      </rPr>
      <t>001LPIS40</t>
    </r>
  </si>
  <si>
    <r>
      <t xml:space="preserve">Bacon - </t>
    </r>
    <r>
      <rPr>
        <b/>
        <sz val="12"/>
        <rFont val="Arial"/>
        <family val="2"/>
      </rPr>
      <t xml:space="preserve">C&amp;F </t>
    </r>
    <r>
      <rPr>
        <b/>
        <sz val="12"/>
        <color rgb="FFFF0000"/>
        <rFont val="Arial"/>
        <family val="2"/>
      </rPr>
      <t>001ANUB40</t>
    </r>
    <r>
      <rPr>
        <b/>
        <sz val="12"/>
        <rFont val="Arial"/>
        <family val="2"/>
      </rPr>
      <t xml:space="preserve"> or Tri Meats </t>
    </r>
    <r>
      <rPr>
        <b/>
        <sz val="12"/>
        <color rgb="FFFF0000"/>
        <rFont val="Arial"/>
        <family val="2"/>
      </rPr>
      <t>TM3514U</t>
    </r>
  </si>
  <si>
    <t>Total                                                                      15.000</t>
  </si>
  <si>
    <r>
      <t xml:space="preserve">Sausage - </t>
    </r>
    <r>
      <rPr>
        <b/>
        <sz val="12"/>
        <color theme="1"/>
        <rFont val="Arial"/>
        <family val="2"/>
      </rPr>
      <t>C&amp;F</t>
    </r>
    <r>
      <rPr>
        <b/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001LPIS40</t>
    </r>
  </si>
  <si>
    <r>
      <t xml:space="preserve">Italian Sausage - </t>
    </r>
    <r>
      <rPr>
        <b/>
        <sz val="12"/>
        <rFont val="Arial"/>
        <family val="2"/>
      </rPr>
      <t xml:space="preserve">C&amp;F </t>
    </r>
    <r>
      <rPr>
        <b/>
        <sz val="12"/>
        <color rgb="FFFF0000"/>
        <rFont val="Arial"/>
        <family val="2"/>
      </rPr>
      <t>001LPIS40</t>
    </r>
  </si>
  <si>
    <r>
      <t xml:space="preserve">Spicy Breakfast Sausage - </t>
    </r>
    <r>
      <rPr>
        <b/>
        <sz val="12"/>
        <rFont val="Arial"/>
        <family val="2"/>
      </rPr>
      <t xml:space="preserve">Burke </t>
    </r>
    <r>
      <rPr>
        <b/>
        <sz val="12"/>
        <color rgb="FFFF0000"/>
        <rFont val="Arial"/>
        <family val="2"/>
      </rPr>
      <t>#43388</t>
    </r>
  </si>
  <si>
    <t>02/06/26 Revision 11</t>
  </si>
  <si>
    <r>
      <t xml:space="preserve">Bacon - </t>
    </r>
    <r>
      <rPr>
        <b/>
        <sz val="12"/>
        <rFont val="Arial"/>
        <family val="2"/>
      </rPr>
      <t xml:space="preserve">C&amp;F </t>
    </r>
    <r>
      <rPr>
        <b/>
        <sz val="12"/>
        <color rgb="FFFF0000"/>
        <rFont val="Arial"/>
        <family val="2"/>
      </rPr>
      <t>001ANUB40</t>
    </r>
    <r>
      <rPr>
        <b/>
        <sz val="12"/>
        <rFont val="Arial"/>
        <family val="2"/>
      </rPr>
      <t xml:space="preserve"> or 
Tri Meats </t>
    </r>
    <r>
      <rPr>
        <b/>
        <sz val="12"/>
        <color rgb="FFFF0000"/>
        <rFont val="Arial"/>
        <family val="2"/>
      </rPr>
      <t>TM3514U</t>
    </r>
  </si>
  <si>
    <r>
      <t xml:space="preserve">Bacon - </t>
    </r>
    <r>
      <rPr>
        <b/>
        <sz val="11"/>
        <rFont val="Arial"/>
        <family val="2"/>
      </rPr>
      <t xml:space="preserve">C&amp;F </t>
    </r>
    <r>
      <rPr>
        <b/>
        <sz val="11"/>
        <color rgb="FFFF0000"/>
        <rFont val="Arial"/>
        <family val="2"/>
      </rPr>
      <t>001ANUB40</t>
    </r>
    <r>
      <rPr>
        <b/>
        <sz val="11"/>
        <rFont val="Arial"/>
        <family val="2"/>
      </rPr>
      <t xml:space="preserve"> or 
Tri Meats </t>
    </r>
    <r>
      <rPr>
        <b/>
        <sz val="11"/>
        <color rgb="FFFF0000"/>
        <rFont val="Arial"/>
        <family val="2"/>
      </rPr>
      <t>TM3514U</t>
    </r>
  </si>
  <si>
    <r>
      <t xml:space="preserve">Italian Sausage - </t>
    </r>
    <r>
      <rPr>
        <b/>
        <sz val="11"/>
        <rFont val="Arial"/>
        <family val="2"/>
      </rPr>
      <t xml:space="preserve">C&amp;F </t>
    </r>
    <r>
      <rPr>
        <b/>
        <sz val="11"/>
        <color rgb="FFFF0000"/>
        <rFont val="Arial"/>
        <family val="2"/>
      </rPr>
      <t>001LPIS40</t>
    </r>
  </si>
  <si>
    <t>Revision 1 02.09.26</t>
  </si>
  <si>
    <r>
      <t xml:space="preserve">Diced Ham </t>
    </r>
    <r>
      <rPr>
        <b/>
        <sz val="12"/>
        <color theme="1"/>
        <rFont val="Arial"/>
        <family val="2"/>
      </rPr>
      <t>Patuxent</t>
    </r>
    <r>
      <rPr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7365308</t>
    </r>
  </si>
  <si>
    <t>Corner Booth Mixes</t>
  </si>
  <si>
    <t>02/09/26 Rev. 15</t>
  </si>
  <si>
    <t>Tomatoes</t>
  </si>
  <si>
    <r>
      <rPr>
        <sz val="11"/>
        <rFont val="Arial"/>
        <family val="2"/>
      </rPr>
      <t xml:space="preserve">Diced Chicken </t>
    </r>
    <r>
      <rPr>
        <b/>
        <sz val="11"/>
        <rFont val="Arial"/>
        <family val="2"/>
      </rPr>
      <t xml:space="preserve">C&amp;F </t>
    </r>
    <r>
      <rPr>
        <b/>
        <sz val="11"/>
        <color rgb="FFFF0000"/>
        <rFont val="Arial"/>
        <family val="2"/>
      </rPr>
      <t>001MPDC40</t>
    </r>
    <r>
      <rPr>
        <b/>
        <sz val="11"/>
        <rFont val="Arial"/>
        <family val="2"/>
      </rPr>
      <t xml:space="preserve"> or House of Raeford</t>
    </r>
    <r>
      <rPr>
        <b/>
        <sz val="11"/>
        <color rgb="FFFF0000"/>
        <rFont val="Arial"/>
        <family val="2"/>
      </rPr>
      <t xml:space="preserve"> 28501</t>
    </r>
  </si>
  <si>
    <r>
      <t xml:space="preserve">Gyro Crumbles - </t>
    </r>
    <r>
      <rPr>
        <b/>
        <sz val="11"/>
        <rFont val="Arial"/>
        <family val="2"/>
      </rPr>
      <t>Olympia Foods</t>
    </r>
    <r>
      <rPr>
        <sz val="11"/>
        <rFont val="Arial"/>
        <family val="2"/>
      </rPr>
      <t xml:space="preserve"> </t>
    </r>
    <r>
      <rPr>
        <b/>
        <sz val="11"/>
        <color rgb="FFFF0000"/>
        <rFont val="Arial"/>
        <family val="2"/>
      </rPr>
      <t>402</t>
    </r>
  </si>
  <si>
    <r>
      <t xml:space="preserve">Hamburger - </t>
    </r>
    <r>
      <rPr>
        <b/>
        <sz val="11"/>
        <rFont val="Arial"/>
        <family val="2"/>
      </rPr>
      <t>Burke 40029</t>
    </r>
  </si>
  <si>
    <r>
      <t xml:space="preserve">Chorizo - </t>
    </r>
    <r>
      <rPr>
        <b/>
        <sz val="11"/>
        <rFont val="Arial"/>
        <family val="2"/>
      </rPr>
      <t xml:space="preserve">Burke </t>
    </r>
    <r>
      <rPr>
        <b/>
        <sz val="11"/>
        <color rgb="FFFF0000"/>
        <rFont val="Arial"/>
        <family val="2"/>
      </rPr>
      <t>20017</t>
    </r>
  </si>
  <si>
    <t>Yellow Peppers</t>
  </si>
  <si>
    <r>
      <t xml:space="preserve">Diced Chicken - </t>
    </r>
    <r>
      <rPr>
        <b/>
        <sz val="11"/>
        <rFont val="Arial"/>
        <family val="2"/>
      </rPr>
      <t xml:space="preserve">C&amp;F </t>
    </r>
    <r>
      <rPr>
        <b/>
        <sz val="11"/>
        <color rgb="FFFF0000"/>
        <rFont val="Arial"/>
        <family val="2"/>
      </rPr>
      <t>001MPDC40</t>
    </r>
    <r>
      <rPr>
        <b/>
        <sz val="11"/>
        <rFont val="Arial"/>
        <family val="2"/>
      </rPr>
      <t xml:space="preserve"> or House of Raeford </t>
    </r>
    <r>
      <rPr>
        <b/>
        <sz val="11"/>
        <color rgb="FFFF0000"/>
        <rFont val="Arial"/>
        <family val="2"/>
      </rPr>
      <t>28501</t>
    </r>
  </si>
  <si>
    <r>
      <t xml:space="preserve">Hamburger - </t>
    </r>
    <r>
      <rPr>
        <b/>
        <sz val="11"/>
        <rFont val="Arial"/>
        <family val="2"/>
      </rPr>
      <t xml:space="preserve">Burke </t>
    </r>
    <r>
      <rPr>
        <b/>
        <sz val="11"/>
        <color rgb="FFFF0000"/>
        <rFont val="Arial"/>
        <family val="2"/>
      </rPr>
      <t>40029</t>
    </r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</si>
  <si>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Slit egg bag at bottom and pour in.  Ensure no missing plastic. </t>
    </r>
  </si>
  <si>
    <t>02/09/26 Rev. 3</t>
  </si>
  <si>
    <t>02/25/26 Rev. 7</t>
  </si>
  <si>
    <t>Garlic Chicken Mix</t>
  </si>
  <si>
    <t>03/16/26 Rev.20</t>
  </si>
  <si>
    <t>Tomatoes, Diced</t>
  </si>
  <si>
    <t>Jalapenos, IQF</t>
  </si>
  <si>
    <t>Green Pepper, FR Strips</t>
  </si>
  <si>
    <t>03/16/26 Rev. 2</t>
  </si>
  <si>
    <r>
      <t xml:space="preserve">Diced Turkey - </t>
    </r>
    <r>
      <rPr>
        <b/>
        <sz val="12"/>
        <rFont val="Arial"/>
        <family val="2"/>
      </rPr>
      <t xml:space="preserve">Jennie-O </t>
    </r>
    <r>
      <rPr>
        <b/>
        <sz val="12"/>
        <color rgb="FFFF0000"/>
        <rFont val="Arial"/>
        <family val="2"/>
      </rPr>
      <t>119373</t>
    </r>
  </si>
  <si>
    <r>
      <t xml:space="preserve">Diced Ham - </t>
    </r>
    <r>
      <rPr>
        <b/>
        <sz val="12"/>
        <rFont val="Arial"/>
        <family val="2"/>
      </rPr>
      <t xml:space="preserve">Patuxent Farms </t>
    </r>
    <r>
      <rPr>
        <b/>
        <sz val="12"/>
        <color rgb="FFFF0000"/>
        <rFont val="Arial"/>
        <family val="2"/>
      </rPr>
      <t>7365308</t>
    </r>
  </si>
  <si>
    <t xml:space="preserve">Hannaford (Price Chopper) Club Mix </t>
  </si>
  <si>
    <t>03/16/26  Revision 11</t>
  </si>
  <si>
    <t>Black Olives, IQF</t>
  </si>
  <si>
    <r>
      <t xml:space="preserve">Diced Chicken - </t>
    </r>
    <r>
      <rPr>
        <b/>
        <sz val="12"/>
        <rFont val="Arial"/>
        <family val="2"/>
      </rPr>
      <t xml:space="preserve">C&amp;F </t>
    </r>
    <r>
      <rPr>
        <b/>
        <sz val="12"/>
        <color rgb="FFFF0000"/>
        <rFont val="Arial"/>
        <family val="2"/>
      </rPr>
      <t>001MPDC40</t>
    </r>
    <r>
      <rPr>
        <b/>
        <sz val="12"/>
        <rFont val="Arial"/>
        <family val="2"/>
      </rPr>
      <t xml:space="preserve"> or House of Raeford </t>
    </r>
    <r>
      <rPr>
        <b/>
        <sz val="12"/>
        <color rgb="FFFF0000"/>
        <rFont val="Arial"/>
        <family val="2"/>
      </rPr>
      <t>28501</t>
    </r>
  </si>
  <si>
    <t>03/16/26 Revision 6</t>
  </si>
  <si>
    <t>04/01/26 Rev.11</t>
  </si>
  <si>
    <t xml:space="preserve">Hannaford White Fajita Mix </t>
  </si>
  <si>
    <t>Hannaford Chicken Masala Mix (Chicken Only)</t>
  </si>
  <si>
    <t>Lucia's Pinsa (Proof)</t>
  </si>
  <si>
    <t>05/14/26 Revision 1</t>
  </si>
  <si>
    <t xml:space="preserve">Lucia Pinsa (Proof) White Fajita Mix </t>
  </si>
  <si>
    <t>Chicken Masala Mix (Chicken Only)</t>
  </si>
  <si>
    <t>05/14/26 Revision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</si>
</sst>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26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22"/>
      <color theme="1"/>
      <name val="Times New Roman"/>
      <family val="1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0">
    <xf numFmtId="0" fontId="0" fillId="0" borderId="0" xfId="0"/>
    <xf numFmtId="0" fontId="3" fillId="0" borderId="0" xfId="0" applyFont="1"/>
    <xf numFmtId="164" fontId="3" fillId="0" borderId="0" xfId="0" applyNumberFormat="1" applyFont="1" applyAlignment="1">
      <alignment horizontal="center"/>
    </xf>
    <xf numFmtId="165" fontId="4" fillId="0" borderId="2" xfId="1" applyNumberFormat="1" applyFont="1" applyBorder="1" applyAlignment="1">
      <alignment horizontal="center"/>
    </xf>
    <xf numFmtId="165" fontId="2" fillId="3" borderId="3" xfId="1" applyNumberFormat="1" applyFont="1" applyFill="1" applyBorder="1" applyAlignment="1">
      <alignment horizontal="center"/>
    </xf>
    <xf numFmtId="0" fontId="2" fillId="0" borderId="5" xfId="1" applyFont="1" applyBorder="1"/>
    <xf numFmtId="0" fontId="4" fillId="0" borderId="6" xfId="1" applyFont="1" applyBorder="1"/>
    <xf numFmtId="3" fontId="2" fillId="0" borderId="4" xfId="1" applyNumberFormat="1" applyFont="1" applyBorder="1" applyAlignment="1">
      <alignment horizontal="center"/>
    </xf>
    <xf numFmtId="0" fontId="4" fillId="2" borderId="6" xfId="1" applyFont="1" applyFill="1" applyBorder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4" fillId="0" borderId="1" xfId="1" applyFont="1" applyBorder="1"/>
    <xf numFmtId="0" fontId="7" fillId="0" borderId="0" xfId="0" applyFont="1" applyAlignment="1">
      <alignment horizontal="center"/>
    </xf>
    <xf numFmtId="0" fontId="2" fillId="0" borderId="14" xfId="1" applyFont="1" applyBorder="1" applyAlignment="1">
      <alignment horizontal="center"/>
    </xf>
    <xf numFmtId="0" fontId="4" fillId="0" borderId="13" xfId="1" quotePrefix="1" applyFont="1" applyBorder="1" applyAlignment="1">
      <alignment horizontal="center"/>
    </xf>
    <xf numFmtId="0" fontId="2" fillId="3" borderId="7" xfId="1" applyFont="1" applyFill="1" applyBorder="1" applyAlignment="1">
      <alignment horizontal="center"/>
    </xf>
    <xf numFmtId="0" fontId="4" fillId="2" borderId="6" xfId="1" applyFont="1" applyFill="1" applyBorder="1" applyAlignment="1">
      <alignment wrapText="1"/>
    </xf>
    <xf numFmtId="0" fontId="4" fillId="0" borderId="6" xfId="1" applyFont="1" applyBorder="1" applyAlignment="1">
      <alignment wrapText="1"/>
    </xf>
    <xf numFmtId="0" fontId="2" fillId="0" borderId="8" xfId="1" applyFont="1" applyBorder="1"/>
    <xf numFmtId="0" fontId="9" fillId="0" borderId="6" xfId="1" applyFont="1" applyBorder="1" applyAlignment="1">
      <alignment horizontal="left"/>
    </xf>
    <xf numFmtId="0" fontId="2" fillId="0" borderId="12" xfId="1" applyFont="1" applyBorder="1"/>
    <xf numFmtId="0" fontId="4" fillId="0" borderId="1" xfId="1" applyFont="1" applyBorder="1" applyAlignment="1">
      <alignment wrapText="1"/>
    </xf>
    <xf numFmtId="0" fontId="2" fillId="3" borderId="1" xfId="1" applyFont="1" applyFill="1" applyBorder="1" applyAlignment="1">
      <alignment horizontal="center"/>
    </xf>
    <xf numFmtId="3" fontId="2" fillId="0" borderId="5" xfId="1" applyNumberFormat="1" applyFont="1" applyBorder="1" applyAlignment="1">
      <alignment horizontal="center"/>
    </xf>
    <xf numFmtId="165" fontId="4" fillId="0" borderId="6" xfId="1" applyNumberFormat="1" applyFont="1" applyBorder="1" applyAlignment="1">
      <alignment horizontal="center"/>
    </xf>
    <xf numFmtId="165" fontId="2" fillId="3" borderId="7" xfId="1" applyNumberFormat="1" applyFont="1" applyFill="1" applyBorder="1" applyAlignment="1">
      <alignment horizontal="center"/>
    </xf>
    <xf numFmtId="0" fontId="9" fillId="0" borderId="11" xfId="1" applyFont="1" applyBorder="1" applyAlignment="1">
      <alignment horizontal="left"/>
    </xf>
    <xf numFmtId="165" fontId="4" fillId="0" borderId="11" xfId="1" applyNumberFormat="1" applyFont="1" applyBorder="1" applyAlignment="1">
      <alignment horizontal="center"/>
    </xf>
    <xf numFmtId="0" fontId="4" fillId="0" borderId="0" xfId="1" applyFont="1" applyAlignment="1">
      <alignment wrapText="1"/>
    </xf>
    <xf numFmtId="165" fontId="4" fillId="0" borderId="6" xfId="1" applyNumberFormat="1" applyFont="1" applyBorder="1" applyAlignment="1">
      <alignment horizontal="center" vertical="center"/>
    </xf>
    <xf numFmtId="0" fontId="2" fillId="0" borderId="19" xfId="1" applyFont="1" applyBorder="1"/>
    <xf numFmtId="3" fontId="2" fillId="0" borderId="8" xfId="1" applyNumberFormat="1" applyFont="1" applyBorder="1" applyAlignment="1">
      <alignment horizontal="center"/>
    </xf>
    <xf numFmtId="0" fontId="4" fillId="0" borderId="20" xfId="1" applyFont="1" applyBorder="1"/>
    <xf numFmtId="0" fontId="2" fillId="3" borderId="21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left"/>
    </xf>
    <xf numFmtId="14" fontId="3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5" xfId="1" applyFont="1" applyBorder="1"/>
    <xf numFmtId="3" fontId="11" fillId="0" borderId="4" xfId="1" applyNumberFormat="1" applyFont="1" applyBorder="1" applyAlignment="1">
      <alignment horizontal="center"/>
    </xf>
    <xf numFmtId="0" fontId="11" fillId="0" borderId="12" xfId="1" applyFont="1" applyBorder="1"/>
    <xf numFmtId="3" fontId="11" fillId="0" borderId="5" xfId="1" applyNumberFormat="1" applyFont="1" applyBorder="1" applyAlignment="1">
      <alignment horizontal="center"/>
    </xf>
    <xf numFmtId="0" fontId="9" fillId="2" borderId="6" xfId="1" applyFont="1" applyFill="1" applyBorder="1"/>
    <xf numFmtId="165" fontId="9" fillId="0" borderId="2" xfId="1" applyNumberFormat="1" applyFont="1" applyBorder="1" applyAlignment="1">
      <alignment horizontal="center"/>
    </xf>
    <xf numFmtId="0" fontId="9" fillId="0" borderId="1" xfId="1" applyFont="1" applyBorder="1" applyAlignment="1">
      <alignment wrapText="1"/>
    </xf>
    <xf numFmtId="165" fontId="9" fillId="0" borderId="6" xfId="1" applyNumberFormat="1" applyFont="1" applyBorder="1" applyAlignment="1">
      <alignment horizontal="center"/>
    </xf>
    <xf numFmtId="0" fontId="11" fillId="3" borderId="7" xfId="1" applyFont="1" applyFill="1" applyBorder="1" applyAlignment="1">
      <alignment horizontal="center"/>
    </xf>
    <xf numFmtId="165" fontId="11" fillId="3" borderId="3" xfId="1" applyNumberFormat="1" applyFont="1" applyFill="1" applyBorder="1" applyAlignment="1">
      <alignment horizontal="center"/>
    </xf>
    <xf numFmtId="165" fontId="9" fillId="0" borderId="11" xfId="1" applyNumberFormat="1" applyFont="1" applyBorder="1" applyAlignment="1">
      <alignment horizontal="center"/>
    </xf>
    <xf numFmtId="0" fontId="11" fillId="3" borderId="1" xfId="1" applyFont="1" applyFill="1" applyBorder="1" applyAlignment="1">
      <alignment horizontal="center"/>
    </xf>
    <xf numFmtId="165" fontId="11" fillId="3" borderId="7" xfId="1" applyNumberFormat="1" applyFont="1" applyFill="1" applyBorder="1" applyAlignment="1">
      <alignment horizontal="center"/>
    </xf>
    <xf numFmtId="0" fontId="11" fillId="0" borderId="8" xfId="1" applyFont="1" applyBorder="1"/>
    <xf numFmtId="165" fontId="9" fillId="0" borderId="23" xfId="1" applyNumberFormat="1" applyFont="1" applyBorder="1" applyAlignment="1">
      <alignment horizontal="center"/>
    </xf>
    <xf numFmtId="0" fontId="9" fillId="0" borderId="24" xfId="1" applyFont="1" applyBorder="1" applyAlignment="1">
      <alignment wrapText="1"/>
    </xf>
    <xf numFmtId="0" fontId="12" fillId="0" borderId="0" xfId="0" applyFont="1"/>
    <xf numFmtId="0" fontId="13" fillId="0" borderId="0" xfId="0" applyFont="1" applyAlignment="1">
      <alignment horizontal="center"/>
    </xf>
    <xf numFmtId="0" fontId="2" fillId="0" borderId="0" xfId="1" applyFont="1" applyAlignment="1">
      <alignment horizontal="center"/>
    </xf>
    <xf numFmtId="165" fontId="4" fillId="0" borderId="25" xfId="1" applyNumberFormat="1" applyFont="1" applyBorder="1" applyAlignment="1">
      <alignment horizontal="center"/>
    </xf>
    <xf numFmtId="165" fontId="4" fillId="0" borderId="23" xfId="1" applyNumberFormat="1" applyFont="1" applyBorder="1" applyAlignment="1">
      <alignment horizontal="center"/>
    </xf>
    <xf numFmtId="165" fontId="2" fillId="0" borderId="0" xfId="1" applyNumberFormat="1" applyFont="1" applyAlignment="1">
      <alignment horizontal="center"/>
    </xf>
    <xf numFmtId="0" fontId="11" fillId="0" borderId="0" xfId="1" applyFont="1" applyAlignment="1">
      <alignment horizontal="center"/>
    </xf>
    <xf numFmtId="165" fontId="11" fillId="0" borderId="0" xfId="1" applyNumberFormat="1" applyFont="1" applyAlignment="1">
      <alignment horizontal="center"/>
    </xf>
    <xf numFmtId="14" fontId="9" fillId="0" borderId="0" xfId="1" applyNumberFormat="1" applyFont="1" applyAlignment="1">
      <alignment horizontal="left" wrapText="1"/>
    </xf>
    <xf numFmtId="0" fontId="4" fillId="0" borderId="13" xfId="1" applyFont="1" applyBorder="1" applyAlignment="1">
      <alignment wrapText="1"/>
    </xf>
    <xf numFmtId="0" fontId="4" fillId="0" borderId="13" xfId="1" applyFont="1" applyBorder="1" applyAlignment="1">
      <alignment horizontal="left"/>
    </xf>
    <xf numFmtId="0" fontId="2" fillId="0" borderId="28" xfId="1" applyFont="1" applyBorder="1"/>
    <xf numFmtId="0" fontId="4" fillId="2" borderId="20" xfId="1" applyFont="1" applyFill="1" applyBorder="1"/>
    <xf numFmtId="0" fontId="4" fillId="0" borderId="20" xfId="1" applyFont="1" applyBorder="1" applyAlignment="1">
      <alignment wrapText="1"/>
    </xf>
    <xf numFmtId="0" fontId="4" fillId="0" borderId="26" xfId="1" applyFont="1" applyBorder="1" applyAlignment="1">
      <alignment wrapText="1"/>
    </xf>
    <xf numFmtId="165" fontId="2" fillId="4" borderId="27" xfId="1" applyNumberFormat="1" applyFont="1" applyFill="1" applyBorder="1" applyAlignment="1">
      <alignment horizontal="center"/>
    </xf>
    <xf numFmtId="0" fontId="4" fillId="0" borderId="11" xfId="1" applyFont="1" applyBorder="1"/>
    <xf numFmtId="0" fontId="4" fillId="0" borderId="0" xfId="1" applyFont="1"/>
    <xf numFmtId="0" fontId="9" fillId="2" borderId="6" xfId="1" applyFont="1" applyFill="1" applyBorder="1" applyAlignment="1">
      <alignment wrapText="1"/>
    </xf>
    <xf numFmtId="0" fontId="2" fillId="3" borderId="21" xfId="1" applyFont="1" applyFill="1" applyBorder="1" applyAlignment="1">
      <alignment horizontal="left"/>
    </xf>
    <xf numFmtId="0" fontId="11" fillId="0" borderId="9" xfId="1" applyFont="1" applyBorder="1" applyAlignment="1">
      <alignment horizontal="center"/>
    </xf>
    <xf numFmtId="0" fontId="11" fillId="0" borderId="10" xfId="1" applyFont="1" applyBorder="1" applyAlignment="1">
      <alignment horizontal="center"/>
    </xf>
    <xf numFmtId="0" fontId="18" fillId="0" borderId="0" xfId="0" applyFont="1"/>
    <xf numFmtId="0" fontId="2" fillId="3" borderId="7" xfId="1" applyFont="1" applyFill="1" applyBorder="1" applyAlignment="1">
      <alignment horizontal="left"/>
    </xf>
    <xf numFmtId="0" fontId="11" fillId="2" borderId="1" xfId="1" applyFont="1" applyFill="1" applyBorder="1" applyAlignment="1">
      <alignment vertical="top" wrapText="1"/>
    </xf>
    <xf numFmtId="0" fontId="20" fillId="0" borderId="0" xfId="0" applyFont="1" applyAlignment="1">
      <alignment horizontal="center"/>
    </xf>
    <xf numFmtId="3" fontId="11" fillId="0" borderId="8" xfId="1" applyNumberFormat="1" applyFont="1" applyBorder="1" applyAlignment="1">
      <alignment horizontal="center"/>
    </xf>
    <xf numFmtId="0" fontId="9" fillId="0" borderId="6" xfId="1" applyFont="1" applyBorder="1"/>
    <xf numFmtId="0" fontId="9" fillId="0" borderId="6" xfId="1" applyFont="1" applyBorder="1" applyAlignment="1">
      <alignment wrapText="1"/>
    </xf>
    <xf numFmtId="0" fontId="9" fillId="0" borderId="8" xfId="1" applyFont="1" applyBorder="1"/>
    <xf numFmtId="3" fontId="9" fillId="0" borderId="8" xfId="1" applyNumberFormat="1" applyFont="1" applyBorder="1" applyAlignment="1">
      <alignment horizontal="center"/>
    </xf>
    <xf numFmtId="0" fontId="11" fillId="0" borderId="19" xfId="1" applyFont="1" applyBorder="1"/>
    <xf numFmtId="0" fontId="9" fillId="0" borderId="20" xfId="1" applyFont="1" applyBorder="1" applyAlignment="1">
      <alignment wrapText="1"/>
    </xf>
    <xf numFmtId="0" fontId="9" fillId="0" borderId="20" xfId="1" applyFont="1" applyBorder="1"/>
    <xf numFmtId="0" fontId="11" fillId="3" borderId="21" xfId="1" applyFont="1" applyFill="1" applyBorder="1" applyAlignment="1">
      <alignment horizontal="center"/>
    </xf>
    <xf numFmtId="165" fontId="9" fillId="0" borderId="0" xfId="1" applyNumberFormat="1" applyFont="1" applyAlignment="1">
      <alignment horizontal="center"/>
    </xf>
    <xf numFmtId="0" fontId="9" fillId="0" borderId="22" xfId="1" applyFont="1" applyBorder="1" applyAlignment="1">
      <alignment wrapText="1"/>
    </xf>
    <xf numFmtId="0" fontId="9" fillId="0" borderId="20" xfId="1" applyFont="1" applyBorder="1" applyAlignment="1">
      <alignment vertical="center" wrapText="1"/>
    </xf>
    <xf numFmtId="0" fontId="21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4" fillId="0" borderId="20" xfId="1" applyFont="1" applyBorder="1" applyAlignment="1">
      <alignment vertical="center" wrapText="1"/>
    </xf>
    <xf numFmtId="165" fontId="9" fillId="0" borderId="6" xfId="1" applyNumberFormat="1" applyFont="1" applyBorder="1" applyAlignment="1">
      <alignment horizontal="left"/>
    </xf>
    <xf numFmtId="165" fontId="11" fillId="3" borderId="7" xfId="1" applyNumberFormat="1" applyFont="1" applyFill="1" applyBorder="1" applyAlignment="1">
      <alignment horizontal="left"/>
    </xf>
    <xf numFmtId="0" fontId="9" fillId="2" borderId="20" xfId="1" applyFont="1" applyFill="1" applyBorder="1" applyAlignment="1">
      <alignment wrapText="1"/>
    </xf>
    <xf numFmtId="0" fontId="9" fillId="2" borderId="20" xfId="1" applyFont="1" applyFill="1" applyBorder="1"/>
    <xf numFmtId="165" fontId="4" fillId="0" borderId="5" xfId="1" applyNumberFormat="1" applyFont="1" applyBorder="1" applyAlignment="1">
      <alignment horizontal="center"/>
    </xf>
    <xf numFmtId="0" fontId="4" fillId="0" borderId="0" xfId="1" applyFont="1" applyAlignment="1">
      <alignment horizontal="left" vertical="center" wrapText="1"/>
    </xf>
    <xf numFmtId="0" fontId="18" fillId="0" borderId="0" xfId="0" applyFont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" fillId="3" borderId="14" xfId="1" applyFont="1" applyFill="1" applyBorder="1" applyAlignment="1">
      <alignment horizontal="center"/>
    </xf>
    <xf numFmtId="0" fontId="11" fillId="0" borderId="9" xfId="1" applyFont="1" applyBorder="1" applyAlignment="1">
      <alignment horizontal="center" wrapText="1"/>
    </xf>
    <xf numFmtId="0" fontId="11" fillId="0" borderId="10" xfId="1" applyFont="1" applyBorder="1" applyAlignment="1">
      <alignment horizontal="center"/>
    </xf>
    <xf numFmtId="0" fontId="11" fillId="0" borderId="9" xfId="1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" fillId="3" borderId="9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29" xfId="0" applyFont="1" applyBorder="1" applyAlignment="1">
      <alignment horizontal="left"/>
    </xf>
    <xf numFmtId="0" fontId="16" fillId="3" borderId="1" xfId="0" applyFont="1" applyFill="1" applyBorder="1" applyAlignment="1">
      <alignment horizontal="center"/>
    </xf>
    <xf numFmtId="0" fontId="16" fillId="3" borderId="29" xfId="0" applyFont="1" applyFill="1" applyBorder="1" applyAlignment="1">
      <alignment horizontal="center"/>
    </xf>
    <xf numFmtId="0" fontId="11" fillId="0" borderId="15" xfId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5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17" xfId="1" applyFont="1" applyBorder="1" applyAlignment="1">
      <alignment horizontal="center"/>
    </xf>
    <xf numFmtId="0" fontId="2" fillId="0" borderId="18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9" fillId="2" borderId="13" xfId="1" applyFont="1" applyFill="1" applyBorder="1" applyAlignment="1">
      <alignment horizontal="left" wrapText="1"/>
    </xf>
    <xf numFmtId="0" fontId="9" fillId="2" borderId="1" xfId="1" applyFont="1" applyFill="1" applyBorder="1" applyAlignment="1">
      <alignment horizontal="left" wrapText="1"/>
    </xf>
    <xf numFmtId="0" fontId="4" fillId="0" borderId="13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2" fillId="3" borderId="13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wrapText="1"/>
    </xf>
    <xf numFmtId="0" fontId="2" fillId="0" borderId="10" xfId="1" applyFont="1" applyBorder="1" applyAlignment="1">
      <alignment horizontal="center" wrapText="1"/>
    </xf>
    <xf numFmtId="0" fontId="9" fillId="2" borderId="6" xfId="1" applyFont="1" applyFill="1" applyBorder="1" applyAlignment="1">
      <alignment vertical="center" wrapText="1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B483D9"/>
      <color rgb="FF00FF00"/>
      <color rgb="FFFF3300"/>
      <color rgb="FF66FFFF"/>
      <color rgb="FFCCECFF"/>
      <color rgb="FFFF6699"/>
      <color rgb="FF9C5BCD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E569"/>
  <sheetViews>
    <sheetView zoomScale="90" zoomScaleNormal="90" workbookViewId="0">
      <selection activeCell="C6" sqref="C6"/>
    </sheetView>
  </sheetViews>
  <sheetFormatPr defaultRowHeight="15.75" x14ac:dyDescent="0.25"/>
  <cols>
    <col min="1" max="1" width="51.7109375" style="9" customWidth="1"/>
    <col min="2" max="2" width="24.28515625" style="1" customWidth="1"/>
    <col min="3" max="3" width="7.42578125" style="1" customWidth="1"/>
    <col min="4" max="4" width="37.5703125" style="1" customWidth="1"/>
    <col min="5" max="5" width="23" style="1" bestFit="1" customWidth="1"/>
    <col min="6" max="6" width="16.7109375" style="1" bestFit="1" customWidth="1"/>
    <col min="7" max="9" width="9" style="1" bestFit="1" customWidth="1"/>
    <col min="10" max="10" width="13.28515625" style="1" bestFit="1" customWidth="1"/>
    <col min="11" max="11" width="5.5703125" style="1" bestFit="1" customWidth="1"/>
    <col min="12" max="12" width="8.85546875" style="1" bestFit="1" customWidth="1"/>
    <col min="13" max="13" width="5.5703125" style="1" bestFit="1" customWidth="1"/>
    <col min="14" max="14" width="10.140625" style="1" bestFit="1" customWidth="1"/>
    <col min="15" max="15" width="5.5703125" style="1" bestFit="1" customWidth="1"/>
    <col min="16" max="16" width="15.85546875" style="1" bestFit="1" customWidth="1"/>
    <col min="17" max="17" width="5.5703125" style="1" bestFit="1" customWidth="1"/>
    <col min="18" max="16384" width="9.140625" style="1"/>
  </cols>
  <sheetData>
    <row r="9" spans="1:3" ht="33" x14ac:dyDescent="0.45">
      <c r="A9" s="1"/>
      <c r="C9" s="14" t="s">
        <v>7</v>
      </c>
    </row>
    <row r="10" spans="1:3" x14ac:dyDescent="0.25">
      <c r="A10" s="1"/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ht="16.5" thickBot="1" x14ac:dyDescent="0.3">
      <c r="A14" s="1"/>
    </row>
    <row r="15" spans="1:3" ht="16.5" thickBot="1" x14ac:dyDescent="0.3">
      <c r="A15" s="105" t="s">
        <v>4</v>
      </c>
      <c r="B15" s="106"/>
    </row>
    <row r="16" spans="1:3" x14ac:dyDescent="0.25">
      <c r="A16" s="15"/>
      <c r="B16" s="15" t="s">
        <v>0</v>
      </c>
    </row>
    <row r="17" spans="1:2" x14ac:dyDescent="0.25">
      <c r="A17" s="65" t="s">
        <v>186</v>
      </c>
      <c r="B17" s="16" t="s">
        <v>5</v>
      </c>
    </row>
    <row r="18" spans="1:2" x14ac:dyDescent="0.25">
      <c r="A18" s="65" t="s">
        <v>187</v>
      </c>
      <c r="B18" s="16" t="s">
        <v>6</v>
      </c>
    </row>
    <row r="19" spans="1:2" x14ac:dyDescent="0.25">
      <c r="A19" s="108" t="s">
        <v>188</v>
      </c>
      <c r="B19" s="108"/>
    </row>
    <row r="20" spans="1:2" x14ac:dyDescent="0.25">
      <c r="A20" s="1"/>
    </row>
    <row r="21" spans="1:2" x14ac:dyDescent="0.25">
      <c r="A21" s="1"/>
    </row>
    <row r="22" spans="1:2" x14ac:dyDescent="0.25">
      <c r="A22" s="1"/>
    </row>
    <row r="23" spans="1:2" x14ac:dyDescent="0.25">
      <c r="A23" s="1" t="s">
        <v>185</v>
      </c>
    </row>
    <row r="24" spans="1:2" x14ac:dyDescent="0.25">
      <c r="A24" s="1"/>
    </row>
    <row r="25" spans="1:2" x14ac:dyDescent="0.25">
      <c r="A25" s="1"/>
    </row>
    <row r="26" spans="1:2" x14ac:dyDescent="0.25">
      <c r="A26" s="1"/>
    </row>
    <row r="27" spans="1:2" x14ac:dyDescent="0.25">
      <c r="A27" s="1"/>
    </row>
    <row r="28" spans="1:2" x14ac:dyDescent="0.25">
      <c r="A28" s="1"/>
    </row>
    <row r="29" spans="1:2" x14ac:dyDescent="0.25">
      <c r="A29" s="1"/>
    </row>
    <row r="30" spans="1:2" x14ac:dyDescent="0.25">
      <c r="A30" s="1"/>
    </row>
    <row r="31" spans="1:2" x14ac:dyDescent="0.25">
      <c r="A31" s="1"/>
    </row>
    <row r="32" spans="1:2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70" spans="1:3" x14ac:dyDescent="0.25">
      <c r="A70" s="1"/>
    </row>
    <row r="71" spans="1:3" x14ac:dyDescent="0.25">
      <c r="A71" s="1"/>
    </row>
    <row r="72" spans="1:3" x14ac:dyDescent="0.25">
      <c r="A72" s="1"/>
    </row>
    <row r="73" spans="1:3" x14ac:dyDescent="0.25">
      <c r="A73" s="1"/>
      <c r="C73" s="2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241" spans="1:1" x14ac:dyDescent="0.25">
      <c r="A241" s="1"/>
    </row>
    <row r="396" spans="1:1" x14ac:dyDescent="0.25">
      <c r="A396" s="1"/>
    </row>
    <row r="429" spans="1:5" x14ac:dyDescent="0.25">
      <c r="A429" s="1"/>
      <c r="D429" s="10"/>
      <c r="E429" s="10"/>
    </row>
    <row r="430" spans="1:5" x14ac:dyDescent="0.25">
      <c r="A430" s="1"/>
      <c r="D430" s="10"/>
      <c r="E430" s="10"/>
    </row>
    <row r="431" spans="1:5" x14ac:dyDescent="0.25">
      <c r="A431" s="1"/>
      <c r="D431" s="10"/>
      <c r="E431" s="10"/>
    </row>
    <row r="432" spans="1:5" x14ac:dyDescent="0.25">
      <c r="A432" s="1"/>
      <c r="D432" s="10"/>
      <c r="E432" s="10"/>
    </row>
    <row r="433" spans="1:5" x14ac:dyDescent="0.25">
      <c r="A433" s="1"/>
      <c r="D433" s="10"/>
      <c r="E433" s="10"/>
    </row>
    <row r="434" spans="1:5" x14ac:dyDescent="0.25">
      <c r="A434" s="1"/>
      <c r="D434" s="10"/>
      <c r="E434" s="10"/>
    </row>
    <row r="435" spans="1:5" x14ac:dyDescent="0.25">
      <c r="A435" s="1"/>
      <c r="D435" s="10"/>
      <c r="E435" s="10"/>
    </row>
    <row r="462" spans="1:5" x14ac:dyDescent="0.25">
      <c r="A462" s="1"/>
      <c r="B462" s="10"/>
      <c r="C462" s="10"/>
    </row>
    <row r="463" spans="1:5" x14ac:dyDescent="0.25">
      <c r="A463" s="1"/>
      <c r="D463" s="10"/>
      <c r="E463" s="10"/>
    </row>
    <row r="464" spans="1:5" x14ac:dyDescent="0.25">
      <c r="A464" s="1"/>
      <c r="D464" s="10"/>
      <c r="E464" s="10"/>
    </row>
    <row r="465" spans="1:5" x14ac:dyDescent="0.25">
      <c r="A465" s="1"/>
      <c r="D465" s="10"/>
      <c r="E465" s="10"/>
    </row>
    <row r="466" spans="1:5" x14ac:dyDescent="0.25">
      <c r="A466" s="1"/>
      <c r="D466" s="10"/>
      <c r="E466" s="10"/>
    </row>
    <row r="467" spans="1:5" x14ac:dyDescent="0.25">
      <c r="A467" s="1"/>
      <c r="D467" s="10"/>
      <c r="E467" s="10"/>
    </row>
    <row r="468" spans="1:5" x14ac:dyDescent="0.25">
      <c r="A468" s="1"/>
      <c r="D468" s="10"/>
      <c r="E468" s="10"/>
    </row>
    <row r="469" spans="1:5" x14ac:dyDescent="0.25">
      <c r="A469" s="1"/>
      <c r="D469" s="10"/>
      <c r="E469" s="10"/>
    </row>
    <row r="494" spans="1:5" x14ac:dyDescent="0.25">
      <c r="A494" s="11"/>
      <c r="B494" s="12"/>
      <c r="C494" s="12"/>
    </row>
    <row r="495" spans="1:5" x14ac:dyDescent="0.25">
      <c r="A495" s="11"/>
      <c r="B495" s="12"/>
      <c r="D495" s="12"/>
      <c r="E495" s="12"/>
    </row>
    <row r="496" spans="1:5" x14ac:dyDescent="0.25">
      <c r="A496" s="1"/>
      <c r="D496" s="12"/>
      <c r="E496" s="12"/>
    </row>
    <row r="497" spans="1:5" x14ac:dyDescent="0.25">
      <c r="A497" s="1"/>
      <c r="D497" s="12"/>
      <c r="E497" s="12"/>
    </row>
    <row r="498" spans="1:5" x14ac:dyDescent="0.25">
      <c r="A498" s="1"/>
      <c r="D498" s="12"/>
      <c r="E498" s="12"/>
    </row>
    <row r="499" spans="1:5" x14ac:dyDescent="0.25">
      <c r="A499" s="1"/>
      <c r="D499" s="12"/>
      <c r="E499" s="12"/>
    </row>
    <row r="500" spans="1:5" x14ac:dyDescent="0.25">
      <c r="A500" s="1"/>
    </row>
    <row r="503" spans="1:5" x14ac:dyDescent="0.25">
      <c r="A503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38" spans="1:1" x14ac:dyDescent="0.25">
      <c r="A538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</sheetData>
  <mergeCells count="2">
    <mergeCell ref="A15:B15"/>
    <mergeCell ref="A19:B19"/>
  </mergeCells>
  <pageMargins left="0" right="0" top="0" bottom="0" header="0" footer="0"/>
  <pageSetup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8:E35"/>
  <sheetViews>
    <sheetView topLeftCell="A11" workbookViewId="0">
      <selection activeCell="D29" sqref="D29"/>
    </sheetView>
  </sheetViews>
  <sheetFormatPr defaultRowHeight="15" x14ac:dyDescent="0.25"/>
  <cols>
    <col min="1" max="1" width="37.7109375" bestFit="1" customWidth="1"/>
    <col min="2" max="2" width="15.140625" customWidth="1"/>
    <col min="4" max="4" width="43.140625" customWidth="1"/>
  </cols>
  <sheetData>
    <row r="8" spans="1:5" s="1" customFormat="1" ht="33" x14ac:dyDescent="0.45">
      <c r="C8" s="14" t="s">
        <v>8</v>
      </c>
    </row>
    <row r="9" spans="1:5" s="1" customFormat="1" ht="15.75" x14ac:dyDescent="0.25"/>
    <row r="10" spans="1:5" s="1" customFormat="1" ht="15.75" x14ac:dyDescent="0.25">
      <c r="D10" s="1" t="s">
        <v>192</v>
      </c>
    </row>
    <row r="11" spans="1:5" s="1" customFormat="1" ht="15.75" x14ac:dyDescent="0.25"/>
    <row r="12" spans="1:5" s="1" customFormat="1" ht="16.5" thickBot="1" x14ac:dyDescent="0.3"/>
    <row r="13" spans="1:5" s="1" customFormat="1" ht="16.5" thickBot="1" x14ac:dyDescent="0.3">
      <c r="A13" s="105" t="s">
        <v>146</v>
      </c>
      <c r="B13" s="106"/>
      <c r="C13" s="77"/>
      <c r="D13" s="105" t="s">
        <v>47</v>
      </c>
      <c r="E13" s="106"/>
    </row>
    <row r="14" spans="1:5" s="1" customFormat="1" ht="15.75" x14ac:dyDescent="0.25">
      <c r="A14" s="5"/>
      <c r="B14" s="7" t="s">
        <v>0</v>
      </c>
      <c r="C14" s="77"/>
      <c r="D14" s="20"/>
      <c r="E14" s="7" t="s">
        <v>0</v>
      </c>
    </row>
    <row r="15" spans="1:5" s="1" customFormat="1" ht="16.5" customHeight="1" x14ac:dyDescent="0.25">
      <c r="A15" s="8" t="s">
        <v>190</v>
      </c>
      <c r="B15" s="3">
        <v>40</v>
      </c>
      <c r="C15" s="77"/>
      <c r="D15" s="8" t="s">
        <v>190</v>
      </c>
      <c r="E15" s="3">
        <v>40</v>
      </c>
    </row>
    <row r="16" spans="1:5" s="1" customFormat="1" ht="31.5" x14ac:dyDescent="0.25">
      <c r="A16" s="6" t="s">
        <v>10</v>
      </c>
      <c r="B16" s="3">
        <v>14</v>
      </c>
      <c r="C16" s="77"/>
      <c r="D16" s="18" t="s">
        <v>193</v>
      </c>
      <c r="E16" s="3">
        <v>20</v>
      </c>
    </row>
    <row r="17" spans="1:5" s="1" customFormat="1" ht="16.5" thickBot="1" x14ac:dyDescent="0.3">
      <c r="A17" s="6" t="s">
        <v>11</v>
      </c>
      <c r="B17" s="3">
        <v>14</v>
      </c>
      <c r="C17" s="77"/>
      <c r="D17" s="78" t="s">
        <v>1</v>
      </c>
      <c r="E17" s="4">
        <v>60</v>
      </c>
    </row>
    <row r="18" spans="1:5" s="1" customFormat="1" ht="32.25" thickBot="1" x14ac:dyDescent="0.3">
      <c r="A18" s="18" t="s">
        <v>193</v>
      </c>
      <c r="B18" s="3">
        <v>15</v>
      </c>
      <c r="C18" s="77"/>
      <c r="D18" s="57"/>
      <c r="E18" s="60"/>
    </row>
    <row r="19" spans="1:5" s="1" customFormat="1" ht="16.5" thickBot="1" x14ac:dyDescent="0.3">
      <c r="A19" s="8" t="s">
        <v>9</v>
      </c>
      <c r="B19" s="3">
        <v>7</v>
      </c>
      <c r="C19" s="77"/>
      <c r="D19" s="105" t="s">
        <v>116</v>
      </c>
      <c r="E19" s="106"/>
    </row>
    <row r="20" spans="1:5" s="1" customFormat="1" ht="15.75" x14ac:dyDescent="0.25">
      <c r="A20" s="19" t="s">
        <v>3</v>
      </c>
      <c r="B20" s="3">
        <v>1</v>
      </c>
      <c r="C20" s="77"/>
      <c r="D20" s="5"/>
      <c r="E20" s="7" t="s">
        <v>0</v>
      </c>
    </row>
    <row r="21" spans="1:5" s="1" customFormat="1" ht="16.5" thickBot="1" x14ac:dyDescent="0.3">
      <c r="A21" s="78" t="s">
        <v>1</v>
      </c>
      <c r="B21" s="4">
        <v>91</v>
      </c>
      <c r="C21" s="77"/>
      <c r="D21" s="8" t="s">
        <v>191</v>
      </c>
      <c r="E21" s="3">
        <v>30</v>
      </c>
    </row>
    <row r="22" spans="1:5" s="1" customFormat="1" ht="16.5" thickBot="1" x14ac:dyDescent="0.3">
      <c r="A22" s="77"/>
      <c r="B22" s="77"/>
      <c r="C22" s="77"/>
      <c r="D22" s="6" t="s">
        <v>98</v>
      </c>
      <c r="E22" s="3">
        <v>20</v>
      </c>
    </row>
    <row r="23" spans="1:5" s="1" customFormat="1" ht="32.25" thickBot="1" x14ac:dyDescent="0.3">
      <c r="A23" s="105" t="s">
        <v>147</v>
      </c>
      <c r="B23" s="106"/>
      <c r="C23" s="77"/>
      <c r="D23" s="18" t="s">
        <v>193</v>
      </c>
      <c r="E23" s="3">
        <v>8</v>
      </c>
    </row>
    <row r="24" spans="1:5" s="1" customFormat="1" ht="16.5" thickBot="1" x14ac:dyDescent="0.3">
      <c r="A24" s="66"/>
      <c r="B24" s="25" t="s">
        <v>0</v>
      </c>
      <c r="C24" s="77"/>
      <c r="D24" s="78" t="s">
        <v>1</v>
      </c>
      <c r="E24" s="4">
        <v>58</v>
      </c>
    </row>
    <row r="25" spans="1:5" s="1" customFormat="1" ht="16.5" thickBot="1" x14ac:dyDescent="0.3">
      <c r="A25" s="67" t="s">
        <v>189</v>
      </c>
      <c r="B25" s="26">
        <v>40</v>
      </c>
      <c r="C25" s="77"/>
      <c r="D25" s="77"/>
      <c r="E25" s="77"/>
    </row>
    <row r="26" spans="1:5" s="1" customFormat="1" ht="32.25" thickBot="1" x14ac:dyDescent="0.3">
      <c r="A26" s="18" t="s">
        <v>193</v>
      </c>
      <c r="B26" s="26">
        <v>15</v>
      </c>
      <c r="C26" s="77"/>
      <c r="D26" s="105" t="s">
        <v>117</v>
      </c>
      <c r="E26" s="106"/>
    </row>
    <row r="27" spans="1:5" s="1" customFormat="1" ht="16.5" thickBot="1" x14ac:dyDescent="0.3">
      <c r="A27" s="78" t="s">
        <v>1</v>
      </c>
      <c r="B27" s="70">
        <f>SUM(B25:B26)</f>
        <v>55</v>
      </c>
      <c r="C27" s="77"/>
      <c r="D27" s="5"/>
      <c r="E27" s="7" t="s">
        <v>0</v>
      </c>
    </row>
    <row r="28" spans="1:5" s="1" customFormat="1" ht="16.5" thickBot="1" x14ac:dyDescent="0.3">
      <c r="A28" s="77"/>
      <c r="B28" s="77"/>
      <c r="C28" s="77"/>
      <c r="D28" s="6" t="s">
        <v>98</v>
      </c>
      <c r="E28" s="3">
        <v>20</v>
      </c>
    </row>
    <row r="29" spans="1:5" ht="32.25" thickBot="1" x14ac:dyDescent="0.3">
      <c r="A29" s="105" t="s">
        <v>148</v>
      </c>
      <c r="B29" s="106"/>
      <c r="C29" s="77"/>
      <c r="D29" s="18" t="s">
        <v>193</v>
      </c>
      <c r="E29" s="3">
        <v>8</v>
      </c>
    </row>
    <row r="30" spans="1:5" ht="16.5" thickBot="1" x14ac:dyDescent="0.3">
      <c r="A30" s="66"/>
      <c r="B30" s="25" t="s">
        <v>0</v>
      </c>
      <c r="C30" s="77"/>
      <c r="D30" s="78" t="s">
        <v>1</v>
      </c>
      <c r="E30" s="4">
        <v>28</v>
      </c>
    </row>
    <row r="31" spans="1:5" ht="15.75" x14ac:dyDescent="0.25">
      <c r="A31" s="34" t="s">
        <v>9</v>
      </c>
      <c r="B31" s="26">
        <v>40</v>
      </c>
      <c r="C31" s="77"/>
      <c r="D31" s="77"/>
      <c r="E31" s="77"/>
    </row>
    <row r="32" spans="1:5" ht="15.75" x14ac:dyDescent="0.25">
      <c r="A32" s="68" t="s">
        <v>10</v>
      </c>
      <c r="B32" s="26">
        <v>80</v>
      </c>
      <c r="C32" s="77"/>
      <c r="D32" s="77"/>
      <c r="E32" s="77"/>
    </row>
    <row r="33" spans="1:5" ht="15.75" x14ac:dyDescent="0.25">
      <c r="A33" s="68" t="s">
        <v>11</v>
      </c>
      <c r="B33" s="26">
        <v>80</v>
      </c>
      <c r="C33" s="77"/>
      <c r="D33" s="77"/>
      <c r="E33" s="77"/>
    </row>
    <row r="34" spans="1:5" ht="16.5" thickBot="1" x14ac:dyDescent="0.3">
      <c r="A34" s="69" t="s">
        <v>3</v>
      </c>
      <c r="B34" s="29">
        <v>5</v>
      </c>
      <c r="C34" s="77"/>
      <c r="D34" s="77"/>
      <c r="E34" s="77"/>
    </row>
    <row r="35" spans="1:5" ht="16.5" thickBot="1" x14ac:dyDescent="0.3">
      <c r="A35" s="78" t="s">
        <v>1</v>
      </c>
      <c r="B35" s="70">
        <f>SUM(B31:B34)</f>
        <v>205</v>
      </c>
      <c r="C35" s="77"/>
    </row>
  </sheetData>
  <mergeCells count="6">
    <mergeCell ref="A29:B29"/>
    <mergeCell ref="A13:B13"/>
    <mergeCell ref="D13:E13"/>
    <mergeCell ref="D19:E19"/>
    <mergeCell ref="A23:B23"/>
    <mergeCell ref="D26:E26"/>
  </mergeCells>
  <pageMargins left="0.7" right="0.7" top="0.75" bottom="0.75" header="0.3" footer="0.3"/>
  <pageSetup scale="7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112C-32DD-4E35-A90C-759A83F58F9E}">
  <dimension ref="B1:F27"/>
  <sheetViews>
    <sheetView workbookViewId="0">
      <selection activeCell="J25" sqref="J25"/>
    </sheetView>
  </sheetViews>
  <sheetFormatPr defaultRowHeight="14.25" x14ac:dyDescent="0.2"/>
  <cols>
    <col min="1" max="1" width="9.140625" style="55"/>
    <col min="2" max="2" width="34.85546875" style="55" customWidth="1"/>
    <col min="3" max="3" width="9.5703125" style="55" bestFit="1" customWidth="1"/>
    <col min="4" max="4" width="9.140625" style="55"/>
    <col min="5" max="5" width="36.5703125" style="55" customWidth="1"/>
    <col min="6" max="6" width="11.7109375" style="55" customWidth="1"/>
    <col min="7" max="16384" width="9.140625" style="55"/>
  </cols>
  <sheetData>
    <row r="1" spans="2:6" ht="18" x14ac:dyDescent="0.25">
      <c r="B1" s="112" t="s">
        <v>198</v>
      </c>
      <c r="C1" s="112"/>
      <c r="D1" s="112"/>
      <c r="E1" s="112"/>
      <c r="F1" s="112"/>
    </row>
    <row r="2" spans="2:6" ht="15" thickBot="1" x14ac:dyDescent="0.25"/>
    <row r="3" spans="2:6" ht="15.75" thickBot="1" x14ac:dyDescent="0.3">
      <c r="B3" s="111" t="s">
        <v>101</v>
      </c>
      <c r="C3" s="110"/>
      <c r="E3" s="111" t="s">
        <v>102</v>
      </c>
      <c r="F3" s="110"/>
    </row>
    <row r="4" spans="2:6" ht="15" x14ac:dyDescent="0.25">
      <c r="B4" s="41"/>
      <c r="C4" s="42" t="s">
        <v>0</v>
      </c>
      <c r="E4" s="39"/>
      <c r="F4" s="40" t="s">
        <v>0</v>
      </c>
    </row>
    <row r="5" spans="2:6" ht="15" x14ac:dyDescent="0.25">
      <c r="B5" s="45" t="s">
        <v>86</v>
      </c>
      <c r="C5" s="46">
        <v>40</v>
      </c>
      <c r="E5" s="45" t="s">
        <v>195</v>
      </c>
      <c r="F5" s="44">
        <v>40</v>
      </c>
    </row>
    <row r="6" spans="2:6" ht="30" x14ac:dyDescent="0.25">
      <c r="B6" s="45" t="s">
        <v>83</v>
      </c>
      <c r="C6" s="46">
        <v>40</v>
      </c>
      <c r="E6" s="73" t="s">
        <v>194</v>
      </c>
      <c r="F6" s="44">
        <v>10</v>
      </c>
    </row>
    <row r="7" spans="2:6" ht="15.75" thickBot="1" x14ac:dyDescent="0.3">
      <c r="B7" s="45" t="s">
        <v>84</v>
      </c>
      <c r="C7" s="46">
        <v>40</v>
      </c>
      <c r="E7" s="47" t="s">
        <v>1</v>
      </c>
      <c r="F7" s="48">
        <v>50</v>
      </c>
    </row>
    <row r="8" spans="2:6" ht="15" thickBot="1" x14ac:dyDescent="0.25">
      <c r="B8" s="45" t="s">
        <v>85</v>
      </c>
      <c r="C8" s="46">
        <v>40</v>
      </c>
    </row>
    <row r="9" spans="2:6" ht="15.75" thickBot="1" x14ac:dyDescent="0.3">
      <c r="B9" s="50" t="s">
        <v>1</v>
      </c>
      <c r="C9" s="51">
        <v>160</v>
      </c>
      <c r="E9" s="111" t="s">
        <v>118</v>
      </c>
      <c r="F9" s="110"/>
    </row>
    <row r="10" spans="2:6" ht="15.75" thickBot="1" x14ac:dyDescent="0.3">
      <c r="E10" s="41"/>
      <c r="F10" s="42" t="s">
        <v>0</v>
      </c>
    </row>
    <row r="11" spans="2:6" ht="30.75" customHeight="1" thickBot="1" x14ac:dyDescent="0.3">
      <c r="B11" s="109" t="s">
        <v>106</v>
      </c>
      <c r="C11" s="110"/>
      <c r="E11" s="45" t="s">
        <v>103</v>
      </c>
      <c r="F11" s="46">
        <v>5</v>
      </c>
    </row>
    <row r="12" spans="2:6" ht="15" customHeight="1" x14ac:dyDescent="0.25">
      <c r="B12" s="41"/>
      <c r="C12" s="42" t="s">
        <v>0</v>
      </c>
      <c r="E12" s="45" t="s">
        <v>104</v>
      </c>
      <c r="F12" s="46">
        <v>0.7</v>
      </c>
    </row>
    <row r="13" spans="2:6" ht="15" customHeight="1" x14ac:dyDescent="0.25">
      <c r="B13" s="45" t="s">
        <v>195</v>
      </c>
      <c r="C13" s="46">
        <v>40</v>
      </c>
      <c r="E13" s="45" t="s">
        <v>105</v>
      </c>
      <c r="F13" s="46">
        <v>0.03</v>
      </c>
    </row>
    <row r="14" spans="2:6" ht="17.25" customHeight="1" thickBot="1" x14ac:dyDescent="0.3">
      <c r="B14" s="45" t="s">
        <v>93</v>
      </c>
      <c r="C14" s="46">
        <v>36</v>
      </c>
      <c r="E14" s="50" t="s">
        <v>1</v>
      </c>
      <c r="F14" s="51">
        <v>5.73</v>
      </c>
    </row>
    <row r="15" spans="2:6" ht="15.75" thickBot="1" x14ac:dyDescent="0.3">
      <c r="B15" s="50" t="s">
        <v>1</v>
      </c>
      <c r="C15" s="51">
        <v>76</v>
      </c>
      <c r="E15" s="61"/>
      <c r="F15" s="62"/>
    </row>
    <row r="16" spans="2:6" ht="15.75" thickBot="1" x14ac:dyDescent="0.3">
      <c r="E16" s="111" t="s">
        <v>180</v>
      </c>
      <c r="F16" s="110"/>
    </row>
    <row r="17" spans="2:6" ht="30" customHeight="1" thickBot="1" x14ac:dyDescent="0.3">
      <c r="B17" s="109" t="s">
        <v>107</v>
      </c>
      <c r="C17" s="110"/>
      <c r="E17" s="41"/>
      <c r="F17" s="42" t="s">
        <v>0</v>
      </c>
    </row>
    <row r="18" spans="2:6" ht="15" x14ac:dyDescent="0.25">
      <c r="B18" s="41"/>
      <c r="C18" s="42" t="s">
        <v>0</v>
      </c>
      <c r="E18" s="45" t="s">
        <v>86</v>
      </c>
      <c r="F18" s="46">
        <v>28</v>
      </c>
    </row>
    <row r="19" spans="2:6" ht="15" x14ac:dyDescent="0.25">
      <c r="B19" s="45" t="s">
        <v>195</v>
      </c>
      <c r="C19" s="46">
        <v>40</v>
      </c>
      <c r="E19" s="45" t="s">
        <v>83</v>
      </c>
      <c r="F19" s="46">
        <v>40</v>
      </c>
    </row>
    <row r="20" spans="2:6" x14ac:dyDescent="0.2">
      <c r="B20" s="45" t="s">
        <v>86</v>
      </c>
      <c r="C20" s="46">
        <v>9</v>
      </c>
      <c r="E20" s="45" t="s">
        <v>181</v>
      </c>
      <c r="F20" s="46">
        <v>40</v>
      </c>
    </row>
    <row r="21" spans="2:6" ht="15.75" thickBot="1" x14ac:dyDescent="0.3">
      <c r="B21" s="45" t="s">
        <v>83</v>
      </c>
      <c r="C21" s="46">
        <v>9</v>
      </c>
      <c r="E21" s="50" t="s">
        <v>1</v>
      </c>
      <c r="F21" s="51">
        <v>108</v>
      </c>
    </row>
    <row r="22" spans="2:6" ht="15" thickBot="1" x14ac:dyDescent="0.25">
      <c r="B22" s="45" t="s">
        <v>84</v>
      </c>
      <c r="C22" s="46">
        <v>9</v>
      </c>
    </row>
    <row r="23" spans="2:6" ht="15.75" thickBot="1" x14ac:dyDescent="0.3">
      <c r="B23" s="45" t="s">
        <v>85</v>
      </c>
      <c r="C23" s="46">
        <v>9</v>
      </c>
      <c r="E23" s="111" t="s">
        <v>211</v>
      </c>
      <c r="F23" s="110"/>
    </row>
    <row r="24" spans="2:6" ht="15.75" thickBot="1" x14ac:dyDescent="0.3">
      <c r="B24" s="50" t="s">
        <v>1</v>
      </c>
      <c r="C24" s="51">
        <v>76</v>
      </c>
      <c r="E24" s="41"/>
      <c r="F24" s="42" t="s">
        <v>0</v>
      </c>
    </row>
    <row r="25" spans="2:6" ht="30" x14ac:dyDescent="0.2">
      <c r="E25" s="79" t="s">
        <v>201</v>
      </c>
      <c r="F25" s="46">
        <v>120</v>
      </c>
    </row>
    <row r="26" spans="2:6" x14ac:dyDescent="0.2">
      <c r="B26" s="55" t="s">
        <v>210</v>
      </c>
      <c r="E26" s="45" t="s">
        <v>113</v>
      </c>
      <c r="F26" s="46">
        <v>1</v>
      </c>
    </row>
    <row r="27" spans="2:6" ht="15.75" thickBot="1" x14ac:dyDescent="0.3">
      <c r="E27" s="50" t="s">
        <v>1</v>
      </c>
      <c r="F27" s="51">
        <v>121</v>
      </c>
    </row>
  </sheetData>
  <mergeCells count="8">
    <mergeCell ref="B17:C17"/>
    <mergeCell ref="E16:F16"/>
    <mergeCell ref="E23:F23"/>
    <mergeCell ref="B1:F1"/>
    <mergeCell ref="E9:F9"/>
    <mergeCell ref="B3:C3"/>
    <mergeCell ref="B11:C11"/>
    <mergeCell ref="E3:F3"/>
  </mergeCells>
  <pageMargins left="0.7" right="0.7" top="0.75" bottom="0.75" header="0.3" footer="0.3"/>
  <pageSetup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8:C24"/>
  <sheetViews>
    <sheetView topLeftCell="A4" workbookViewId="0">
      <selection activeCell="E15" sqref="E15"/>
    </sheetView>
  </sheetViews>
  <sheetFormatPr defaultRowHeight="15" x14ac:dyDescent="0.2"/>
  <cols>
    <col min="1" max="1" width="37.85546875" style="77" customWidth="1"/>
    <col min="2" max="4" width="9.140625" style="77"/>
    <col min="5" max="5" width="39.140625" style="77" customWidth="1"/>
    <col min="6" max="16384" width="9.140625" style="77"/>
  </cols>
  <sheetData>
    <row r="8" spans="3:3" ht="44.25" customHeight="1" x14ac:dyDescent="0.25">
      <c r="C8" s="96" t="s">
        <v>12</v>
      </c>
    </row>
    <row r="9" spans="3:3" ht="15" customHeight="1" x14ac:dyDescent="0.25">
      <c r="C9" s="96"/>
    </row>
    <row r="10" spans="3:3" ht="15" customHeight="1" x14ac:dyDescent="0.25">
      <c r="C10" s="96"/>
    </row>
    <row r="11" spans="3:3" ht="15" customHeight="1" x14ac:dyDescent="0.25">
      <c r="C11" s="96"/>
    </row>
    <row r="12" spans="3:3" ht="15" customHeight="1" x14ac:dyDescent="0.25">
      <c r="C12" s="96"/>
    </row>
    <row r="13" spans="3:3" ht="15" customHeight="1" x14ac:dyDescent="0.25">
      <c r="C13" s="96"/>
    </row>
    <row r="14" spans="3:3" ht="15" customHeight="1" x14ac:dyDescent="0.2"/>
    <row r="15" spans="3:3" ht="15" customHeight="1" x14ac:dyDescent="0.2"/>
    <row r="16" spans="3:3" ht="15.75" thickBot="1" x14ac:dyDescent="0.25"/>
    <row r="17" spans="1:2" ht="16.5" thickBot="1" x14ac:dyDescent="0.3">
      <c r="A17" s="105" t="s">
        <v>81</v>
      </c>
      <c r="B17" s="106"/>
    </row>
    <row r="18" spans="1:2" ht="15.75" x14ac:dyDescent="0.25">
      <c r="A18" s="5"/>
      <c r="B18" s="7" t="s">
        <v>0</v>
      </c>
    </row>
    <row r="19" spans="1:2" ht="15.75" x14ac:dyDescent="0.25">
      <c r="A19" s="23" t="s">
        <v>190</v>
      </c>
      <c r="B19" s="3">
        <v>40</v>
      </c>
    </row>
    <row r="20" spans="1:2" ht="31.5" x14ac:dyDescent="0.25">
      <c r="A20" s="18" t="s">
        <v>193</v>
      </c>
      <c r="B20" s="3">
        <v>15</v>
      </c>
    </row>
    <row r="21" spans="1:2" ht="16.5" thickBot="1" x14ac:dyDescent="0.3">
      <c r="A21" s="17" t="s">
        <v>1</v>
      </c>
      <c r="B21" s="4">
        <v>55</v>
      </c>
    </row>
    <row r="24" spans="1:2" x14ac:dyDescent="0.2">
      <c r="A24" s="77" t="s">
        <v>223</v>
      </c>
    </row>
  </sheetData>
  <mergeCells count="1">
    <mergeCell ref="A17:B17"/>
  </mergeCells>
  <pageMargins left="0.7" right="0.7" top="0.75" bottom="0.75" header="0.3" footer="0.3"/>
  <pageSetup orientation="landscape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7456-DF07-49E7-8F79-455C0F6D3AEB}">
  <dimension ref="B2:C13"/>
  <sheetViews>
    <sheetView workbookViewId="0">
      <selection activeCell="G11" sqref="G11"/>
    </sheetView>
  </sheetViews>
  <sheetFormatPr defaultRowHeight="15" x14ac:dyDescent="0.25"/>
  <cols>
    <col min="2" max="2" width="43.28515625" customWidth="1"/>
    <col min="3" max="3" width="15" customWidth="1"/>
  </cols>
  <sheetData>
    <row r="2" spans="2:3" x14ac:dyDescent="0.25">
      <c r="B2" s="113" t="s">
        <v>152</v>
      </c>
      <c r="C2" s="113"/>
    </row>
    <row r="3" spans="2:3" x14ac:dyDescent="0.25">
      <c r="B3" s="113"/>
      <c r="C3" s="113"/>
    </row>
    <row r="4" spans="2:3" ht="15.75" thickBot="1" x14ac:dyDescent="0.3"/>
    <row r="5" spans="2:3" ht="16.5" thickBot="1" x14ac:dyDescent="0.3">
      <c r="B5" s="105" t="s">
        <v>153</v>
      </c>
      <c r="C5" s="106"/>
    </row>
    <row r="6" spans="2:3" ht="15.75" x14ac:dyDescent="0.25">
      <c r="B6" s="5"/>
      <c r="C6" s="7" t="s">
        <v>0</v>
      </c>
    </row>
    <row r="7" spans="2:3" ht="15.75" x14ac:dyDescent="0.25">
      <c r="B7" s="36" t="s">
        <v>149</v>
      </c>
      <c r="C7" s="3">
        <v>40</v>
      </c>
    </row>
    <row r="8" spans="2:3" ht="15.75" x14ac:dyDescent="0.25">
      <c r="B8" s="6" t="s">
        <v>37</v>
      </c>
      <c r="C8" s="3">
        <v>40</v>
      </c>
    </row>
    <row r="9" spans="2:3" ht="15.75" x14ac:dyDescent="0.25">
      <c r="B9" s="6" t="s">
        <v>48</v>
      </c>
      <c r="C9" s="3">
        <v>40</v>
      </c>
    </row>
    <row r="10" spans="2:3" ht="15.75" x14ac:dyDescent="0.25">
      <c r="B10" s="71" t="s">
        <v>151</v>
      </c>
      <c r="C10" s="59">
        <v>40</v>
      </c>
    </row>
    <row r="11" spans="2:3" ht="16.5" thickBot="1" x14ac:dyDescent="0.3">
      <c r="B11" s="17" t="s">
        <v>1</v>
      </c>
      <c r="C11" s="4">
        <v>160</v>
      </c>
    </row>
    <row r="13" spans="2:3" ht="15.75" x14ac:dyDescent="0.25">
      <c r="B13" s="72" t="s">
        <v>150</v>
      </c>
    </row>
  </sheetData>
  <mergeCells count="2">
    <mergeCell ref="B5:C5"/>
    <mergeCell ref="B2:C3"/>
  </mergeCells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ECBA-2F91-4655-B201-CC8E3DEDC27D}">
  <dimension ref="A1:C9"/>
  <sheetViews>
    <sheetView workbookViewId="0">
      <selection activeCell="D6" sqref="D6"/>
    </sheetView>
  </sheetViews>
  <sheetFormatPr defaultRowHeight="15" x14ac:dyDescent="0.25"/>
  <cols>
    <col min="1" max="1" width="35.140625" customWidth="1"/>
  </cols>
  <sheetData>
    <row r="1" spans="1:3" ht="26.25" customHeight="1" x14ac:dyDescent="0.35">
      <c r="A1" s="38" t="s">
        <v>183</v>
      </c>
      <c r="B1" s="38"/>
      <c r="C1" s="38"/>
    </row>
    <row r="2" spans="1:3" ht="15.75" thickBot="1" x14ac:dyDescent="0.3"/>
    <row r="3" spans="1:3" ht="16.5" thickBot="1" x14ac:dyDescent="0.3">
      <c r="A3" s="114" t="s">
        <v>184</v>
      </c>
      <c r="B3" s="115"/>
    </row>
    <row r="4" spans="1:3" ht="15.75" x14ac:dyDescent="0.25">
      <c r="A4" s="20"/>
      <c r="B4" s="7" t="s">
        <v>0</v>
      </c>
    </row>
    <row r="5" spans="1:3" ht="15.75" x14ac:dyDescent="0.25">
      <c r="A5" s="64" t="s">
        <v>197</v>
      </c>
      <c r="B5" s="29">
        <v>5</v>
      </c>
    </row>
    <row r="6" spans="1:3" ht="30" x14ac:dyDescent="0.25">
      <c r="A6" s="73" t="s">
        <v>194</v>
      </c>
      <c r="B6" s="29">
        <v>5</v>
      </c>
    </row>
    <row r="7" spans="1:3" ht="16.5" thickBot="1" x14ac:dyDescent="0.3">
      <c r="A7" s="74" t="s">
        <v>1</v>
      </c>
      <c r="B7" s="27">
        <f>SUM(B5:B6)</f>
        <v>10</v>
      </c>
    </row>
    <row r="9" spans="1:3" x14ac:dyDescent="0.25">
      <c r="A9" t="s">
        <v>196</v>
      </c>
    </row>
  </sheetData>
  <mergeCells count="1">
    <mergeCell ref="A3:B3"/>
  </mergeCells>
  <pageMargins left="0.7" right="0.7" top="0.75" bottom="0.75" header="0.3" footer="0.3"/>
  <pageSetup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464CF-487B-4D29-AB38-082486A880DA}">
  <sheetPr>
    <pageSetUpPr fitToPage="1"/>
  </sheetPr>
  <dimension ref="A1:E53"/>
  <sheetViews>
    <sheetView topLeftCell="A29" zoomScaleNormal="100" workbookViewId="0">
      <selection activeCell="D46" sqref="D46:E50"/>
    </sheetView>
  </sheetViews>
  <sheetFormatPr defaultRowHeight="14.25" x14ac:dyDescent="0.2"/>
  <cols>
    <col min="1" max="1" width="36" style="55" customWidth="1"/>
    <col min="2" max="2" width="9.5703125" style="55" bestFit="1" customWidth="1"/>
    <col min="3" max="3" width="9.140625" style="55"/>
    <col min="4" max="4" width="34.85546875" style="55" customWidth="1"/>
    <col min="5" max="5" width="14.85546875" style="55" customWidth="1"/>
    <col min="6" max="9" width="9.140625" style="55"/>
    <col min="10" max="10" width="19" style="55" customWidth="1"/>
    <col min="11" max="16384" width="9.140625" style="55"/>
  </cols>
  <sheetData>
    <row r="1" spans="1:5" ht="15" x14ac:dyDescent="0.25">
      <c r="C1" s="56" t="s">
        <v>56</v>
      </c>
    </row>
    <row r="2" spans="1:5" ht="15" thickBot="1" x14ac:dyDescent="0.25"/>
    <row r="3" spans="1:5" ht="15.75" thickBot="1" x14ac:dyDescent="0.3">
      <c r="A3" s="111" t="s">
        <v>57</v>
      </c>
      <c r="B3" s="110"/>
      <c r="D3" s="111" t="s">
        <v>55</v>
      </c>
      <c r="E3" s="110"/>
    </row>
    <row r="4" spans="1:5" ht="15" x14ac:dyDescent="0.25">
      <c r="A4" s="39"/>
      <c r="B4" s="40" t="s">
        <v>0</v>
      </c>
      <c r="D4" s="41"/>
      <c r="E4" s="42" t="s">
        <v>0</v>
      </c>
    </row>
    <row r="5" spans="1:5" ht="15" x14ac:dyDescent="0.25">
      <c r="A5" s="45" t="s">
        <v>195</v>
      </c>
      <c r="B5" s="44">
        <v>80</v>
      </c>
      <c r="D5" s="45" t="s">
        <v>200</v>
      </c>
      <c r="E5" s="46">
        <v>40</v>
      </c>
    </row>
    <row r="6" spans="1:5" ht="30" x14ac:dyDescent="0.25">
      <c r="A6" s="73" t="s">
        <v>194</v>
      </c>
      <c r="B6" s="44">
        <v>20</v>
      </c>
      <c r="D6" s="73" t="s">
        <v>194</v>
      </c>
      <c r="E6" s="46">
        <v>30</v>
      </c>
    </row>
    <row r="7" spans="1:5" ht="15.75" thickBot="1" x14ac:dyDescent="0.3">
      <c r="A7" s="47" t="s">
        <v>1</v>
      </c>
      <c r="B7" s="48">
        <v>100</v>
      </c>
      <c r="D7" s="45" t="s">
        <v>53</v>
      </c>
      <c r="E7" s="49">
        <v>6</v>
      </c>
    </row>
    <row r="8" spans="1:5" ht="15.75" thickBot="1" x14ac:dyDescent="0.3">
      <c r="D8" s="50" t="s">
        <v>1</v>
      </c>
      <c r="E8" s="51">
        <v>76</v>
      </c>
    </row>
    <row r="9" spans="1:5" ht="15.75" thickBot="1" x14ac:dyDescent="0.3">
      <c r="A9" s="111" t="s">
        <v>65</v>
      </c>
      <c r="B9" s="110"/>
    </row>
    <row r="10" spans="1:5" ht="15.75" thickBot="1" x14ac:dyDescent="0.3">
      <c r="A10" s="41"/>
      <c r="B10" s="40" t="s">
        <v>0</v>
      </c>
      <c r="D10" s="111" t="s">
        <v>60</v>
      </c>
      <c r="E10" s="110"/>
    </row>
    <row r="11" spans="1:5" ht="15" x14ac:dyDescent="0.25">
      <c r="A11" s="45" t="s">
        <v>64</v>
      </c>
      <c r="B11" s="44">
        <v>3</v>
      </c>
      <c r="D11" s="41"/>
      <c r="E11" s="42" t="s">
        <v>0</v>
      </c>
    </row>
    <row r="12" spans="1:5" ht="30" x14ac:dyDescent="0.25">
      <c r="A12" s="79" t="s">
        <v>201</v>
      </c>
      <c r="B12" s="44">
        <v>80</v>
      </c>
      <c r="D12" s="45" t="s">
        <v>127</v>
      </c>
      <c r="E12" s="49">
        <v>3</v>
      </c>
    </row>
    <row r="13" spans="1:5" ht="30.75" thickBot="1" x14ac:dyDescent="0.3">
      <c r="A13" s="50" t="s">
        <v>1</v>
      </c>
      <c r="B13" s="48">
        <v>83</v>
      </c>
      <c r="D13" s="79" t="s">
        <v>201</v>
      </c>
      <c r="E13" s="49">
        <v>80</v>
      </c>
    </row>
    <row r="14" spans="1:5" ht="15.75" thickBot="1" x14ac:dyDescent="0.3">
      <c r="D14" s="50" t="s">
        <v>1</v>
      </c>
      <c r="E14" s="51">
        <v>83</v>
      </c>
    </row>
    <row r="15" spans="1:5" ht="15.75" thickBot="1" x14ac:dyDescent="0.3">
      <c r="A15" s="111" t="s">
        <v>58</v>
      </c>
      <c r="B15" s="110"/>
    </row>
    <row r="16" spans="1:5" ht="15.75" thickBot="1" x14ac:dyDescent="0.3">
      <c r="A16" s="41"/>
      <c r="B16" s="42" t="s">
        <v>0</v>
      </c>
      <c r="D16" s="111" t="s">
        <v>89</v>
      </c>
      <c r="E16" s="110"/>
    </row>
    <row r="17" spans="1:5" ht="15" x14ac:dyDescent="0.25">
      <c r="A17" s="45" t="s">
        <v>128</v>
      </c>
      <c r="B17" s="46">
        <v>50</v>
      </c>
      <c r="D17" s="41"/>
      <c r="E17" s="42" t="s">
        <v>0</v>
      </c>
    </row>
    <row r="18" spans="1:5" x14ac:dyDescent="0.2">
      <c r="A18" s="45" t="s">
        <v>59</v>
      </c>
      <c r="B18" s="49">
        <v>6.25</v>
      </c>
      <c r="D18" s="45" t="s">
        <v>86</v>
      </c>
      <c r="E18" s="46">
        <v>40</v>
      </c>
    </row>
    <row r="19" spans="1:5" ht="15.75" thickBot="1" x14ac:dyDescent="0.3">
      <c r="A19" s="50" t="s">
        <v>1</v>
      </c>
      <c r="B19" s="51">
        <v>56.25</v>
      </c>
      <c r="D19" s="45" t="s">
        <v>83</v>
      </c>
      <c r="E19" s="46">
        <v>40</v>
      </c>
    </row>
    <row r="20" spans="1:5" ht="15" thickBot="1" x14ac:dyDescent="0.25">
      <c r="D20" s="45" t="s">
        <v>84</v>
      </c>
      <c r="E20" s="46">
        <v>40</v>
      </c>
    </row>
    <row r="21" spans="1:5" ht="15.75" thickBot="1" x14ac:dyDescent="0.3">
      <c r="A21" s="111" t="s">
        <v>66</v>
      </c>
      <c r="B21" s="110"/>
      <c r="D21" s="45" t="s">
        <v>85</v>
      </c>
      <c r="E21" s="46">
        <v>40</v>
      </c>
    </row>
    <row r="22" spans="1:5" ht="15.75" thickBot="1" x14ac:dyDescent="0.3">
      <c r="A22" s="41"/>
      <c r="B22" s="42" t="s">
        <v>0</v>
      </c>
      <c r="D22" s="50" t="s">
        <v>1</v>
      </c>
      <c r="E22" s="51">
        <v>160</v>
      </c>
    </row>
    <row r="23" spans="1:5" ht="30.75" thickBot="1" x14ac:dyDescent="0.3">
      <c r="A23" s="73" t="s">
        <v>194</v>
      </c>
      <c r="B23" s="46">
        <v>64</v>
      </c>
    </row>
    <row r="24" spans="1:5" ht="15.75" thickBot="1" x14ac:dyDescent="0.3">
      <c r="A24" s="45" t="s">
        <v>59</v>
      </c>
      <c r="B24" s="49">
        <v>32</v>
      </c>
      <c r="D24" s="109" t="s">
        <v>119</v>
      </c>
      <c r="E24" s="110"/>
    </row>
    <row r="25" spans="1:5" ht="15.75" thickBot="1" x14ac:dyDescent="0.3">
      <c r="A25" s="50" t="s">
        <v>1</v>
      </c>
      <c r="B25" s="51">
        <v>96</v>
      </c>
      <c r="D25" s="52"/>
      <c r="E25" s="40" t="s">
        <v>0</v>
      </c>
    </row>
    <row r="26" spans="1:5" ht="15.75" thickBot="1" x14ac:dyDescent="0.3">
      <c r="D26" s="43" t="s">
        <v>203</v>
      </c>
      <c r="E26" s="44">
        <v>40</v>
      </c>
    </row>
    <row r="27" spans="1:5" ht="15.75" thickBot="1" x14ac:dyDescent="0.3">
      <c r="A27" s="111" t="s">
        <v>121</v>
      </c>
      <c r="B27" s="110"/>
      <c r="D27" s="43" t="s">
        <v>200</v>
      </c>
      <c r="E27" s="44">
        <v>6.7</v>
      </c>
    </row>
    <row r="28" spans="1:5" ht="30" x14ac:dyDescent="0.25">
      <c r="A28" s="52"/>
      <c r="B28" s="40" t="s">
        <v>0</v>
      </c>
      <c r="D28" s="73" t="s">
        <v>194</v>
      </c>
      <c r="E28" s="44">
        <v>6.7</v>
      </c>
    </row>
    <row r="29" spans="1:5" ht="15" x14ac:dyDescent="0.25">
      <c r="A29" s="43" t="s">
        <v>202</v>
      </c>
      <c r="B29" s="44">
        <v>30</v>
      </c>
      <c r="D29" s="45" t="s">
        <v>168</v>
      </c>
      <c r="E29" s="53">
        <v>6.7</v>
      </c>
    </row>
    <row r="30" spans="1:5" ht="15.75" thickBot="1" x14ac:dyDescent="0.3">
      <c r="A30" s="43" t="s">
        <v>200</v>
      </c>
      <c r="B30" s="44">
        <v>13.6</v>
      </c>
      <c r="D30" s="47" t="s">
        <v>1</v>
      </c>
      <c r="E30" s="48">
        <v>60.1</v>
      </c>
    </row>
    <row r="31" spans="1:5" ht="15.75" thickBot="1" x14ac:dyDescent="0.3">
      <c r="A31" s="45" t="s">
        <v>91</v>
      </c>
      <c r="B31" s="53">
        <v>10.9</v>
      </c>
      <c r="D31" s="61"/>
      <c r="E31" s="62"/>
    </row>
    <row r="32" spans="1:5" ht="30.75" customHeight="1" thickBot="1" x14ac:dyDescent="0.3">
      <c r="A32" s="54" t="s">
        <v>126</v>
      </c>
      <c r="B32" s="53">
        <v>0.313</v>
      </c>
      <c r="D32" s="109" t="s">
        <v>120</v>
      </c>
      <c r="E32" s="110"/>
    </row>
    <row r="33" spans="1:5" ht="15.75" thickBot="1" x14ac:dyDescent="0.3">
      <c r="A33" s="47" t="s">
        <v>1</v>
      </c>
      <c r="B33" s="48">
        <v>54.813000000000002</v>
      </c>
      <c r="D33" s="52"/>
      <c r="E33" s="40" t="s">
        <v>0</v>
      </c>
    </row>
    <row r="34" spans="1:5" ht="15.75" thickBot="1" x14ac:dyDescent="0.3">
      <c r="A34" s="61"/>
      <c r="B34" s="62"/>
      <c r="D34" s="43" t="s">
        <v>200</v>
      </c>
      <c r="E34" s="44">
        <v>6.7</v>
      </c>
    </row>
    <row r="35" spans="1:5" ht="30.75" thickBot="1" x14ac:dyDescent="0.3">
      <c r="A35" s="111" t="s">
        <v>122</v>
      </c>
      <c r="B35" s="110"/>
      <c r="D35" s="73" t="s">
        <v>194</v>
      </c>
      <c r="E35" s="44">
        <v>6.7</v>
      </c>
    </row>
    <row r="36" spans="1:5" ht="15" x14ac:dyDescent="0.25">
      <c r="A36" s="52"/>
      <c r="B36" s="40" t="s">
        <v>0</v>
      </c>
      <c r="D36" s="45" t="s">
        <v>168</v>
      </c>
      <c r="E36" s="53">
        <v>6.7</v>
      </c>
    </row>
    <row r="37" spans="1:5" ht="15.75" thickBot="1" x14ac:dyDescent="0.3">
      <c r="A37" s="43" t="s">
        <v>200</v>
      </c>
      <c r="B37" s="44">
        <v>13.6</v>
      </c>
      <c r="D37" s="47" t="s">
        <v>1</v>
      </c>
      <c r="E37" s="48">
        <v>20.100000000000001</v>
      </c>
    </row>
    <row r="38" spans="1:5" ht="15" thickBot="1" x14ac:dyDescent="0.25">
      <c r="A38" s="45" t="s">
        <v>91</v>
      </c>
      <c r="B38" s="53">
        <v>10.9</v>
      </c>
    </row>
    <row r="39" spans="1:5" ht="15.75" thickBot="1" x14ac:dyDescent="0.3">
      <c r="A39" s="47" t="s">
        <v>1</v>
      </c>
      <c r="B39" s="48">
        <v>24.5</v>
      </c>
      <c r="D39" s="111" t="s">
        <v>124</v>
      </c>
      <c r="E39" s="110"/>
    </row>
    <row r="40" spans="1:5" ht="15.75" thickBot="1" x14ac:dyDescent="0.3">
      <c r="A40" s="61"/>
      <c r="B40" s="62"/>
      <c r="D40" s="41"/>
      <c r="E40" s="42" t="s">
        <v>0</v>
      </c>
    </row>
    <row r="41" spans="1:5" ht="30.75" thickBot="1" x14ac:dyDescent="0.3">
      <c r="A41" s="111" t="s">
        <v>123</v>
      </c>
      <c r="B41" s="110"/>
      <c r="D41" s="79" t="s">
        <v>201</v>
      </c>
      <c r="E41" s="46">
        <v>40</v>
      </c>
    </row>
    <row r="42" spans="1:5" ht="15" x14ac:dyDescent="0.25">
      <c r="A42" s="52"/>
      <c r="B42" s="40" t="s">
        <v>0</v>
      </c>
      <c r="D42" s="45" t="s">
        <v>128</v>
      </c>
      <c r="E42" s="46">
        <v>70</v>
      </c>
    </row>
    <row r="43" spans="1:5" ht="15" x14ac:dyDescent="0.25">
      <c r="A43" s="43" t="s">
        <v>202</v>
      </c>
      <c r="B43" s="44">
        <v>30</v>
      </c>
      <c r="D43" s="45" t="s">
        <v>100</v>
      </c>
      <c r="E43" s="46">
        <v>5</v>
      </c>
    </row>
    <row r="44" spans="1:5" ht="15.75" thickBot="1" x14ac:dyDescent="0.3">
      <c r="A44" s="54" t="s">
        <v>126</v>
      </c>
      <c r="B44" s="53">
        <v>0.313</v>
      </c>
      <c r="D44" s="50" t="s">
        <v>1</v>
      </c>
      <c r="E44" s="51">
        <v>115</v>
      </c>
    </row>
    <row r="45" spans="1:5" ht="15.75" thickBot="1" x14ac:dyDescent="0.3">
      <c r="A45" s="47" t="s">
        <v>1</v>
      </c>
      <c r="B45" s="48">
        <v>30.312999999999999</v>
      </c>
    </row>
    <row r="46" spans="1:5" ht="15.75" thickBot="1" x14ac:dyDescent="0.3">
      <c r="D46" s="111" t="s">
        <v>125</v>
      </c>
      <c r="E46" s="110"/>
    </row>
    <row r="47" spans="1:5" ht="15.75" thickBot="1" x14ac:dyDescent="0.3">
      <c r="A47" s="111" t="s">
        <v>110</v>
      </c>
      <c r="B47" s="110"/>
      <c r="D47" s="41"/>
      <c r="E47" s="42" t="s">
        <v>0</v>
      </c>
    </row>
    <row r="48" spans="1:5" ht="30" x14ac:dyDescent="0.25">
      <c r="A48" s="52"/>
      <c r="B48" s="40" t="s">
        <v>0</v>
      </c>
      <c r="D48" s="79" t="s">
        <v>201</v>
      </c>
      <c r="E48" s="46">
        <v>40</v>
      </c>
    </row>
    <row r="49" spans="1:5" x14ac:dyDescent="0.2">
      <c r="A49" s="43" t="s">
        <v>169</v>
      </c>
      <c r="B49" s="44">
        <v>1</v>
      </c>
      <c r="D49" s="45" t="s">
        <v>100</v>
      </c>
      <c r="E49" s="46">
        <v>5</v>
      </c>
    </row>
    <row r="50" spans="1:5" ht="15.75" thickBot="1" x14ac:dyDescent="0.3">
      <c r="A50" s="43" t="s">
        <v>111</v>
      </c>
      <c r="B50" s="44">
        <v>0.5</v>
      </c>
      <c r="D50" s="50" t="s">
        <v>1</v>
      </c>
      <c r="E50" s="51">
        <v>45</v>
      </c>
    </row>
    <row r="51" spans="1:5" x14ac:dyDescent="0.2">
      <c r="A51" s="45" t="s">
        <v>112</v>
      </c>
      <c r="B51" s="53">
        <v>0.5</v>
      </c>
    </row>
    <row r="52" spans="1:5" x14ac:dyDescent="0.2">
      <c r="A52" s="54" t="s">
        <v>113</v>
      </c>
      <c r="B52" s="53">
        <v>0.5</v>
      </c>
    </row>
    <row r="53" spans="1:5" ht="15.75" thickBot="1" x14ac:dyDescent="0.3">
      <c r="A53" s="47" t="s">
        <v>1</v>
      </c>
      <c r="B53" s="48">
        <v>2.5</v>
      </c>
      <c r="D53" s="63" t="s">
        <v>199</v>
      </c>
    </row>
  </sheetData>
  <mergeCells count="15">
    <mergeCell ref="A47:B47"/>
    <mergeCell ref="D39:E39"/>
    <mergeCell ref="D24:E24"/>
    <mergeCell ref="A27:B27"/>
    <mergeCell ref="D10:E10"/>
    <mergeCell ref="D32:E32"/>
    <mergeCell ref="A35:B35"/>
    <mergeCell ref="A41:B41"/>
    <mergeCell ref="D46:E46"/>
    <mergeCell ref="A3:B3"/>
    <mergeCell ref="A21:B21"/>
    <mergeCell ref="A9:B9"/>
    <mergeCell ref="D3:E3"/>
    <mergeCell ref="A15:B15"/>
    <mergeCell ref="D16:E16"/>
  </mergeCells>
  <pageMargins left="0.7" right="0.7" top="0.75" bottom="0.75" header="0.3" footer="0.3"/>
  <pageSetup scale="74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7"/>
  <sheetViews>
    <sheetView topLeftCell="A14" workbookViewId="0">
      <selection activeCell="A33" sqref="A33:B37"/>
    </sheetView>
  </sheetViews>
  <sheetFormatPr defaultRowHeight="15" x14ac:dyDescent="0.25"/>
  <cols>
    <col min="1" max="1" width="35.7109375" customWidth="1"/>
    <col min="2" max="3" width="9.5703125" bestFit="1" customWidth="1"/>
    <col min="4" max="4" width="12" customWidth="1"/>
    <col min="5" max="5" width="9.5703125" bestFit="1" customWidth="1"/>
    <col min="6" max="6" width="12" customWidth="1"/>
    <col min="7" max="11" width="9.5703125" bestFit="1" customWidth="1"/>
  </cols>
  <sheetData>
    <row r="1" spans="1:7" s="1" customFormat="1" ht="33" x14ac:dyDescent="0.45">
      <c r="C1" s="14" t="s">
        <v>14</v>
      </c>
      <c r="F1" s="103" t="s">
        <v>224</v>
      </c>
    </row>
    <row r="2" spans="1:7" s="1" customFormat="1" ht="16.5" thickBot="1" x14ac:dyDescent="0.3"/>
    <row r="3" spans="1:7" s="1" customFormat="1" ht="16.5" thickBot="1" x14ac:dyDescent="0.3">
      <c r="A3" s="105" t="s">
        <v>15</v>
      </c>
      <c r="B3" s="123"/>
      <c r="C3" s="123"/>
      <c r="D3" s="123"/>
      <c r="E3" s="106"/>
    </row>
    <row r="4" spans="1:7" s="1" customFormat="1" ht="15.75" x14ac:dyDescent="0.25">
      <c r="A4" s="5"/>
      <c r="B4" s="25" t="s">
        <v>0</v>
      </c>
      <c r="C4" s="25" t="s">
        <v>0</v>
      </c>
      <c r="D4" s="25" t="s">
        <v>0</v>
      </c>
      <c r="E4" s="25" t="s">
        <v>0</v>
      </c>
    </row>
    <row r="5" spans="1:7" s="1" customFormat="1" ht="15.75" x14ac:dyDescent="0.25">
      <c r="A5" s="21" t="s">
        <v>204</v>
      </c>
      <c r="B5" s="26">
        <v>10</v>
      </c>
      <c r="C5" s="26">
        <v>20</v>
      </c>
      <c r="D5" s="26">
        <v>40</v>
      </c>
      <c r="E5" s="26">
        <v>80</v>
      </c>
    </row>
    <row r="6" spans="1:7" s="1" customFormat="1" ht="15.75" x14ac:dyDescent="0.25">
      <c r="A6" s="21" t="s">
        <v>16</v>
      </c>
      <c r="B6" s="26">
        <v>4.25</v>
      </c>
      <c r="C6" s="26">
        <v>8.5</v>
      </c>
      <c r="D6" s="26">
        <v>17</v>
      </c>
      <c r="E6" s="26">
        <v>34</v>
      </c>
    </row>
    <row r="7" spans="1:7" s="1" customFormat="1" ht="15.75" x14ac:dyDescent="0.25">
      <c r="A7" s="21" t="s">
        <v>200</v>
      </c>
      <c r="B7" s="26">
        <v>4</v>
      </c>
      <c r="C7" s="26">
        <v>8</v>
      </c>
      <c r="D7" s="26">
        <v>16</v>
      </c>
      <c r="E7" s="26">
        <v>32</v>
      </c>
    </row>
    <row r="8" spans="1:7" s="1" customFormat="1" ht="15.75" x14ac:dyDescent="0.25">
      <c r="A8" s="21" t="s">
        <v>9</v>
      </c>
      <c r="B8" s="26">
        <v>4</v>
      </c>
      <c r="C8" s="26">
        <v>8</v>
      </c>
      <c r="D8" s="26">
        <v>16</v>
      </c>
      <c r="E8" s="26">
        <v>32</v>
      </c>
    </row>
    <row r="9" spans="1:7" s="1" customFormat="1" ht="15.75" x14ac:dyDescent="0.25">
      <c r="A9" s="21" t="s">
        <v>17</v>
      </c>
      <c r="B9" s="26">
        <v>3.75</v>
      </c>
      <c r="C9" s="26">
        <v>7.5</v>
      </c>
      <c r="D9" s="26">
        <v>15</v>
      </c>
      <c r="E9" s="26">
        <v>30</v>
      </c>
    </row>
    <row r="10" spans="1:7" s="1" customFormat="1" ht="15.75" x14ac:dyDescent="0.25">
      <c r="A10" s="21" t="s">
        <v>205</v>
      </c>
      <c r="B10" s="26">
        <v>2.5</v>
      </c>
      <c r="C10" s="26">
        <v>5</v>
      </c>
      <c r="D10" s="26">
        <v>10</v>
      </c>
      <c r="E10" s="26">
        <v>20</v>
      </c>
    </row>
    <row r="11" spans="1:7" s="1" customFormat="1" ht="15.75" x14ac:dyDescent="0.25">
      <c r="A11" s="28" t="s">
        <v>46</v>
      </c>
      <c r="B11" s="29">
        <v>0.6</v>
      </c>
      <c r="C11" s="29">
        <v>1.26</v>
      </c>
      <c r="D11" s="29">
        <v>2.5</v>
      </c>
      <c r="E11" s="29">
        <v>5</v>
      </c>
    </row>
    <row r="12" spans="1:7" s="1" customFormat="1" ht="16.5" thickBot="1" x14ac:dyDescent="0.3">
      <c r="A12" s="17" t="s">
        <v>1</v>
      </c>
      <c r="B12" s="27">
        <f>SUM(B5:B11)</f>
        <v>29.1</v>
      </c>
      <c r="C12" s="27">
        <f>SUM(C5:C11)</f>
        <v>58.26</v>
      </c>
      <c r="D12" s="27">
        <f>SUM(D5:D11)</f>
        <v>116.5</v>
      </c>
      <c r="E12" s="27">
        <f>SUM(E5:E11)</f>
        <v>233</v>
      </c>
    </row>
    <row r="13" spans="1:7" s="1" customFormat="1" ht="16.5" thickBot="1" x14ac:dyDescent="0.3"/>
    <row r="14" spans="1:7" ht="16.5" thickBot="1" x14ac:dyDescent="0.3">
      <c r="A14" s="105" t="s">
        <v>67</v>
      </c>
      <c r="B14" s="106"/>
      <c r="D14" s="124" t="s">
        <v>54</v>
      </c>
      <c r="E14" s="125"/>
      <c r="F14" s="125"/>
      <c r="G14" s="126"/>
    </row>
    <row r="15" spans="1:7" ht="15.75" x14ac:dyDescent="0.25">
      <c r="A15" s="22"/>
      <c r="B15" s="25" t="s">
        <v>0</v>
      </c>
      <c r="D15" s="127"/>
      <c r="E15" s="127"/>
      <c r="F15" s="128"/>
      <c r="G15" s="25" t="s">
        <v>0</v>
      </c>
    </row>
    <row r="16" spans="1:7" ht="30" x14ac:dyDescent="0.25">
      <c r="A16" s="73" t="s">
        <v>194</v>
      </c>
      <c r="B16" s="26">
        <v>80</v>
      </c>
      <c r="D16" s="129" t="s">
        <v>206</v>
      </c>
      <c r="E16" s="129"/>
      <c r="F16" s="130"/>
      <c r="G16" s="26">
        <v>40</v>
      </c>
    </row>
    <row r="17" spans="1:7" ht="15.75" x14ac:dyDescent="0.25">
      <c r="A17" s="23" t="s">
        <v>53</v>
      </c>
      <c r="B17" s="29">
        <v>20</v>
      </c>
      <c r="D17" s="131" t="s">
        <v>28</v>
      </c>
      <c r="E17" s="131"/>
      <c r="F17" s="132"/>
      <c r="G17" s="31">
        <v>14</v>
      </c>
    </row>
    <row r="18" spans="1:7" ht="16.5" thickBot="1" x14ac:dyDescent="0.3">
      <c r="A18" s="24" t="s">
        <v>1</v>
      </c>
      <c r="B18" s="27">
        <v>100</v>
      </c>
      <c r="D18" s="133" t="s">
        <v>1</v>
      </c>
      <c r="E18" s="133"/>
      <c r="F18" s="134"/>
      <c r="G18" s="27">
        <v>54</v>
      </c>
    </row>
    <row r="19" spans="1:7" ht="15.75" thickBot="1" x14ac:dyDescent="0.3"/>
    <row r="20" spans="1:7" ht="31.5" customHeight="1" thickBot="1" x14ac:dyDescent="0.3">
      <c r="A20" s="105" t="s">
        <v>129</v>
      </c>
      <c r="B20" s="106"/>
      <c r="D20" s="111" t="s">
        <v>225</v>
      </c>
      <c r="E20" s="120"/>
      <c r="F20" s="120"/>
      <c r="G20" s="110"/>
    </row>
    <row r="21" spans="1:7" ht="16.5" thickBot="1" x14ac:dyDescent="0.3">
      <c r="A21" s="57"/>
      <c r="B21" s="25" t="s">
        <v>0</v>
      </c>
      <c r="D21" s="121"/>
      <c r="E21" s="121"/>
      <c r="F21" s="122"/>
      <c r="G21" s="42" t="s">
        <v>0</v>
      </c>
    </row>
    <row r="22" spans="1:7" ht="15.75" x14ac:dyDescent="0.25">
      <c r="A22" s="45" t="s">
        <v>195</v>
      </c>
      <c r="B22" s="102">
        <v>40</v>
      </c>
      <c r="D22" s="116" t="s">
        <v>86</v>
      </c>
      <c r="E22" s="117"/>
      <c r="F22" s="117"/>
      <c r="G22" s="98">
        <v>40</v>
      </c>
    </row>
    <row r="23" spans="1:7" ht="30" x14ac:dyDescent="0.25">
      <c r="A23" s="100" t="s">
        <v>194</v>
      </c>
      <c r="B23" s="26">
        <v>13.3</v>
      </c>
      <c r="D23" s="116" t="s">
        <v>83</v>
      </c>
      <c r="E23" s="117"/>
      <c r="F23" s="117"/>
      <c r="G23" s="98">
        <v>40</v>
      </c>
    </row>
    <row r="24" spans="1:7" ht="15.75" x14ac:dyDescent="0.25">
      <c r="A24" s="101" t="s">
        <v>207</v>
      </c>
      <c r="B24" s="29">
        <v>13.3</v>
      </c>
      <c r="D24" s="116" t="s">
        <v>84</v>
      </c>
      <c r="E24" s="117"/>
      <c r="F24" s="117"/>
      <c r="G24" s="98">
        <v>40</v>
      </c>
    </row>
    <row r="25" spans="1:7" ht="16.5" thickBot="1" x14ac:dyDescent="0.3">
      <c r="A25" s="24" t="s">
        <v>1</v>
      </c>
      <c r="B25" s="27">
        <v>66.599999999999994</v>
      </c>
      <c r="D25" s="116" t="s">
        <v>85</v>
      </c>
      <c r="E25" s="117"/>
      <c r="F25" s="117"/>
      <c r="G25" s="98">
        <v>40</v>
      </c>
    </row>
    <row r="26" spans="1:7" ht="16.5" thickBot="1" x14ac:dyDescent="0.3">
      <c r="D26" s="118" t="s">
        <v>1</v>
      </c>
      <c r="E26" s="119"/>
      <c r="F26" s="119"/>
      <c r="G26" s="99">
        <v>160</v>
      </c>
    </row>
    <row r="27" spans="1:7" ht="16.5" thickBot="1" x14ac:dyDescent="0.3">
      <c r="A27" s="105" t="s">
        <v>130</v>
      </c>
      <c r="B27" s="106"/>
    </row>
    <row r="28" spans="1:7" ht="16.5" thickBot="1" x14ac:dyDescent="0.3">
      <c r="A28" s="57"/>
      <c r="B28" s="25" t="s">
        <v>0</v>
      </c>
    </row>
    <row r="29" spans="1:7" ht="15.75" x14ac:dyDescent="0.25">
      <c r="A29" s="45" t="s">
        <v>195</v>
      </c>
      <c r="B29" s="58">
        <v>40</v>
      </c>
    </row>
    <row r="30" spans="1:7" ht="15.75" x14ac:dyDescent="0.25">
      <c r="A30" s="43" t="s">
        <v>207</v>
      </c>
      <c r="B30" s="29">
        <v>13.3</v>
      </c>
    </row>
    <row r="31" spans="1:7" ht="16.5" thickBot="1" x14ac:dyDescent="0.3">
      <c r="A31" s="24" t="s">
        <v>1</v>
      </c>
      <c r="B31" s="27">
        <v>53.3</v>
      </c>
    </row>
    <row r="32" spans="1:7" ht="15.75" thickBot="1" x14ac:dyDescent="0.3"/>
    <row r="33" spans="1:2" ht="15.75" thickBot="1" x14ac:dyDescent="0.3">
      <c r="A33" s="111" t="s">
        <v>226</v>
      </c>
      <c r="B33" s="110"/>
    </row>
    <row r="34" spans="1:2" x14ac:dyDescent="0.25">
      <c r="A34" s="41"/>
      <c r="B34" s="42" t="s">
        <v>0</v>
      </c>
    </row>
    <row r="35" spans="1:2" ht="30" x14ac:dyDescent="0.25">
      <c r="A35" s="79" t="s">
        <v>201</v>
      </c>
      <c r="B35" s="46">
        <v>40</v>
      </c>
    </row>
    <row r="36" spans="1:2" x14ac:dyDescent="0.25">
      <c r="A36" s="45" t="s">
        <v>100</v>
      </c>
      <c r="B36" s="46">
        <v>5</v>
      </c>
    </row>
    <row r="37" spans="1:2" ht="15.75" thickBot="1" x14ac:dyDescent="0.3">
      <c r="A37" s="50" t="s">
        <v>1</v>
      </c>
      <c r="B37" s="51">
        <v>45</v>
      </c>
    </row>
  </sheetData>
  <mergeCells count="17">
    <mergeCell ref="A3:E3"/>
    <mergeCell ref="A14:B14"/>
    <mergeCell ref="D14:G14"/>
    <mergeCell ref="A20:B20"/>
    <mergeCell ref="D15:F15"/>
    <mergeCell ref="D16:F16"/>
    <mergeCell ref="D17:F17"/>
    <mergeCell ref="D18:F18"/>
    <mergeCell ref="D24:F24"/>
    <mergeCell ref="D25:F25"/>
    <mergeCell ref="D26:F26"/>
    <mergeCell ref="A33:B33"/>
    <mergeCell ref="D20:G20"/>
    <mergeCell ref="D21:F21"/>
    <mergeCell ref="D22:F22"/>
    <mergeCell ref="D23:F23"/>
    <mergeCell ref="A27:B27"/>
  </mergeCells>
  <pageMargins left="0.25" right="0.25" top="0.75" bottom="0.75" header="0.3" footer="0.3"/>
  <pageSetup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62"/>
  <sheetViews>
    <sheetView topLeftCell="A37" zoomScaleNormal="100" workbookViewId="0">
      <selection activeCell="O23" sqref="O23"/>
    </sheetView>
  </sheetViews>
  <sheetFormatPr defaultRowHeight="15" x14ac:dyDescent="0.25"/>
  <cols>
    <col min="1" max="1" width="38.140625" customWidth="1"/>
    <col min="2" max="2" width="17" customWidth="1"/>
    <col min="3" max="3" width="10.28515625" customWidth="1"/>
    <col min="4" max="4" width="5.28515625" customWidth="1"/>
    <col min="5" max="5" width="38.28515625" customWidth="1"/>
    <col min="6" max="6" width="13.85546875" customWidth="1"/>
  </cols>
  <sheetData>
    <row r="1" spans="1:6" ht="15.75" thickBot="1" x14ac:dyDescent="0.3">
      <c r="C1" s="80" t="s">
        <v>170</v>
      </c>
      <c r="D1" s="80"/>
    </row>
    <row r="2" spans="1:6" ht="15.75" thickBot="1" x14ac:dyDescent="0.3">
      <c r="A2" s="111" t="s">
        <v>26</v>
      </c>
      <c r="B2" s="110"/>
      <c r="E2" s="111" t="s">
        <v>27</v>
      </c>
      <c r="F2" s="110"/>
    </row>
    <row r="3" spans="1:6" x14ac:dyDescent="0.25">
      <c r="A3" s="39"/>
      <c r="B3" s="81" t="s">
        <v>0</v>
      </c>
      <c r="E3" s="52"/>
      <c r="F3" s="40" t="s">
        <v>0</v>
      </c>
    </row>
    <row r="4" spans="1:6" ht="30" x14ac:dyDescent="0.25">
      <c r="A4" s="92" t="s">
        <v>206</v>
      </c>
      <c r="B4" s="46">
        <v>40</v>
      </c>
      <c r="E4" s="82" t="s">
        <v>200</v>
      </c>
      <c r="F4" s="44">
        <v>80</v>
      </c>
    </row>
    <row r="5" spans="1:6" x14ac:dyDescent="0.25">
      <c r="A5" s="82" t="s">
        <v>28</v>
      </c>
      <c r="B5" s="46">
        <v>14</v>
      </c>
      <c r="E5" s="82" t="s">
        <v>19</v>
      </c>
      <c r="F5" s="44">
        <v>40</v>
      </c>
    </row>
    <row r="6" spans="1:6" ht="15.75" thickBot="1" x14ac:dyDescent="0.3">
      <c r="A6" s="47" t="s">
        <v>1</v>
      </c>
      <c r="B6" s="51">
        <v>54</v>
      </c>
      <c r="E6" s="83" t="s">
        <v>20</v>
      </c>
      <c r="F6" s="44">
        <v>22</v>
      </c>
    </row>
    <row r="7" spans="1:6" ht="15.75" thickBot="1" x14ac:dyDescent="0.3">
      <c r="E7" s="47" t="s">
        <v>1</v>
      </c>
      <c r="F7" s="48">
        <v>142</v>
      </c>
    </row>
    <row r="8" spans="1:6" ht="15.75" thickBot="1" x14ac:dyDescent="0.3">
      <c r="A8" s="111" t="s">
        <v>29</v>
      </c>
      <c r="B8" s="110"/>
    </row>
    <row r="9" spans="1:6" ht="15.75" thickBot="1" x14ac:dyDescent="0.3">
      <c r="A9" s="52"/>
      <c r="B9" s="81" t="s">
        <v>0</v>
      </c>
      <c r="E9" s="111" t="s">
        <v>30</v>
      </c>
      <c r="F9" s="110"/>
    </row>
    <row r="10" spans="1:6" x14ac:dyDescent="0.25">
      <c r="A10" s="84" t="s">
        <v>200</v>
      </c>
      <c r="B10" s="85">
        <v>80</v>
      </c>
      <c r="E10" s="86"/>
      <c r="F10" s="81" t="s">
        <v>0</v>
      </c>
    </row>
    <row r="11" spans="1:6" x14ac:dyDescent="0.25">
      <c r="A11" s="84" t="s">
        <v>21</v>
      </c>
      <c r="B11" s="85">
        <v>28</v>
      </c>
      <c r="E11" s="87" t="s">
        <v>19</v>
      </c>
      <c r="F11" s="49">
        <v>40</v>
      </c>
    </row>
    <row r="12" spans="1:6" x14ac:dyDescent="0.25">
      <c r="A12" s="84" t="s">
        <v>22</v>
      </c>
      <c r="B12" s="85">
        <v>28</v>
      </c>
      <c r="E12" s="88" t="s">
        <v>145</v>
      </c>
      <c r="F12" s="46">
        <v>15</v>
      </c>
    </row>
    <row r="13" spans="1:6" ht="15.75" thickBot="1" x14ac:dyDescent="0.3">
      <c r="A13" s="84" t="s">
        <v>145</v>
      </c>
      <c r="B13" s="85">
        <v>16</v>
      </c>
      <c r="E13" s="89" t="s">
        <v>1</v>
      </c>
      <c r="F13" s="51">
        <v>55</v>
      </c>
    </row>
    <row r="14" spans="1:6" ht="15.75" thickBot="1" x14ac:dyDescent="0.3">
      <c r="A14" s="82" t="s">
        <v>31</v>
      </c>
      <c r="B14" s="46">
        <v>4</v>
      </c>
    </row>
    <row r="15" spans="1:6" ht="15.75" thickBot="1" x14ac:dyDescent="0.3">
      <c r="A15" s="82" t="s">
        <v>144</v>
      </c>
      <c r="B15" s="46">
        <v>1.2</v>
      </c>
      <c r="E15" s="111" t="s">
        <v>61</v>
      </c>
      <c r="F15" s="110"/>
    </row>
    <row r="16" spans="1:6" x14ac:dyDescent="0.25">
      <c r="A16" s="73" t="s">
        <v>23</v>
      </c>
      <c r="B16" s="46">
        <v>1</v>
      </c>
      <c r="E16" s="86"/>
      <c r="F16" s="81" t="s">
        <v>0</v>
      </c>
    </row>
    <row r="17" spans="1:6" ht="30.75" thickBot="1" x14ac:dyDescent="0.3">
      <c r="A17" s="47" t="s">
        <v>1</v>
      </c>
      <c r="B17" s="51">
        <v>158.19999999999999</v>
      </c>
      <c r="E17" s="92" t="s">
        <v>206</v>
      </c>
      <c r="F17" s="46">
        <v>80</v>
      </c>
    </row>
    <row r="18" spans="1:6" ht="15.75" thickBot="1" x14ac:dyDescent="0.3">
      <c r="E18" s="88" t="s">
        <v>167</v>
      </c>
      <c r="F18" s="46">
        <v>20</v>
      </c>
    </row>
    <row r="19" spans="1:6" ht="15.75" thickBot="1" x14ac:dyDescent="0.3">
      <c r="A19" s="111" t="s">
        <v>131</v>
      </c>
      <c r="B19" s="110"/>
      <c r="E19" s="89" t="s">
        <v>1</v>
      </c>
      <c r="F19" s="51">
        <v>100</v>
      </c>
    </row>
    <row r="20" spans="1:6" ht="15.75" thickBot="1" x14ac:dyDescent="0.3">
      <c r="A20" s="52"/>
      <c r="B20" s="40" t="s">
        <v>0</v>
      </c>
    </row>
    <row r="21" spans="1:6" ht="15.75" thickBot="1" x14ac:dyDescent="0.3">
      <c r="A21" s="43" t="s">
        <v>207</v>
      </c>
      <c r="B21" s="44">
        <v>40</v>
      </c>
      <c r="E21" s="111" t="s">
        <v>33</v>
      </c>
      <c r="F21" s="110"/>
    </row>
    <row r="22" spans="1:6" x14ac:dyDescent="0.25">
      <c r="A22" s="82" t="s">
        <v>200</v>
      </c>
      <c r="B22" s="44">
        <v>16</v>
      </c>
      <c r="E22" s="39"/>
      <c r="F22" s="40" t="s">
        <v>0</v>
      </c>
    </row>
    <row r="23" spans="1:6" ht="30" x14ac:dyDescent="0.25">
      <c r="A23" s="73" t="s">
        <v>194</v>
      </c>
      <c r="B23" s="44">
        <v>10</v>
      </c>
      <c r="E23" s="82" t="s">
        <v>34</v>
      </c>
      <c r="F23" s="44" t="s">
        <v>35</v>
      </c>
    </row>
    <row r="24" spans="1:6" ht="15.75" thickBot="1" x14ac:dyDescent="0.3">
      <c r="A24" s="47" t="s">
        <v>1</v>
      </c>
      <c r="B24" s="48">
        <v>66</v>
      </c>
      <c r="E24" s="82" t="s">
        <v>36</v>
      </c>
      <c r="F24" s="44">
        <v>20</v>
      </c>
    </row>
    <row r="25" spans="1:6" ht="15.75" thickBot="1" x14ac:dyDescent="0.3">
      <c r="A25" s="61"/>
      <c r="B25" s="62"/>
      <c r="E25" s="82" t="s">
        <v>50</v>
      </c>
      <c r="F25" s="44">
        <v>20</v>
      </c>
    </row>
    <row r="26" spans="1:6" ht="15.75" thickBot="1" x14ac:dyDescent="0.3">
      <c r="A26" s="111" t="s">
        <v>132</v>
      </c>
      <c r="B26" s="110"/>
      <c r="D26" s="61"/>
      <c r="E26" s="82" t="s">
        <v>2</v>
      </c>
      <c r="F26" s="44">
        <v>4</v>
      </c>
    </row>
    <row r="27" spans="1:6" ht="15.75" thickBot="1" x14ac:dyDescent="0.3">
      <c r="A27" s="52"/>
      <c r="B27" s="40" t="s">
        <v>0</v>
      </c>
      <c r="D27" s="61"/>
      <c r="E27" s="47" t="s">
        <v>1</v>
      </c>
      <c r="F27" s="48" t="s">
        <v>49</v>
      </c>
    </row>
    <row r="28" spans="1:6" x14ac:dyDescent="0.25">
      <c r="A28" s="82" t="s">
        <v>200</v>
      </c>
      <c r="B28" s="44">
        <v>16</v>
      </c>
      <c r="D28" s="61"/>
      <c r="E28" t="s">
        <v>208</v>
      </c>
    </row>
    <row r="29" spans="1:6" ht="30" x14ac:dyDescent="0.25">
      <c r="A29" s="73" t="s">
        <v>194</v>
      </c>
      <c r="B29" s="44">
        <v>10</v>
      </c>
      <c r="D29" s="90"/>
      <c r="E29" t="s">
        <v>43</v>
      </c>
    </row>
    <row r="30" spans="1:6" ht="15.75" thickBot="1" x14ac:dyDescent="0.3">
      <c r="A30" s="47" t="s">
        <v>1</v>
      </c>
      <c r="B30" s="48">
        <v>26</v>
      </c>
      <c r="D30" s="61"/>
    </row>
    <row r="31" spans="1:6" x14ac:dyDescent="0.25">
      <c r="A31" s="55" t="s">
        <v>199</v>
      </c>
      <c r="D31" s="61"/>
    </row>
    <row r="32" spans="1:6" x14ac:dyDescent="0.25">
      <c r="A32" s="55"/>
      <c r="D32" s="61"/>
    </row>
    <row r="33" spans="1:6" x14ac:dyDescent="0.25">
      <c r="A33" s="55"/>
      <c r="D33" s="61"/>
    </row>
    <row r="34" spans="1:6" ht="15.75" thickBot="1" x14ac:dyDescent="0.3">
      <c r="D34" s="61"/>
    </row>
    <row r="35" spans="1:6" ht="15.75" thickBot="1" x14ac:dyDescent="0.3">
      <c r="A35" s="111" t="s">
        <v>87</v>
      </c>
      <c r="B35" s="110"/>
      <c r="E35" s="111" t="s">
        <v>45</v>
      </c>
      <c r="F35" s="110"/>
    </row>
    <row r="36" spans="1:6" x14ac:dyDescent="0.25">
      <c r="A36" s="41"/>
      <c r="B36" s="42" t="s">
        <v>0</v>
      </c>
      <c r="C36" s="55"/>
      <c r="E36" s="86"/>
      <c r="F36" s="81" t="s">
        <v>0</v>
      </c>
    </row>
    <row r="37" spans="1:6" x14ac:dyDescent="0.25">
      <c r="A37" s="82" t="s">
        <v>200</v>
      </c>
      <c r="B37" s="46">
        <v>40</v>
      </c>
      <c r="C37" s="55"/>
      <c r="E37" s="45" t="s">
        <v>195</v>
      </c>
      <c r="F37" s="49">
        <v>40</v>
      </c>
    </row>
    <row r="38" spans="1:6" ht="30" x14ac:dyDescent="0.25">
      <c r="A38" s="73" t="s">
        <v>194</v>
      </c>
      <c r="B38" s="46">
        <v>22.4</v>
      </c>
      <c r="C38" s="55"/>
      <c r="E38" s="73" t="s">
        <v>194</v>
      </c>
      <c r="F38" s="46">
        <v>25</v>
      </c>
    </row>
    <row r="39" spans="1:6" ht="15.75" thickBot="1" x14ac:dyDescent="0.3">
      <c r="A39" s="45" t="s">
        <v>53</v>
      </c>
      <c r="B39" s="49">
        <v>6.4</v>
      </c>
      <c r="C39" s="55"/>
      <c r="E39" s="89" t="s">
        <v>1</v>
      </c>
      <c r="F39" s="51">
        <v>65</v>
      </c>
    </row>
    <row r="40" spans="1:6" ht="15.75" thickBot="1" x14ac:dyDescent="0.3">
      <c r="A40" s="50" t="s">
        <v>1</v>
      </c>
      <c r="B40" s="51">
        <v>68.8</v>
      </c>
      <c r="C40" s="55"/>
    </row>
    <row r="41" spans="1:6" ht="15.75" thickBot="1" x14ac:dyDescent="0.3">
      <c r="A41" s="55"/>
      <c r="B41" s="55"/>
      <c r="C41" s="55"/>
      <c r="E41" s="111" t="s">
        <v>62</v>
      </c>
      <c r="F41" s="110"/>
    </row>
    <row r="42" spans="1:6" ht="15.75" thickBot="1" x14ac:dyDescent="0.3">
      <c r="A42" s="111" t="s">
        <v>108</v>
      </c>
      <c r="B42" s="110"/>
      <c r="C42" s="55"/>
      <c r="E42" s="39"/>
      <c r="F42" s="81" t="s">
        <v>0</v>
      </c>
    </row>
    <row r="43" spans="1:6" x14ac:dyDescent="0.25">
      <c r="A43" s="82"/>
      <c r="B43" s="40" t="s">
        <v>0</v>
      </c>
      <c r="C43" s="55"/>
      <c r="E43" s="45" t="s">
        <v>195</v>
      </c>
      <c r="F43" s="46">
        <v>40</v>
      </c>
    </row>
    <row r="44" spans="1:6" x14ac:dyDescent="0.25">
      <c r="A44" s="82" t="s">
        <v>109</v>
      </c>
      <c r="B44" s="44">
        <v>40</v>
      </c>
      <c r="C44" s="55"/>
      <c r="E44" s="82" t="s">
        <v>90</v>
      </c>
      <c r="F44" s="46">
        <v>56</v>
      </c>
    </row>
    <row r="45" spans="1:6" ht="15.75" thickBot="1" x14ac:dyDescent="0.3">
      <c r="A45" s="82" t="s">
        <v>83</v>
      </c>
      <c r="B45" s="44">
        <v>40</v>
      </c>
      <c r="C45" s="55"/>
      <c r="D45" s="55"/>
      <c r="E45" s="47" t="s">
        <v>1</v>
      </c>
      <c r="F45" s="51">
        <v>96</v>
      </c>
    </row>
    <row r="46" spans="1:6" ht="15.75" thickBot="1" x14ac:dyDescent="0.3">
      <c r="A46" s="82" t="s">
        <v>84</v>
      </c>
      <c r="B46" s="44">
        <v>40</v>
      </c>
      <c r="C46" s="55"/>
      <c r="D46" s="55"/>
    </row>
    <row r="47" spans="1:6" ht="15.75" thickBot="1" x14ac:dyDescent="0.3">
      <c r="A47" s="43" t="s">
        <v>85</v>
      </c>
      <c r="B47" s="44">
        <v>40</v>
      </c>
      <c r="C47" s="55"/>
      <c r="D47" s="55"/>
      <c r="E47" s="111" t="s">
        <v>135</v>
      </c>
      <c r="F47" s="110"/>
    </row>
    <row r="48" spans="1:6" ht="15.75" thickBot="1" x14ac:dyDescent="0.3">
      <c r="A48" s="50" t="s">
        <v>1</v>
      </c>
      <c r="B48" s="51">
        <v>160</v>
      </c>
      <c r="C48" s="55"/>
      <c r="D48" s="55"/>
      <c r="E48" s="41"/>
      <c r="F48" s="42" t="s">
        <v>0</v>
      </c>
    </row>
    <row r="49" spans="1:6" ht="30.75" thickBot="1" x14ac:dyDescent="0.3">
      <c r="A49" s="55"/>
      <c r="B49" s="55"/>
      <c r="C49" s="55"/>
      <c r="D49" s="55"/>
      <c r="E49" s="92" t="s">
        <v>206</v>
      </c>
      <c r="F49" s="49">
        <v>40</v>
      </c>
    </row>
    <row r="50" spans="1:6" ht="15.75" thickBot="1" x14ac:dyDescent="0.3">
      <c r="A50" s="111" t="s">
        <v>66</v>
      </c>
      <c r="B50" s="110"/>
      <c r="C50" s="55"/>
      <c r="D50" s="55"/>
      <c r="E50" s="45" t="s">
        <v>70</v>
      </c>
      <c r="F50" s="49">
        <v>10.4</v>
      </c>
    </row>
    <row r="51" spans="1:6" x14ac:dyDescent="0.25">
      <c r="A51" s="41"/>
      <c r="B51" s="42" t="s">
        <v>0</v>
      </c>
      <c r="C51" s="55"/>
      <c r="D51" s="55"/>
      <c r="E51" s="45" t="s">
        <v>71</v>
      </c>
      <c r="F51" s="49">
        <v>9.6999999999999993</v>
      </c>
    </row>
    <row r="52" spans="1:6" ht="30" x14ac:dyDescent="0.25">
      <c r="A52" s="73" t="s">
        <v>194</v>
      </c>
      <c r="B52" s="46">
        <v>50</v>
      </c>
      <c r="D52" s="55"/>
      <c r="E52" s="91" t="s">
        <v>72</v>
      </c>
      <c r="F52" s="49">
        <v>8.3000000000000007</v>
      </c>
    </row>
    <row r="53" spans="1:6" x14ac:dyDescent="0.25">
      <c r="A53" s="45" t="s">
        <v>59</v>
      </c>
      <c r="B53" s="49">
        <v>25</v>
      </c>
      <c r="D53" s="55"/>
      <c r="E53" s="45" t="s">
        <v>59</v>
      </c>
      <c r="F53" s="49">
        <v>2.8</v>
      </c>
    </row>
    <row r="54" spans="1:6" ht="15.75" thickBot="1" x14ac:dyDescent="0.3">
      <c r="A54" s="50" t="s">
        <v>1</v>
      </c>
      <c r="B54" s="51">
        <v>75</v>
      </c>
      <c r="D54" s="55"/>
      <c r="E54" s="50" t="s">
        <v>1</v>
      </c>
      <c r="F54" s="51">
        <v>71.2</v>
      </c>
    </row>
    <row r="55" spans="1:6" ht="15.75" thickBot="1" x14ac:dyDescent="0.3">
      <c r="A55" s="55"/>
      <c r="B55" s="55"/>
      <c r="D55" s="55"/>
      <c r="E55" s="55"/>
      <c r="F55" s="55"/>
    </row>
    <row r="56" spans="1:6" ht="15.75" thickBot="1" x14ac:dyDescent="0.3">
      <c r="A56" s="55" t="s">
        <v>199</v>
      </c>
      <c r="B56" s="55"/>
      <c r="D56" s="55"/>
      <c r="E56" s="109" t="s">
        <v>136</v>
      </c>
      <c r="F56" s="110"/>
    </row>
    <row r="57" spans="1:6" x14ac:dyDescent="0.25">
      <c r="D57" s="55"/>
      <c r="E57" s="41"/>
      <c r="F57" s="42" t="s">
        <v>0</v>
      </c>
    </row>
    <row r="58" spans="1:6" x14ac:dyDescent="0.25">
      <c r="D58" s="55"/>
      <c r="E58" s="45" t="s">
        <v>70</v>
      </c>
      <c r="F58" s="49">
        <v>10.4</v>
      </c>
    </row>
    <row r="59" spans="1:6" x14ac:dyDescent="0.25">
      <c r="D59" s="55"/>
      <c r="E59" s="45" t="s">
        <v>71</v>
      </c>
      <c r="F59" s="49">
        <v>9.6999999999999993</v>
      </c>
    </row>
    <row r="60" spans="1:6" x14ac:dyDescent="0.25">
      <c r="D60" s="55"/>
      <c r="E60" s="91" t="s">
        <v>72</v>
      </c>
      <c r="F60" s="49">
        <v>8.3000000000000007</v>
      </c>
    </row>
    <row r="61" spans="1:6" x14ac:dyDescent="0.25">
      <c r="E61" s="45" t="s">
        <v>59</v>
      </c>
      <c r="F61" s="49">
        <v>2.8</v>
      </c>
    </row>
    <row r="62" spans="1:6" ht="15.75" thickBot="1" x14ac:dyDescent="0.3">
      <c r="E62" s="50" t="s">
        <v>1</v>
      </c>
      <c r="F62" s="51">
        <v>31.2</v>
      </c>
    </row>
  </sheetData>
  <mergeCells count="15">
    <mergeCell ref="A50:B50"/>
    <mergeCell ref="E47:F47"/>
    <mergeCell ref="E56:F56"/>
    <mergeCell ref="A42:B42"/>
    <mergeCell ref="E41:F41"/>
    <mergeCell ref="E21:F21"/>
    <mergeCell ref="A19:B19"/>
    <mergeCell ref="A35:B35"/>
    <mergeCell ref="E35:F35"/>
    <mergeCell ref="A26:B26"/>
    <mergeCell ref="A2:B2"/>
    <mergeCell ref="E2:F2"/>
    <mergeCell ref="A8:B8"/>
    <mergeCell ref="E9:F9"/>
    <mergeCell ref="E15:F15"/>
  </mergeCells>
  <pageMargins left="0.7" right="0.7" top="0.75" bottom="0.75" header="0.3" footer="0.3"/>
  <pageSetup scale="92" fitToHeight="0" orientation="landscape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41F5A-1C2F-43DA-BE7A-4EBF0CD72E06}">
  <dimension ref="A1:C22"/>
  <sheetViews>
    <sheetView workbookViewId="0">
      <selection activeCell="A6" sqref="A6"/>
    </sheetView>
  </sheetViews>
  <sheetFormatPr defaultRowHeight="15.75" x14ac:dyDescent="0.25"/>
  <cols>
    <col min="1" max="1" width="35.7109375" style="1" customWidth="1"/>
    <col min="2" max="2" width="16.42578125" style="1" customWidth="1"/>
    <col min="3" max="16384" width="9.140625" style="1"/>
  </cols>
  <sheetData>
    <row r="1" spans="1:3" x14ac:dyDescent="0.25">
      <c r="C1" s="93" t="s">
        <v>171</v>
      </c>
    </row>
    <row r="2" spans="1:3" ht="15.75" customHeight="1" thickBot="1" x14ac:dyDescent="0.3">
      <c r="C2" s="93"/>
    </row>
    <row r="3" spans="1:3" ht="16.5" thickBot="1" x14ac:dyDescent="0.3">
      <c r="A3" s="105" t="s">
        <v>172</v>
      </c>
      <c r="B3" s="106"/>
    </row>
    <row r="4" spans="1:3" x14ac:dyDescent="0.25">
      <c r="A4" s="32"/>
      <c r="B4" s="33" t="s">
        <v>0</v>
      </c>
    </row>
    <row r="5" spans="1:3" ht="15.75" customHeight="1" x14ac:dyDescent="0.25">
      <c r="A5" s="23" t="s">
        <v>190</v>
      </c>
      <c r="B5" s="29">
        <v>40</v>
      </c>
    </row>
    <row r="6" spans="1:3" ht="31.5" x14ac:dyDescent="0.25">
      <c r="A6" s="18" t="s">
        <v>193</v>
      </c>
      <c r="B6" s="29">
        <v>5</v>
      </c>
    </row>
    <row r="7" spans="1:3" ht="16.5" thickBot="1" x14ac:dyDescent="0.3">
      <c r="A7" s="35" t="s">
        <v>1</v>
      </c>
      <c r="B7" s="27">
        <f>SUM(B5:B6)</f>
        <v>45</v>
      </c>
    </row>
    <row r="8" spans="1:3" ht="16.5" thickBot="1" x14ac:dyDescent="0.3"/>
    <row r="9" spans="1:3" ht="16.5" thickBot="1" x14ac:dyDescent="0.3">
      <c r="A9" s="105" t="s">
        <v>173</v>
      </c>
      <c r="B9" s="106"/>
    </row>
    <row r="10" spans="1:3" x14ac:dyDescent="0.25">
      <c r="A10" s="32"/>
      <c r="B10" s="33"/>
    </row>
    <row r="11" spans="1:3" ht="31.5" x14ac:dyDescent="0.25">
      <c r="A11" s="23" t="s">
        <v>190</v>
      </c>
      <c r="B11" s="29">
        <v>40</v>
      </c>
    </row>
    <row r="12" spans="1:3" x14ac:dyDescent="0.25">
      <c r="A12" s="64" t="s">
        <v>174</v>
      </c>
      <c r="B12" s="29">
        <v>26</v>
      </c>
    </row>
    <row r="13" spans="1:3" ht="16.5" thickBot="1" x14ac:dyDescent="0.3">
      <c r="A13" s="35" t="s">
        <v>1</v>
      </c>
      <c r="B13" s="27">
        <f>SUM(B11:B12)</f>
        <v>66</v>
      </c>
    </row>
    <row r="14" spans="1:3" ht="16.5" thickBot="1" x14ac:dyDescent="0.3"/>
    <row r="15" spans="1:3" ht="16.5" thickBot="1" x14ac:dyDescent="0.3">
      <c r="A15" s="105" t="s">
        <v>175</v>
      </c>
      <c r="B15" s="106"/>
    </row>
    <row r="16" spans="1:3" x14ac:dyDescent="0.25">
      <c r="A16" s="6"/>
      <c r="B16" s="7" t="s">
        <v>0</v>
      </c>
    </row>
    <row r="17" spans="1:2" x14ac:dyDescent="0.25">
      <c r="A17" s="6" t="s">
        <v>176</v>
      </c>
      <c r="B17" s="3">
        <v>40</v>
      </c>
    </row>
    <row r="18" spans="1:2" x14ac:dyDescent="0.25">
      <c r="A18" s="6" t="s">
        <v>177</v>
      </c>
      <c r="B18" s="3">
        <v>40</v>
      </c>
    </row>
    <row r="19" spans="1:2" x14ac:dyDescent="0.25">
      <c r="A19" s="6" t="s">
        <v>178</v>
      </c>
      <c r="B19" s="3">
        <v>40</v>
      </c>
    </row>
    <row r="20" spans="1:2" x14ac:dyDescent="0.25">
      <c r="A20" s="8" t="s">
        <v>179</v>
      </c>
      <c r="B20" s="3">
        <v>40</v>
      </c>
    </row>
    <row r="21" spans="1:2" ht="16.5" thickBot="1" x14ac:dyDescent="0.3">
      <c r="A21" s="17" t="s">
        <v>1</v>
      </c>
      <c r="B21" s="4">
        <v>160</v>
      </c>
    </row>
    <row r="22" spans="1:2" x14ac:dyDescent="0.25">
      <c r="A22" s="77" t="s">
        <v>209</v>
      </c>
    </row>
  </sheetData>
  <mergeCells count="3">
    <mergeCell ref="A3:B3"/>
    <mergeCell ref="A9:B9"/>
    <mergeCell ref="A15:B15"/>
  </mergeCells>
  <pageMargins left="0.7" right="0.7" top="0.75" bottom="0.75" header="0.3" footer="0.3"/>
  <pageSetup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16C5D-7954-488F-9183-53901B574D29}">
  <sheetPr>
    <pageSetUpPr fitToPage="1"/>
  </sheetPr>
  <dimension ref="A4:E26"/>
  <sheetViews>
    <sheetView workbookViewId="0">
      <selection activeCell="D8" sqref="D8"/>
    </sheetView>
  </sheetViews>
  <sheetFormatPr defaultRowHeight="14.25" x14ac:dyDescent="0.2"/>
  <cols>
    <col min="1" max="1" width="39.5703125" style="55" customWidth="1"/>
    <col min="2" max="2" width="9.5703125" style="55" bestFit="1" customWidth="1"/>
    <col min="3" max="3" width="9.140625" style="55"/>
    <col min="4" max="4" width="36.5703125" style="55" customWidth="1"/>
    <col min="5" max="5" width="12.5703125" style="55" customWidth="1"/>
    <col min="6" max="6" width="9.5703125" style="55" bestFit="1" customWidth="1"/>
    <col min="7" max="7" width="32" style="55" customWidth="1"/>
    <col min="8" max="8" width="9.5703125" style="55" bestFit="1" customWidth="1"/>
    <col min="9" max="16384" width="9.140625" style="55"/>
  </cols>
  <sheetData>
    <row r="4" spans="1:5" ht="15" x14ac:dyDescent="0.25">
      <c r="C4" s="56" t="s">
        <v>79</v>
      </c>
    </row>
    <row r="5" spans="1:5" ht="15.75" thickBot="1" x14ac:dyDescent="0.3">
      <c r="C5" s="56"/>
    </row>
    <row r="6" spans="1:5" ht="15.75" thickBot="1" x14ac:dyDescent="0.3">
      <c r="A6" s="111" t="s">
        <v>77</v>
      </c>
      <c r="B6" s="110"/>
      <c r="D6" s="111" t="s">
        <v>13</v>
      </c>
      <c r="E6" s="110"/>
    </row>
    <row r="7" spans="1:5" ht="15" x14ac:dyDescent="0.25">
      <c r="A7" s="52"/>
      <c r="B7" s="40" t="s">
        <v>0</v>
      </c>
      <c r="D7" s="39"/>
      <c r="E7" s="40" t="s">
        <v>0</v>
      </c>
    </row>
    <row r="8" spans="1:5" ht="15" x14ac:dyDescent="0.25">
      <c r="A8" s="43" t="s">
        <v>207</v>
      </c>
      <c r="B8" s="44">
        <v>40</v>
      </c>
      <c r="D8" s="45" t="s">
        <v>195</v>
      </c>
      <c r="E8" s="44">
        <v>40</v>
      </c>
    </row>
    <row r="9" spans="1:5" ht="30" x14ac:dyDescent="0.25">
      <c r="A9" s="73" t="s">
        <v>78</v>
      </c>
      <c r="B9" s="44">
        <v>9.6</v>
      </c>
      <c r="D9" s="73" t="s">
        <v>194</v>
      </c>
      <c r="E9" s="44">
        <v>15</v>
      </c>
    </row>
    <row r="10" spans="1:5" ht="15.75" thickBot="1" x14ac:dyDescent="0.3">
      <c r="A10" s="47" t="s">
        <v>1</v>
      </c>
      <c r="B10" s="48">
        <v>49.6</v>
      </c>
      <c r="D10" s="47" t="s">
        <v>1</v>
      </c>
      <c r="E10" s="48">
        <v>55</v>
      </c>
    </row>
    <row r="11" spans="1:5" ht="15" thickBot="1" x14ac:dyDescent="0.25"/>
    <row r="12" spans="1:5" ht="15.75" thickBot="1" x14ac:dyDescent="0.3">
      <c r="A12" s="111" t="s">
        <v>92</v>
      </c>
      <c r="B12" s="110"/>
    </row>
    <row r="13" spans="1:5" ht="15.75" thickBot="1" x14ac:dyDescent="0.3">
      <c r="A13" s="82"/>
      <c r="B13" s="40" t="s">
        <v>0</v>
      </c>
      <c r="D13" s="111" t="s">
        <v>133</v>
      </c>
      <c r="E13" s="110"/>
    </row>
    <row r="14" spans="1:5" ht="15" x14ac:dyDescent="0.25">
      <c r="A14" s="82" t="s">
        <v>182</v>
      </c>
      <c r="B14" s="44">
        <v>40</v>
      </c>
      <c r="D14" s="82"/>
      <c r="E14" s="40" t="s">
        <v>0</v>
      </c>
    </row>
    <row r="15" spans="1:5" ht="30" x14ac:dyDescent="0.2">
      <c r="A15" s="82" t="s">
        <v>83</v>
      </c>
      <c r="B15" s="44">
        <v>40</v>
      </c>
      <c r="D15" s="92" t="s">
        <v>206</v>
      </c>
      <c r="E15" s="44">
        <v>40</v>
      </c>
    </row>
    <row r="16" spans="1:5" x14ac:dyDescent="0.2">
      <c r="A16" s="82" t="s">
        <v>84</v>
      </c>
      <c r="B16" s="44">
        <v>40</v>
      </c>
      <c r="D16" s="82" t="s">
        <v>88</v>
      </c>
      <c r="E16" s="44">
        <v>1.5</v>
      </c>
    </row>
    <row r="17" spans="1:5" ht="18" customHeight="1" x14ac:dyDescent="0.2">
      <c r="A17" s="43" t="s">
        <v>85</v>
      </c>
      <c r="B17" s="44">
        <v>40</v>
      </c>
      <c r="D17" s="43" t="s">
        <v>80</v>
      </c>
      <c r="E17" s="44">
        <v>13.6</v>
      </c>
    </row>
    <row r="18" spans="1:5" ht="15.75" thickBot="1" x14ac:dyDescent="0.3">
      <c r="A18" s="47" t="s">
        <v>1</v>
      </c>
      <c r="B18" s="48">
        <v>160</v>
      </c>
      <c r="D18" s="47" t="s">
        <v>1</v>
      </c>
      <c r="E18" s="48">
        <v>55.1</v>
      </c>
    </row>
    <row r="19" spans="1:5" ht="15" thickBot="1" x14ac:dyDescent="0.25"/>
    <row r="20" spans="1:5" ht="14.25" customHeight="1" thickBot="1" x14ac:dyDescent="0.3">
      <c r="A20" s="75" t="s">
        <v>24</v>
      </c>
      <c r="B20" s="76"/>
      <c r="D20" s="111" t="s">
        <v>134</v>
      </c>
      <c r="E20" s="110"/>
    </row>
    <row r="21" spans="1:5" ht="15" x14ac:dyDescent="0.25">
      <c r="A21" s="82"/>
      <c r="B21" s="40" t="s">
        <v>0</v>
      </c>
      <c r="D21" s="82"/>
      <c r="E21" s="40" t="s">
        <v>0</v>
      </c>
    </row>
    <row r="22" spans="1:5" ht="30" x14ac:dyDescent="0.2">
      <c r="A22" s="82" t="s">
        <v>90</v>
      </c>
      <c r="B22" s="44">
        <v>70</v>
      </c>
      <c r="D22" s="92" t="s">
        <v>206</v>
      </c>
      <c r="E22" s="44">
        <v>40</v>
      </c>
    </row>
    <row r="23" spans="1:5" ht="15" x14ac:dyDescent="0.25">
      <c r="A23" s="45" t="s">
        <v>195</v>
      </c>
      <c r="B23" s="44">
        <v>40</v>
      </c>
      <c r="D23" s="82" t="s">
        <v>88</v>
      </c>
      <c r="E23" s="44">
        <v>1.5</v>
      </c>
    </row>
    <row r="24" spans="1:5" ht="15.75" thickBot="1" x14ac:dyDescent="0.3">
      <c r="A24" s="47" t="s">
        <v>1</v>
      </c>
      <c r="B24" s="48">
        <v>111</v>
      </c>
      <c r="D24" s="47" t="s">
        <v>1</v>
      </c>
      <c r="E24" s="48">
        <v>41.5</v>
      </c>
    </row>
    <row r="26" spans="1:5" x14ac:dyDescent="0.2">
      <c r="A26" s="94" t="s">
        <v>212</v>
      </c>
    </row>
  </sheetData>
  <mergeCells count="5">
    <mergeCell ref="D20:E20"/>
    <mergeCell ref="D13:E13"/>
    <mergeCell ref="A6:B6"/>
    <mergeCell ref="D6:E6"/>
    <mergeCell ref="A12:B12"/>
  </mergeCells>
  <pageMargins left="0.7" right="0.7" top="0.75" bottom="0.75" header="0.3" footer="0.3"/>
  <pageSetup orientation="landscape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F44"/>
  <sheetViews>
    <sheetView topLeftCell="A26" workbookViewId="0">
      <selection activeCell="A40" sqref="A40:B44"/>
    </sheetView>
  </sheetViews>
  <sheetFormatPr defaultRowHeight="14.25" x14ac:dyDescent="0.2"/>
  <cols>
    <col min="1" max="1" width="39.5703125" style="55" customWidth="1"/>
    <col min="2" max="2" width="12.28515625" style="55" customWidth="1"/>
    <col min="3" max="3" width="9.140625" style="55" customWidth="1"/>
    <col min="4" max="4" width="36.5703125" style="55" customWidth="1"/>
    <col min="5" max="6" width="9.5703125" style="55" bestFit="1" customWidth="1"/>
    <col min="7" max="7" width="32" style="55" customWidth="1"/>
    <col min="8" max="8" width="9.5703125" style="55" bestFit="1" customWidth="1"/>
    <col min="9" max="16384" width="9.140625" style="55"/>
  </cols>
  <sheetData>
    <row r="2" spans="1:6" ht="15" x14ac:dyDescent="0.25">
      <c r="C2" s="56" t="s">
        <v>114</v>
      </c>
    </row>
    <row r="3" spans="1:6" ht="15" thickBot="1" x14ac:dyDescent="0.25"/>
    <row r="4" spans="1:6" ht="15.75" thickBot="1" x14ac:dyDescent="0.3">
      <c r="A4" s="111" t="s">
        <v>69</v>
      </c>
      <c r="B4" s="110"/>
      <c r="D4" s="111" t="s">
        <v>76</v>
      </c>
      <c r="E4" s="120"/>
      <c r="F4" s="110"/>
    </row>
    <row r="5" spans="1:6" ht="15" x14ac:dyDescent="0.25">
      <c r="A5" s="39"/>
      <c r="B5" s="40" t="s">
        <v>0</v>
      </c>
      <c r="D5" s="39"/>
      <c r="E5" s="42" t="s">
        <v>0</v>
      </c>
      <c r="F5" s="42" t="s">
        <v>0</v>
      </c>
    </row>
    <row r="6" spans="1:6" ht="15" x14ac:dyDescent="0.25">
      <c r="A6" s="43" t="s">
        <v>68</v>
      </c>
      <c r="B6" s="44">
        <v>20</v>
      </c>
      <c r="D6" s="21" t="s">
        <v>204</v>
      </c>
      <c r="E6" s="46">
        <v>20</v>
      </c>
      <c r="F6" s="46">
        <v>40</v>
      </c>
    </row>
    <row r="7" spans="1:6" ht="18" customHeight="1" x14ac:dyDescent="0.2">
      <c r="A7" s="82" t="s">
        <v>25</v>
      </c>
      <c r="B7" s="44">
        <v>11.5</v>
      </c>
      <c r="D7" s="21" t="s">
        <v>16</v>
      </c>
      <c r="E7" s="46">
        <v>7.4</v>
      </c>
      <c r="F7" s="46">
        <v>14.8</v>
      </c>
    </row>
    <row r="8" spans="1:6" ht="15.75" thickBot="1" x14ac:dyDescent="0.3">
      <c r="A8" s="47" t="s">
        <v>1</v>
      </c>
      <c r="B8" s="48">
        <v>31.5</v>
      </c>
      <c r="D8" s="21" t="s">
        <v>213</v>
      </c>
      <c r="E8" s="46">
        <v>7.1</v>
      </c>
      <c r="F8" s="46">
        <v>14.2</v>
      </c>
    </row>
    <row r="9" spans="1:6" ht="15" thickBot="1" x14ac:dyDescent="0.25">
      <c r="D9" s="21" t="s">
        <v>9</v>
      </c>
      <c r="E9" s="46">
        <v>7.1</v>
      </c>
      <c r="F9" s="46">
        <v>14.2</v>
      </c>
    </row>
    <row r="10" spans="1:6" ht="14.25" customHeight="1" thickBot="1" x14ac:dyDescent="0.3">
      <c r="A10" s="75" t="s">
        <v>60</v>
      </c>
      <c r="B10" s="76"/>
      <c r="D10" s="21" t="s">
        <v>17</v>
      </c>
      <c r="E10" s="46">
        <v>6.3</v>
      </c>
      <c r="F10" s="46">
        <v>12.6</v>
      </c>
    </row>
    <row r="11" spans="1:6" ht="15" x14ac:dyDescent="0.25">
      <c r="A11" s="41"/>
      <c r="B11" s="42" t="s">
        <v>0</v>
      </c>
      <c r="D11" s="21" t="s">
        <v>18</v>
      </c>
      <c r="E11" s="46">
        <v>4.5999999999999996</v>
      </c>
      <c r="F11" s="46">
        <v>9.1999999999999993</v>
      </c>
    </row>
    <row r="12" spans="1:6" x14ac:dyDescent="0.2">
      <c r="A12" s="45" t="s">
        <v>63</v>
      </c>
      <c r="B12" s="49">
        <v>3</v>
      </c>
      <c r="D12" s="28" t="s">
        <v>46</v>
      </c>
      <c r="E12" s="49">
        <v>1.1000000000000001</v>
      </c>
      <c r="F12" s="49">
        <v>2.2000000000000002</v>
      </c>
    </row>
    <row r="13" spans="1:6" ht="30.75" thickBot="1" x14ac:dyDescent="0.3">
      <c r="A13" s="92" t="s">
        <v>206</v>
      </c>
      <c r="B13" s="49">
        <v>80</v>
      </c>
      <c r="D13" s="47" t="s">
        <v>1</v>
      </c>
      <c r="E13" s="51">
        <f>SUM(E6:E12)</f>
        <v>53.6</v>
      </c>
      <c r="F13" s="51">
        <f>SUM(F6:F12)</f>
        <v>107.2</v>
      </c>
    </row>
    <row r="14" spans="1:6" ht="15.75" thickBot="1" x14ac:dyDescent="0.3">
      <c r="A14" s="50" t="s">
        <v>1</v>
      </c>
      <c r="B14" s="51">
        <v>83</v>
      </c>
    </row>
    <row r="15" spans="1:6" ht="15.75" thickBot="1" x14ac:dyDescent="0.3">
      <c r="D15" s="111" t="s">
        <v>66</v>
      </c>
      <c r="E15" s="110"/>
    </row>
    <row r="16" spans="1:6" ht="15.75" thickBot="1" x14ac:dyDescent="0.3">
      <c r="A16" s="135" t="s">
        <v>115</v>
      </c>
      <c r="B16" s="136"/>
      <c r="D16" s="41"/>
      <c r="E16" s="42" t="s">
        <v>0</v>
      </c>
    </row>
    <row r="17" spans="1:5" ht="30" x14ac:dyDescent="0.25">
      <c r="A17" s="41"/>
      <c r="B17" s="42" t="s">
        <v>0</v>
      </c>
      <c r="D17" s="73" t="s">
        <v>194</v>
      </c>
      <c r="E17" s="46">
        <v>50</v>
      </c>
    </row>
    <row r="18" spans="1:5" x14ac:dyDescent="0.2">
      <c r="A18" s="45" t="s">
        <v>213</v>
      </c>
      <c r="B18" s="46">
        <v>40</v>
      </c>
      <c r="D18" s="45" t="s">
        <v>214</v>
      </c>
      <c r="E18" s="49">
        <v>25</v>
      </c>
    </row>
    <row r="19" spans="1:5" ht="30.75" thickBot="1" x14ac:dyDescent="0.3">
      <c r="A19" s="139" t="s">
        <v>194</v>
      </c>
      <c r="B19" s="46">
        <v>30</v>
      </c>
      <c r="D19" s="50" t="s">
        <v>1</v>
      </c>
      <c r="E19" s="51">
        <v>75</v>
      </c>
    </row>
    <row r="20" spans="1:5" ht="15" thickBot="1" x14ac:dyDescent="0.25">
      <c r="A20" s="45" t="s">
        <v>53</v>
      </c>
      <c r="B20" s="49">
        <v>6</v>
      </c>
    </row>
    <row r="21" spans="1:5" ht="30" customHeight="1" thickBot="1" x14ac:dyDescent="0.3">
      <c r="A21" s="50" t="s">
        <v>1</v>
      </c>
      <c r="B21" s="51">
        <v>76</v>
      </c>
      <c r="D21" s="109" t="s">
        <v>137</v>
      </c>
      <c r="E21" s="110"/>
    </row>
    <row r="22" spans="1:5" ht="15.75" thickBot="1" x14ac:dyDescent="0.3">
      <c r="D22" s="52"/>
      <c r="E22" s="40" t="s">
        <v>0</v>
      </c>
    </row>
    <row r="23" spans="1:5" ht="15.75" thickBot="1" x14ac:dyDescent="0.3">
      <c r="A23" s="111" t="s">
        <v>135</v>
      </c>
      <c r="B23" s="110"/>
      <c r="D23" s="43" t="s">
        <v>207</v>
      </c>
      <c r="E23" s="44">
        <v>27.5</v>
      </c>
    </row>
    <row r="24" spans="1:5" ht="15" x14ac:dyDescent="0.25">
      <c r="A24" s="41"/>
      <c r="B24" s="42" t="s">
        <v>0</v>
      </c>
      <c r="D24" s="43" t="s">
        <v>213</v>
      </c>
      <c r="E24" s="44">
        <v>12.5</v>
      </c>
    </row>
    <row r="25" spans="1:5" ht="30" x14ac:dyDescent="0.25">
      <c r="A25" s="92" t="s">
        <v>206</v>
      </c>
      <c r="B25" s="49">
        <v>40</v>
      </c>
      <c r="D25" s="73" t="s">
        <v>194</v>
      </c>
      <c r="E25" s="44">
        <v>5</v>
      </c>
    </row>
    <row r="26" spans="1:5" ht="15.75" thickBot="1" x14ac:dyDescent="0.3">
      <c r="A26" s="45" t="s">
        <v>70</v>
      </c>
      <c r="B26" s="49">
        <v>10.4</v>
      </c>
      <c r="D26" s="47" t="s">
        <v>1</v>
      </c>
      <c r="E26" s="48">
        <v>45</v>
      </c>
    </row>
    <row r="27" spans="1:5" ht="15" thickBot="1" x14ac:dyDescent="0.25">
      <c r="A27" s="45" t="s">
        <v>9</v>
      </c>
      <c r="B27" s="49">
        <v>9.6999999999999993</v>
      </c>
    </row>
    <row r="28" spans="1:5" ht="31.5" customHeight="1" thickBot="1" x14ac:dyDescent="0.3">
      <c r="A28" s="91" t="s">
        <v>215</v>
      </c>
      <c r="B28" s="49">
        <v>8.3000000000000007</v>
      </c>
      <c r="D28" s="109" t="s">
        <v>138</v>
      </c>
      <c r="E28" s="110"/>
    </row>
    <row r="29" spans="1:5" ht="18" customHeight="1" x14ac:dyDescent="0.25">
      <c r="A29" s="45" t="s">
        <v>214</v>
      </c>
      <c r="B29" s="49">
        <v>2.8</v>
      </c>
      <c r="D29" s="52"/>
      <c r="E29" s="40" t="s">
        <v>0</v>
      </c>
    </row>
    <row r="30" spans="1:5" ht="15.75" thickBot="1" x14ac:dyDescent="0.3">
      <c r="A30" s="50" t="s">
        <v>1</v>
      </c>
      <c r="B30" s="51">
        <v>71.2</v>
      </c>
      <c r="D30" s="43" t="s">
        <v>213</v>
      </c>
      <c r="E30" s="44">
        <v>12.5</v>
      </c>
    </row>
    <row r="31" spans="1:5" ht="30.75" thickBot="1" x14ac:dyDescent="0.3">
      <c r="D31" s="73" t="s">
        <v>194</v>
      </c>
      <c r="E31" s="44">
        <v>5</v>
      </c>
    </row>
    <row r="32" spans="1:5" ht="31.5" customHeight="1" thickBot="1" x14ac:dyDescent="0.3">
      <c r="A32" s="109" t="s">
        <v>136</v>
      </c>
      <c r="B32" s="110"/>
      <c r="D32" s="47" t="s">
        <v>1</v>
      </c>
      <c r="E32" s="48">
        <v>17.5</v>
      </c>
    </row>
    <row r="33" spans="1:5" ht="15" x14ac:dyDescent="0.25">
      <c r="A33" s="41"/>
      <c r="B33" s="42" t="s">
        <v>0</v>
      </c>
    </row>
    <row r="34" spans="1:5" ht="15" thickBot="1" x14ac:dyDescent="0.25">
      <c r="A34" s="45" t="s">
        <v>70</v>
      </c>
      <c r="B34" s="49">
        <v>10.4</v>
      </c>
    </row>
    <row r="35" spans="1:5" ht="15.75" thickBot="1" x14ac:dyDescent="0.3">
      <c r="A35" s="45" t="s">
        <v>9</v>
      </c>
      <c r="B35" s="49">
        <v>9.6999999999999993</v>
      </c>
      <c r="D35" s="111" t="s">
        <v>96</v>
      </c>
      <c r="E35" s="110"/>
    </row>
    <row r="36" spans="1:5" ht="15" x14ac:dyDescent="0.25">
      <c r="A36" s="91" t="s">
        <v>215</v>
      </c>
      <c r="B36" s="49">
        <v>8.3000000000000007</v>
      </c>
      <c r="D36" s="82"/>
      <c r="E36" s="40" t="s">
        <v>0</v>
      </c>
    </row>
    <row r="37" spans="1:5" x14ac:dyDescent="0.2">
      <c r="A37" s="45" t="s">
        <v>214</v>
      </c>
      <c r="B37" s="49">
        <v>2.8</v>
      </c>
      <c r="D37" s="82" t="s">
        <v>86</v>
      </c>
      <c r="E37" s="44">
        <v>40</v>
      </c>
    </row>
    <row r="38" spans="1:5" ht="15.75" thickBot="1" x14ac:dyDescent="0.3">
      <c r="A38" s="50" t="s">
        <v>1</v>
      </c>
      <c r="B38" s="51">
        <v>31.2</v>
      </c>
      <c r="D38" s="82" t="s">
        <v>83</v>
      </c>
      <c r="E38" s="44">
        <v>40</v>
      </c>
    </row>
    <row r="39" spans="1:5" ht="15" thickBot="1" x14ac:dyDescent="0.25">
      <c r="D39" s="82" t="s">
        <v>84</v>
      </c>
      <c r="E39" s="44">
        <v>40</v>
      </c>
    </row>
    <row r="40" spans="1:5" ht="15.75" thickBot="1" x14ac:dyDescent="0.3">
      <c r="A40" s="111" t="s">
        <v>230</v>
      </c>
      <c r="B40" s="110"/>
      <c r="D40" s="43" t="s">
        <v>85</v>
      </c>
      <c r="E40" s="44">
        <v>40</v>
      </c>
    </row>
    <row r="41" spans="1:5" ht="14.25" customHeight="1" thickBot="1" x14ac:dyDescent="0.3">
      <c r="A41" s="41"/>
      <c r="B41" s="42" t="s">
        <v>0</v>
      </c>
      <c r="D41" s="50" t="s">
        <v>1</v>
      </c>
      <c r="E41" s="51">
        <v>160</v>
      </c>
    </row>
    <row r="42" spans="1:5" ht="30" x14ac:dyDescent="0.2">
      <c r="A42" s="79" t="s">
        <v>201</v>
      </c>
      <c r="B42" s="46">
        <v>40</v>
      </c>
    </row>
    <row r="43" spans="1:5" x14ac:dyDescent="0.2">
      <c r="A43" s="45" t="s">
        <v>100</v>
      </c>
      <c r="B43" s="46">
        <v>5</v>
      </c>
      <c r="D43" s="95" t="s">
        <v>231</v>
      </c>
    </row>
    <row r="44" spans="1:5" ht="15.75" thickBot="1" x14ac:dyDescent="0.3">
      <c r="A44" s="50" t="s">
        <v>1</v>
      </c>
      <c r="B44" s="51">
        <v>45</v>
      </c>
    </row>
  </sheetData>
  <mergeCells count="10">
    <mergeCell ref="A40:B40"/>
    <mergeCell ref="A32:B32"/>
    <mergeCell ref="D28:E28"/>
    <mergeCell ref="D35:E35"/>
    <mergeCell ref="D21:E21"/>
    <mergeCell ref="A4:B4"/>
    <mergeCell ref="D4:F4"/>
    <mergeCell ref="D15:E15"/>
    <mergeCell ref="A16:B16"/>
    <mergeCell ref="A23:B23"/>
  </mergeCells>
  <pageMargins left="0.25" right="0.25" top="0.75" bottom="0.75" header="0.3" footer="0.3"/>
  <pageSetup scale="87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98EB-8744-46DD-996B-A9A0965C5D89}">
  <dimension ref="B2:C9"/>
  <sheetViews>
    <sheetView workbookViewId="0">
      <selection activeCell="J14" sqref="J14"/>
    </sheetView>
  </sheetViews>
  <sheetFormatPr defaultRowHeight="15" x14ac:dyDescent="0.25"/>
  <cols>
    <col min="2" max="2" width="39.5703125" customWidth="1"/>
    <col min="3" max="3" width="12.28515625" customWidth="1"/>
  </cols>
  <sheetData>
    <row r="2" spans="2:3" ht="15.75" thickBot="1" x14ac:dyDescent="0.3"/>
    <row r="3" spans="2:3" ht="16.5" thickBot="1" x14ac:dyDescent="0.3">
      <c r="B3" s="105" t="s">
        <v>154</v>
      </c>
      <c r="C3" s="106"/>
    </row>
    <row r="4" spans="2:3" ht="15.75" x14ac:dyDescent="0.25">
      <c r="B4" s="22"/>
      <c r="C4" s="25" t="s">
        <v>0</v>
      </c>
    </row>
    <row r="5" spans="2:3" ht="15.75" x14ac:dyDescent="0.25">
      <c r="B5" s="23" t="s">
        <v>217</v>
      </c>
      <c r="C5" s="26">
        <v>10</v>
      </c>
    </row>
    <row r="6" spans="2:3" ht="31.5" x14ac:dyDescent="0.25">
      <c r="B6" s="23" t="s">
        <v>218</v>
      </c>
      <c r="C6" s="26">
        <v>10</v>
      </c>
    </row>
    <row r="7" spans="2:3" ht="16.5" thickBot="1" x14ac:dyDescent="0.3">
      <c r="B7" s="24" t="s">
        <v>1</v>
      </c>
      <c r="C7" s="27">
        <v>20</v>
      </c>
    </row>
    <row r="9" spans="2:3" ht="15.75" x14ac:dyDescent="0.25">
      <c r="B9" s="30" t="s">
        <v>216</v>
      </c>
    </row>
  </sheetData>
  <mergeCells count="1">
    <mergeCell ref="B3:C3"/>
  </mergeCells>
  <pageMargins left="0.7" right="0.7" top="0.75" bottom="0.75" header="0.3" footer="0.3"/>
  <pageSetup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81E1-BCF1-4A14-A6D7-68FF97803B85}">
  <dimension ref="B3:D19"/>
  <sheetViews>
    <sheetView tabSelected="1" workbookViewId="0">
      <selection activeCell="E22" sqref="E22"/>
    </sheetView>
  </sheetViews>
  <sheetFormatPr defaultRowHeight="15" x14ac:dyDescent="0.25"/>
  <cols>
    <col min="2" max="2" width="33" customWidth="1"/>
    <col min="3" max="3" width="10" customWidth="1"/>
    <col min="5" max="5" width="39.5703125" customWidth="1"/>
    <col min="6" max="6" width="12.28515625" customWidth="1"/>
  </cols>
  <sheetData>
    <row r="3" spans="2:4" ht="21" x14ac:dyDescent="0.35">
      <c r="B3" s="107" t="s">
        <v>227</v>
      </c>
      <c r="C3" s="107"/>
      <c r="D3" s="1"/>
    </row>
    <row r="4" spans="2:4" ht="16.5" thickBot="1" x14ac:dyDescent="0.3">
      <c r="B4" s="1"/>
      <c r="C4" s="1"/>
      <c r="D4" s="1"/>
    </row>
    <row r="5" spans="2:4" ht="16.5" thickBot="1" x14ac:dyDescent="0.3">
      <c r="B5" s="105" t="s">
        <v>229</v>
      </c>
      <c r="C5" s="106"/>
      <c r="D5" s="1"/>
    </row>
    <row r="6" spans="2:4" ht="15.75" x14ac:dyDescent="0.25">
      <c r="B6" s="6"/>
      <c r="C6" s="7" t="s">
        <v>0</v>
      </c>
      <c r="D6" s="1"/>
    </row>
    <row r="7" spans="2:4" ht="15.75" x14ac:dyDescent="0.25">
      <c r="B7" s="6" t="s">
        <v>86</v>
      </c>
      <c r="C7" s="3">
        <v>40</v>
      </c>
      <c r="D7" s="1"/>
    </row>
    <row r="8" spans="2:4" ht="15.75" x14ac:dyDescent="0.25">
      <c r="B8" s="6" t="s">
        <v>83</v>
      </c>
      <c r="C8" s="3">
        <v>40</v>
      </c>
      <c r="D8" s="1"/>
    </row>
    <row r="9" spans="2:4" ht="15.75" x14ac:dyDescent="0.25">
      <c r="B9" s="6" t="s">
        <v>84</v>
      </c>
      <c r="C9" s="3">
        <v>40</v>
      </c>
      <c r="D9" s="1"/>
    </row>
    <row r="10" spans="2:4" ht="15.75" x14ac:dyDescent="0.25">
      <c r="B10" s="8" t="s">
        <v>85</v>
      </c>
      <c r="C10" s="3">
        <v>40</v>
      </c>
      <c r="D10" s="1"/>
    </row>
    <row r="11" spans="2:4" ht="16.5" thickBot="1" x14ac:dyDescent="0.3">
      <c r="B11" s="24" t="s">
        <v>1</v>
      </c>
      <c r="C11" s="27">
        <v>160</v>
      </c>
      <c r="D11" s="1"/>
    </row>
    <row r="12" spans="2:4" ht="15.75" thickBot="1" x14ac:dyDescent="0.3"/>
    <row r="13" spans="2:4" ht="15.75" thickBot="1" x14ac:dyDescent="0.3">
      <c r="B13" s="111" t="s">
        <v>230</v>
      </c>
      <c r="C13" s="110"/>
    </row>
    <row r="14" spans="2:4" x14ac:dyDescent="0.25">
      <c r="B14" s="41"/>
      <c r="C14" s="42" t="s">
        <v>0</v>
      </c>
    </row>
    <row r="15" spans="2:4" ht="30" x14ac:dyDescent="0.25">
      <c r="B15" s="79" t="s">
        <v>201</v>
      </c>
      <c r="C15" s="46">
        <v>40</v>
      </c>
    </row>
    <row r="16" spans="2:4" x14ac:dyDescent="0.25">
      <c r="B16" s="45" t="s">
        <v>100</v>
      </c>
      <c r="C16" s="46">
        <v>5</v>
      </c>
    </row>
    <row r="17" spans="2:3" ht="15.75" thickBot="1" x14ac:dyDescent="0.3">
      <c r="B17" s="50" t="s">
        <v>1</v>
      </c>
      <c r="C17" s="51">
        <v>45</v>
      </c>
    </row>
    <row r="19" spans="2:3" ht="15.75" x14ac:dyDescent="0.25">
      <c r="B19" s="104" t="s">
        <v>228</v>
      </c>
    </row>
  </sheetData>
  <mergeCells count="3">
    <mergeCell ref="B5:C5"/>
    <mergeCell ref="B3:C3"/>
    <mergeCell ref="B13:C13"/>
  </mergeCells>
  <pageMargins left="0.7" right="0.7" top="0.75" bottom="0.75" header="0.3" footer="0.3"/>
  <pageSetup orientation="portrait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E35"/>
  <sheetViews>
    <sheetView workbookViewId="0">
      <selection activeCell="C21" sqref="C21"/>
    </sheetView>
  </sheetViews>
  <sheetFormatPr defaultRowHeight="15" x14ac:dyDescent="0.25"/>
  <cols>
    <col min="1" max="1" width="37.140625" customWidth="1"/>
    <col min="2" max="2" width="14.140625" customWidth="1"/>
    <col min="4" max="4" width="43.28515625" customWidth="1"/>
    <col min="5" max="5" width="15" customWidth="1"/>
  </cols>
  <sheetData>
    <row r="3" spans="1:3" s="1" customFormat="1" ht="33" x14ac:dyDescent="0.45">
      <c r="C3" s="14" t="s">
        <v>32</v>
      </c>
    </row>
    <row r="4" spans="1:3" s="1" customFormat="1" ht="16.5" thickBot="1" x14ac:dyDescent="0.3"/>
    <row r="5" spans="1:3" s="1" customFormat="1" ht="16.5" thickBot="1" x14ac:dyDescent="0.3">
      <c r="A5" s="105" t="s">
        <v>33</v>
      </c>
      <c r="B5" s="106"/>
    </row>
    <row r="6" spans="1:3" s="1" customFormat="1" ht="15.75" x14ac:dyDescent="0.25">
      <c r="A6" s="5"/>
      <c r="B6" s="7" t="s">
        <v>0</v>
      </c>
    </row>
    <row r="7" spans="1:3" s="1" customFormat="1" ht="15.75" x14ac:dyDescent="0.25">
      <c r="A7" s="6" t="s">
        <v>34</v>
      </c>
      <c r="B7" s="3" t="s">
        <v>35</v>
      </c>
    </row>
    <row r="8" spans="1:3" s="1" customFormat="1" ht="15.75" x14ac:dyDescent="0.25">
      <c r="A8" s="6" t="s">
        <v>36</v>
      </c>
      <c r="B8" s="3">
        <v>20</v>
      </c>
    </row>
    <row r="9" spans="1:3" s="1" customFormat="1" ht="15.75" x14ac:dyDescent="0.25">
      <c r="A9" s="6" t="s">
        <v>50</v>
      </c>
      <c r="B9" s="3">
        <v>20</v>
      </c>
    </row>
    <row r="10" spans="1:3" s="1" customFormat="1" ht="15.75" x14ac:dyDescent="0.25">
      <c r="A10" s="6" t="s">
        <v>2</v>
      </c>
      <c r="B10" s="3">
        <v>4</v>
      </c>
    </row>
    <row r="11" spans="1:3" s="1" customFormat="1" ht="16.5" thickBot="1" x14ac:dyDescent="0.3">
      <c r="A11" s="17" t="s">
        <v>1</v>
      </c>
      <c r="B11" s="4" t="s">
        <v>49</v>
      </c>
    </row>
    <row r="12" spans="1:3" s="1" customFormat="1" ht="15.75" x14ac:dyDescent="0.25"/>
    <row r="13" spans="1:3" s="1" customFormat="1" ht="15.75" x14ac:dyDescent="0.25">
      <c r="A13" t="s">
        <v>41</v>
      </c>
    </row>
    <row r="14" spans="1:3" s="1" customFormat="1" ht="15.75" x14ac:dyDescent="0.25">
      <c r="A14" s="1" t="s">
        <v>42</v>
      </c>
    </row>
    <row r="15" spans="1:3" s="1" customFormat="1" ht="15.75" x14ac:dyDescent="0.25">
      <c r="A15" s="9" t="s">
        <v>43</v>
      </c>
    </row>
    <row r="16" spans="1:3" s="1" customFormat="1" ht="15.75" x14ac:dyDescent="0.25"/>
    <row r="17" spans="1:5" s="1" customFormat="1" ht="15.75" x14ac:dyDescent="0.25">
      <c r="A17" s="1" t="s">
        <v>95</v>
      </c>
    </row>
    <row r="18" spans="1:5" s="1" customFormat="1" ht="15.75" x14ac:dyDescent="0.25"/>
    <row r="19" spans="1:5" s="1" customFormat="1" ht="15.75" x14ac:dyDescent="0.25"/>
    <row r="20" spans="1:5" s="1" customFormat="1" ht="15.75" x14ac:dyDescent="0.25"/>
    <row r="21" spans="1:5" s="1" customFormat="1" ht="15.75" x14ac:dyDescent="0.25"/>
    <row r="22" spans="1:5" s="1" customFormat="1" ht="15.75" x14ac:dyDescent="0.25"/>
    <row r="23" spans="1:5" s="1" customFormat="1" ht="15.75" x14ac:dyDescent="0.25"/>
    <row r="24" spans="1:5" s="1" customFormat="1" ht="15.75" x14ac:dyDescent="0.25"/>
    <row r="25" spans="1:5" s="1" customFormat="1" ht="15.75" x14ac:dyDescent="0.25">
      <c r="A25"/>
      <c r="B25"/>
    </row>
    <row r="26" spans="1:5" s="1" customFormat="1" ht="15.75" x14ac:dyDescent="0.25"/>
    <row r="27" spans="1:5" s="1" customFormat="1" ht="15.75" x14ac:dyDescent="0.25"/>
    <row r="28" spans="1:5" s="1" customFormat="1" ht="15.75" x14ac:dyDescent="0.25">
      <c r="B28" s="9"/>
      <c r="C28"/>
    </row>
    <row r="29" spans="1:5" s="1" customFormat="1" ht="15.75" x14ac:dyDescent="0.25">
      <c r="B29"/>
      <c r="C29"/>
    </row>
    <row r="30" spans="1:5" s="1" customFormat="1" ht="15.75" x14ac:dyDescent="0.25">
      <c r="A30"/>
      <c r="B30"/>
      <c r="D30"/>
      <c r="E30"/>
    </row>
    <row r="31" spans="1:5" s="1" customFormat="1" ht="15.75" x14ac:dyDescent="0.25">
      <c r="A31"/>
      <c r="B31"/>
      <c r="E31"/>
    </row>
    <row r="32" spans="1:5" s="1" customFormat="1" ht="15.75" x14ac:dyDescent="0.25">
      <c r="A32"/>
      <c r="B32"/>
      <c r="D32"/>
      <c r="E32"/>
    </row>
    <row r="33" spans="1:5" s="1" customFormat="1" ht="15.75" x14ac:dyDescent="0.25">
      <c r="A33"/>
      <c r="B33"/>
      <c r="D33"/>
      <c r="E33"/>
    </row>
    <row r="34" spans="1:5" s="1" customFormat="1" ht="15.75" x14ac:dyDescent="0.25">
      <c r="A34"/>
      <c r="B34"/>
      <c r="D34"/>
      <c r="E34"/>
    </row>
    <row r="35" spans="1:5" s="1" customFormat="1" ht="15.75" x14ac:dyDescent="0.25">
      <c r="A35"/>
      <c r="B35"/>
      <c r="D35"/>
      <c r="E35"/>
    </row>
  </sheetData>
  <mergeCells count="1">
    <mergeCell ref="A5:B5"/>
  </mergeCells>
  <pageMargins left="0.25" right="0.25" top="0.5" bottom="0.5" header="0.3" footer="0.3"/>
  <pageSetup orientation="landscape" horizontalDpi="4294967293" vertic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0CDE-416E-4B3C-A6B0-7C80F71F4BE8}">
  <dimension ref="B2:C9"/>
  <sheetViews>
    <sheetView workbookViewId="0">
      <selection activeCell="B5" sqref="B5"/>
    </sheetView>
  </sheetViews>
  <sheetFormatPr defaultRowHeight="15" x14ac:dyDescent="0.25"/>
  <cols>
    <col min="2" max="2" width="35.7109375" customWidth="1"/>
    <col min="3" max="3" width="9.5703125" bestFit="1" customWidth="1"/>
  </cols>
  <sheetData>
    <row r="2" spans="2:3" ht="15.75" thickBot="1" x14ac:dyDescent="0.3"/>
    <row r="3" spans="2:3" ht="16.5" thickBot="1" x14ac:dyDescent="0.3">
      <c r="B3" s="105" t="s">
        <v>219</v>
      </c>
      <c r="C3" s="106"/>
    </row>
    <row r="4" spans="2:3" ht="15.75" x14ac:dyDescent="0.25">
      <c r="B4" s="22"/>
      <c r="C4" s="25" t="s">
        <v>0</v>
      </c>
    </row>
    <row r="5" spans="2:3" ht="30" x14ac:dyDescent="0.25">
      <c r="B5" s="73" t="s">
        <v>194</v>
      </c>
      <c r="C5" s="26">
        <v>80</v>
      </c>
    </row>
    <row r="6" spans="2:3" ht="15.75" x14ac:dyDescent="0.25">
      <c r="B6" s="23" t="s">
        <v>53</v>
      </c>
      <c r="C6" s="29">
        <v>20</v>
      </c>
    </row>
    <row r="7" spans="2:3" ht="16.5" thickBot="1" x14ac:dyDescent="0.3">
      <c r="B7" s="24" t="s">
        <v>1</v>
      </c>
      <c r="C7" s="27">
        <v>100</v>
      </c>
    </row>
    <row r="9" spans="2:3" x14ac:dyDescent="0.25">
      <c r="B9" t="s">
        <v>216</v>
      </c>
    </row>
  </sheetData>
  <mergeCells count="1">
    <mergeCell ref="B3:C3"/>
  </mergeCells>
  <pageMargins left="0.7" right="0.7" top="0.75" bottom="0.75" header="0.3" footer="0.3"/>
  <pageSetup orientation="portrait" horizontalDpi="4294967293" vertic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8:E27"/>
  <sheetViews>
    <sheetView topLeftCell="A7" workbookViewId="0">
      <selection activeCell="I14" sqref="I14"/>
    </sheetView>
  </sheetViews>
  <sheetFormatPr defaultRowHeight="15" x14ac:dyDescent="0.2"/>
  <cols>
    <col min="1" max="1" width="38.28515625" style="77" customWidth="1"/>
    <col min="2" max="2" width="15.5703125" style="77" customWidth="1"/>
    <col min="3" max="3" width="9.140625" style="77"/>
    <col min="4" max="4" width="40.28515625" style="77" customWidth="1"/>
    <col min="5" max="16384" width="9.140625" style="77"/>
  </cols>
  <sheetData>
    <row r="8" spans="1:5" ht="15.75" x14ac:dyDescent="0.25">
      <c r="C8" s="96" t="s">
        <v>38</v>
      </c>
    </row>
    <row r="9" spans="1:5" ht="19.5" customHeight="1" thickBot="1" x14ac:dyDescent="0.3">
      <c r="C9" s="96"/>
    </row>
    <row r="10" spans="1:5" ht="16.5" thickBot="1" x14ac:dyDescent="0.3">
      <c r="A10" s="105" t="s">
        <v>94</v>
      </c>
      <c r="B10" s="106"/>
      <c r="D10" s="137" t="s">
        <v>139</v>
      </c>
      <c r="E10" s="138"/>
    </row>
    <row r="11" spans="1:5" ht="15.75" x14ac:dyDescent="0.25">
      <c r="A11" s="6"/>
      <c r="B11" s="7" t="s">
        <v>0</v>
      </c>
      <c r="D11" s="5"/>
      <c r="E11" s="7" t="s">
        <v>0</v>
      </c>
    </row>
    <row r="12" spans="1:5" ht="15.75" x14ac:dyDescent="0.25">
      <c r="A12" s="6" t="s">
        <v>86</v>
      </c>
      <c r="B12" s="3">
        <v>40</v>
      </c>
      <c r="D12" s="23" t="s">
        <v>190</v>
      </c>
      <c r="E12" s="3">
        <v>40</v>
      </c>
    </row>
    <row r="13" spans="1:5" x14ac:dyDescent="0.2">
      <c r="A13" s="6" t="s">
        <v>83</v>
      </c>
      <c r="B13" s="3">
        <v>40</v>
      </c>
      <c r="D13" s="6" t="s">
        <v>93</v>
      </c>
      <c r="E13" s="3">
        <v>37.5</v>
      </c>
    </row>
    <row r="14" spans="1:5" x14ac:dyDescent="0.2">
      <c r="A14" s="6" t="s">
        <v>84</v>
      </c>
      <c r="B14" s="3">
        <v>40</v>
      </c>
      <c r="D14" s="6" t="s">
        <v>221</v>
      </c>
      <c r="E14" s="3">
        <v>9</v>
      </c>
    </row>
    <row r="15" spans="1:5" ht="16.5" thickBot="1" x14ac:dyDescent="0.3">
      <c r="A15" s="8" t="s">
        <v>85</v>
      </c>
      <c r="B15" s="3">
        <v>40</v>
      </c>
      <c r="D15" s="17" t="s">
        <v>1</v>
      </c>
      <c r="E15" s="4">
        <v>86.5</v>
      </c>
    </row>
    <row r="16" spans="1:5" ht="16.5" thickBot="1" x14ac:dyDescent="0.3">
      <c r="A16" s="24" t="s">
        <v>1</v>
      </c>
      <c r="B16" s="27">
        <v>160</v>
      </c>
    </row>
    <row r="17" spans="1:5" ht="16.5" thickBot="1" x14ac:dyDescent="0.3">
      <c r="D17" s="137" t="s">
        <v>140</v>
      </c>
      <c r="E17" s="138"/>
    </row>
    <row r="18" spans="1:5" ht="16.5" thickBot="1" x14ac:dyDescent="0.3">
      <c r="A18" s="105" t="s">
        <v>39</v>
      </c>
      <c r="B18" s="106"/>
      <c r="D18" s="5"/>
      <c r="E18" s="7" t="s">
        <v>0</v>
      </c>
    </row>
    <row r="19" spans="1:5" ht="15.75" x14ac:dyDescent="0.25">
      <c r="A19" s="22"/>
      <c r="B19" s="7" t="s">
        <v>0</v>
      </c>
      <c r="D19" s="6" t="s">
        <v>93</v>
      </c>
      <c r="E19" s="3">
        <v>37.5</v>
      </c>
    </row>
    <row r="20" spans="1:5" ht="31.5" x14ac:dyDescent="0.2">
      <c r="A20" s="97" t="s">
        <v>222</v>
      </c>
      <c r="B20" s="3">
        <v>80</v>
      </c>
      <c r="D20" s="6" t="s">
        <v>221</v>
      </c>
      <c r="E20" s="3">
        <v>9</v>
      </c>
    </row>
    <row r="21" spans="1:5" ht="16.5" thickBot="1" x14ac:dyDescent="0.3">
      <c r="A21" s="13" t="s">
        <v>167</v>
      </c>
      <c r="B21" s="3">
        <v>20</v>
      </c>
      <c r="D21" s="17" t="s">
        <v>1</v>
      </c>
      <c r="E21" s="4">
        <v>46.5</v>
      </c>
    </row>
    <row r="22" spans="1:5" ht="16.5" thickBot="1" x14ac:dyDescent="0.3">
      <c r="A22" s="24" t="s">
        <v>1</v>
      </c>
      <c r="B22" s="4">
        <v>100</v>
      </c>
    </row>
    <row r="23" spans="1:5" ht="16.5" thickBot="1" x14ac:dyDescent="0.3">
      <c r="D23" s="105" t="s">
        <v>40</v>
      </c>
      <c r="E23" s="106"/>
    </row>
    <row r="24" spans="1:5" ht="15.75" x14ac:dyDescent="0.25">
      <c r="A24" s="77" t="s">
        <v>220</v>
      </c>
      <c r="D24" s="20"/>
      <c r="E24" s="7" t="s">
        <v>0</v>
      </c>
    </row>
    <row r="25" spans="1:5" ht="15.75" x14ac:dyDescent="0.25">
      <c r="D25" s="23" t="s">
        <v>190</v>
      </c>
      <c r="E25" s="3">
        <v>40</v>
      </c>
    </row>
    <row r="26" spans="1:5" ht="31.5" x14ac:dyDescent="0.25">
      <c r="D26" s="18" t="s">
        <v>193</v>
      </c>
      <c r="E26" s="3">
        <v>20</v>
      </c>
    </row>
    <row r="27" spans="1:5" ht="16.5" thickBot="1" x14ac:dyDescent="0.3">
      <c r="D27" s="17" t="s">
        <v>1</v>
      </c>
      <c r="E27" s="4">
        <v>60</v>
      </c>
    </row>
  </sheetData>
  <mergeCells count="5">
    <mergeCell ref="D23:E23"/>
    <mergeCell ref="D10:E10"/>
    <mergeCell ref="A10:B10"/>
    <mergeCell ref="A18:B18"/>
    <mergeCell ref="D17:E17"/>
  </mergeCells>
  <pageMargins left="0.7" right="0.7" top="0.75" bottom="0.75" header="0.3" footer="0.3"/>
  <pageSetup orientation="landscape" horizontalDpi="4294967293" vertic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53F2-D9A8-4DD2-8488-9F0FE97A8B14}">
  <dimension ref="A3:E38"/>
  <sheetViews>
    <sheetView workbookViewId="0">
      <selection activeCell="D5" sqref="D5:E11"/>
    </sheetView>
  </sheetViews>
  <sheetFormatPr defaultRowHeight="15" x14ac:dyDescent="0.25"/>
  <cols>
    <col min="1" max="1" width="44.5703125" customWidth="1"/>
    <col min="2" max="2" width="14.140625" customWidth="1"/>
    <col min="3" max="3" width="4.85546875" customWidth="1"/>
    <col min="4" max="4" width="43.28515625" customWidth="1"/>
    <col min="5" max="5" width="15" customWidth="1"/>
  </cols>
  <sheetData>
    <row r="3" spans="1:5" s="1" customFormat="1" ht="33" x14ac:dyDescent="0.45">
      <c r="C3" s="14" t="s">
        <v>73</v>
      </c>
    </row>
    <row r="4" spans="1:5" s="1" customFormat="1" ht="16.5" thickBot="1" x14ac:dyDescent="0.3"/>
    <row r="5" spans="1:5" s="1" customFormat="1" ht="16.5" thickBot="1" x14ac:dyDescent="0.3">
      <c r="A5" s="105" t="s">
        <v>33</v>
      </c>
      <c r="B5" s="106"/>
      <c r="D5" s="105" t="s">
        <v>142</v>
      </c>
      <c r="E5" s="106"/>
    </row>
    <row r="6" spans="1:5" s="1" customFormat="1" ht="15.75" x14ac:dyDescent="0.25">
      <c r="A6" s="5"/>
      <c r="B6" s="7" t="s">
        <v>0</v>
      </c>
      <c r="D6" s="5"/>
      <c r="E6" s="7" t="s">
        <v>0</v>
      </c>
    </row>
    <row r="7" spans="1:5" s="1" customFormat="1" ht="15.75" x14ac:dyDescent="0.25">
      <c r="A7" s="6" t="s">
        <v>34</v>
      </c>
      <c r="B7" s="3" t="s">
        <v>35</v>
      </c>
      <c r="D7" s="36" t="s">
        <v>97</v>
      </c>
      <c r="E7" s="3">
        <v>80</v>
      </c>
    </row>
    <row r="8" spans="1:5" s="1" customFormat="1" ht="15.75" x14ac:dyDescent="0.25">
      <c r="A8" s="6" t="s">
        <v>36</v>
      </c>
      <c r="B8" s="3">
        <v>20</v>
      </c>
      <c r="D8" s="6" t="s">
        <v>37</v>
      </c>
      <c r="E8" s="3">
        <v>20</v>
      </c>
    </row>
    <row r="9" spans="1:5" s="1" customFormat="1" ht="15.75" x14ac:dyDescent="0.25">
      <c r="A9" s="6" t="s">
        <v>50</v>
      </c>
      <c r="B9" s="3">
        <v>20</v>
      </c>
      <c r="D9" s="6" t="s">
        <v>48</v>
      </c>
      <c r="E9" s="3">
        <v>20</v>
      </c>
    </row>
    <row r="10" spans="1:5" s="1" customFormat="1" ht="15.75" x14ac:dyDescent="0.25">
      <c r="A10" s="6" t="s">
        <v>2</v>
      </c>
      <c r="B10" s="3">
        <v>4</v>
      </c>
      <c r="D10" s="6" t="s">
        <v>44</v>
      </c>
      <c r="E10" s="3">
        <v>6</v>
      </c>
    </row>
    <row r="11" spans="1:5" s="1" customFormat="1" ht="16.5" thickBot="1" x14ac:dyDescent="0.3">
      <c r="A11" s="17" t="s">
        <v>1</v>
      </c>
      <c r="B11" s="4" t="s">
        <v>49</v>
      </c>
      <c r="D11" s="17" t="s">
        <v>1</v>
      </c>
      <c r="E11" s="4">
        <v>126</v>
      </c>
    </row>
    <row r="12" spans="1:5" s="1" customFormat="1" ht="16.5" thickBot="1" x14ac:dyDescent="0.3">
      <c r="D12" s="57"/>
      <c r="E12" s="60"/>
    </row>
    <row r="13" spans="1:5" s="1" customFormat="1" ht="16.5" thickBot="1" x14ac:dyDescent="0.3">
      <c r="A13" t="s">
        <v>41</v>
      </c>
      <c r="D13" s="105" t="s">
        <v>143</v>
      </c>
      <c r="E13" s="106"/>
    </row>
    <row r="14" spans="1:5" s="1" customFormat="1" ht="15.75" x14ac:dyDescent="0.25">
      <c r="A14" s="1" t="s">
        <v>42</v>
      </c>
      <c r="D14" s="5"/>
      <c r="E14" s="7" t="s">
        <v>0</v>
      </c>
    </row>
    <row r="15" spans="1:5" s="1" customFormat="1" ht="15.75" x14ac:dyDescent="0.25">
      <c r="A15" s="9" t="s">
        <v>43</v>
      </c>
      <c r="D15" s="6" t="s">
        <v>37</v>
      </c>
      <c r="E15" s="3">
        <v>20</v>
      </c>
    </row>
    <row r="16" spans="1:5" s="1" customFormat="1" ht="16.5" thickBot="1" x14ac:dyDescent="0.3">
      <c r="D16" s="6" t="s">
        <v>48</v>
      </c>
      <c r="E16" s="3">
        <v>20</v>
      </c>
    </row>
    <row r="17" spans="1:5" s="1" customFormat="1" ht="16.5" thickBot="1" x14ac:dyDescent="0.3">
      <c r="A17" s="105" t="s">
        <v>75</v>
      </c>
      <c r="B17" s="106"/>
      <c r="D17" s="6" t="s">
        <v>44</v>
      </c>
      <c r="E17" s="3">
        <v>6</v>
      </c>
    </row>
    <row r="18" spans="1:5" s="1" customFormat="1" ht="16.5" thickBot="1" x14ac:dyDescent="0.3">
      <c r="A18" s="5"/>
      <c r="B18" s="7" t="s">
        <v>0</v>
      </c>
      <c r="D18" s="17" t="s">
        <v>1</v>
      </c>
      <c r="E18" s="4">
        <v>46</v>
      </c>
    </row>
    <row r="19" spans="1:5" s="1" customFormat="1" ht="16.5" thickBot="1" x14ac:dyDescent="0.3">
      <c r="A19" s="36" t="s">
        <v>82</v>
      </c>
      <c r="B19" s="3">
        <v>20</v>
      </c>
    </row>
    <row r="20" spans="1:5" s="1" customFormat="1" ht="16.5" thickBot="1" x14ac:dyDescent="0.3">
      <c r="A20" s="6" t="s">
        <v>48</v>
      </c>
      <c r="B20" s="3">
        <v>10</v>
      </c>
      <c r="D20" s="105" t="s">
        <v>74</v>
      </c>
      <c r="E20" s="106"/>
    </row>
    <row r="21" spans="1:5" s="1" customFormat="1" ht="16.5" thickBot="1" x14ac:dyDescent="0.3">
      <c r="A21" s="17" t="s">
        <v>1</v>
      </c>
      <c r="B21" s="4">
        <v>30</v>
      </c>
      <c r="D21" s="8" t="s">
        <v>51</v>
      </c>
      <c r="E21" s="3">
        <v>30</v>
      </c>
    </row>
    <row r="22" spans="1:5" s="1" customFormat="1" ht="15.75" x14ac:dyDescent="0.25">
      <c r="A22"/>
      <c r="B22"/>
      <c r="D22" s="8" t="s">
        <v>52</v>
      </c>
      <c r="E22" s="3">
        <v>20</v>
      </c>
    </row>
    <row r="23" spans="1:5" s="1" customFormat="1" ht="16.5" thickBot="1" x14ac:dyDescent="0.3">
      <c r="A23" s="37" t="s">
        <v>141</v>
      </c>
      <c r="B23"/>
      <c r="D23" s="17" t="s">
        <v>1</v>
      </c>
      <c r="E23" s="4">
        <v>50</v>
      </c>
    </row>
    <row r="24" spans="1:5" s="1" customFormat="1" ht="15.75" x14ac:dyDescent="0.25">
      <c r="A24"/>
      <c r="B24"/>
    </row>
    <row r="25" spans="1:5" s="1" customFormat="1" ht="15.75" x14ac:dyDescent="0.25">
      <c r="A25"/>
      <c r="B25"/>
    </row>
    <row r="26" spans="1:5" s="1" customFormat="1" ht="15.75" x14ac:dyDescent="0.25">
      <c r="A26"/>
      <c r="B26"/>
    </row>
    <row r="27" spans="1:5" s="1" customFormat="1" ht="15.75" x14ac:dyDescent="0.25">
      <c r="A27"/>
      <c r="B27"/>
    </row>
    <row r="28" spans="1:5" s="1" customFormat="1" ht="15.75" x14ac:dyDescent="0.25">
      <c r="A28"/>
      <c r="B28"/>
    </row>
    <row r="29" spans="1:5" s="1" customFormat="1" ht="15.75" x14ac:dyDescent="0.25">
      <c r="A29"/>
      <c r="B29"/>
    </row>
    <row r="30" spans="1:5" s="1" customFormat="1" ht="15.75" x14ac:dyDescent="0.25">
      <c r="A30"/>
      <c r="B30"/>
    </row>
    <row r="31" spans="1:5" s="1" customFormat="1" ht="15.75" x14ac:dyDescent="0.25">
      <c r="A31"/>
      <c r="B31"/>
    </row>
    <row r="32" spans="1:5" s="1" customFormat="1" ht="15.75" x14ac:dyDescent="0.25">
      <c r="A32"/>
      <c r="B32"/>
    </row>
    <row r="33" spans="1:4" s="1" customFormat="1" ht="15.75" x14ac:dyDescent="0.25">
      <c r="A33"/>
      <c r="B33"/>
    </row>
    <row r="34" spans="1:4" s="1" customFormat="1" ht="15.75" x14ac:dyDescent="0.25">
      <c r="A34"/>
      <c r="B34"/>
    </row>
    <row r="35" spans="1:4" ht="15.75" x14ac:dyDescent="0.25">
      <c r="D35" s="1"/>
    </row>
    <row r="38" spans="1:4" ht="15.75" x14ac:dyDescent="0.25">
      <c r="D38" s="1"/>
    </row>
  </sheetData>
  <mergeCells count="5">
    <mergeCell ref="A5:B5"/>
    <mergeCell ref="D5:E5"/>
    <mergeCell ref="A17:B17"/>
    <mergeCell ref="D20:E20"/>
    <mergeCell ref="D13:E13"/>
  </mergeCells>
  <pageMargins left="0.7" right="0.7" top="0.75" bottom="0.75" header="0.3" footer="0.3"/>
  <pageSetup orientation="landscape" horizontalDpi="4294967293" vertic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3DAED-779B-498E-B904-453D110C7ABD}">
  <dimension ref="B2:C29"/>
  <sheetViews>
    <sheetView workbookViewId="0">
      <selection activeCell="F21" sqref="F21"/>
    </sheetView>
  </sheetViews>
  <sheetFormatPr defaultRowHeight="15" x14ac:dyDescent="0.25"/>
  <cols>
    <col min="2" max="2" width="40.28515625" customWidth="1"/>
    <col min="3" max="3" width="9.5703125" bestFit="1" customWidth="1"/>
  </cols>
  <sheetData>
    <row r="2" spans="2:3" ht="15.75" thickBot="1" x14ac:dyDescent="0.3"/>
    <row r="3" spans="2:3" ht="16.5" thickBot="1" x14ac:dyDescent="0.3">
      <c r="B3" s="137" t="s">
        <v>155</v>
      </c>
      <c r="C3" s="138"/>
    </row>
    <row r="4" spans="2:3" ht="15.75" x14ac:dyDescent="0.25">
      <c r="B4" s="5"/>
      <c r="C4" s="7" t="s">
        <v>0</v>
      </c>
    </row>
    <row r="5" spans="2:3" ht="15.75" x14ac:dyDescent="0.25">
      <c r="B5" s="8" t="s">
        <v>156</v>
      </c>
      <c r="C5" s="3">
        <v>40</v>
      </c>
    </row>
    <row r="6" spans="2:3" ht="15.75" x14ac:dyDescent="0.25">
      <c r="B6" s="6" t="s">
        <v>157</v>
      </c>
      <c r="C6" s="3">
        <v>40</v>
      </c>
    </row>
    <row r="7" spans="2:3" ht="16.5" thickBot="1" x14ac:dyDescent="0.3">
      <c r="B7" s="17" t="s">
        <v>1</v>
      </c>
      <c r="C7" s="4">
        <v>80</v>
      </c>
    </row>
    <row r="8" spans="2:3" ht="15.75" thickBot="1" x14ac:dyDescent="0.3"/>
    <row r="9" spans="2:3" ht="16.5" thickBot="1" x14ac:dyDescent="0.3">
      <c r="B9" s="137" t="s">
        <v>158</v>
      </c>
      <c r="C9" s="138"/>
    </row>
    <row r="10" spans="2:3" ht="15.75" x14ac:dyDescent="0.25">
      <c r="B10" s="5"/>
      <c r="C10" s="7" t="s">
        <v>0</v>
      </c>
    </row>
    <row r="11" spans="2:3" ht="15.75" x14ac:dyDescent="0.25">
      <c r="B11" s="8" t="s">
        <v>159</v>
      </c>
      <c r="C11" s="3">
        <v>57</v>
      </c>
    </row>
    <row r="12" spans="2:3" ht="15.75" x14ac:dyDescent="0.25">
      <c r="B12" s="6" t="s">
        <v>160</v>
      </c>
      <c r="C12" s="3">
        <v>40</v>
      </c>
    </row>
    <row r="13" spans="2:3" ht="15.75" x14ac:dyDescent="0.25">
      <c r="B13" s="6" t="s">
        <v>161</v>
      </c>
      <c r="C13" s="3">
        <v>40</v>
      </c>
    </row>
    <row r="14" spans="2:3" ht="15.75" x14ac:dyDescent="0.25">
      <c r="B14" s="6" t="s">
        <v>99</v>
      </c>
      <c r="C14" s="3">
        <v>40</v>
      </c>
    </row>
    <row r="15" spans="2:3" ht="16.5" thickBot="1" x14ac:dyDescent="0.3">
      <c r="B15" s="17" t="s">
        <v>1</v>
      </c>
      <c r="C15" s="4">
        <v>177</v>
      </c>
    </row>
    <row r="16" spans="2:3" ht="15.75" thickBot="1" x14ac:dyDescent="0.3"/>
    <row r="17" spans="2:3" ht="16.5" thickBot="1" x14ac:dyDescent="0.3">
      <c r="B17" s="137" t="s">
        <v>166</v>
      </c>
      <c r="C17" s="138"/>
    </row>
    <row r="18" spans="2:3" ht="15.75" x14ac:dyDescent="0.25">
      <c r="B18" s="5"/>
      <c r="C18" s="7" t="s">
        <v>0</v>
      </c>
    </row>
    <row r="19" spans="2:3" ht="15.75" x14ac:dyDescent="0.25">
      <c r="B19" s="8" t="s">
        <v>162</v>
      </c>
      <c r="C19" s="3">
        <v>40</v>
      </c>
    </row>
    <row r="20" spans="2:3" ht="15.75" x14ac:dyDescent="0.25">
      <c r="B20" s="6" t="s">
        <v>156</v>
      </c>
      <c r="C20" s="3">
        <v>22.4</v>
      </c>
    </row>
    <row r="21" spans="2:3" ht="16.5" thickBot="1" x14ac:dyDescent="0.3">
      <c r="B21" s="17" t="s">
        <v>1</v>
      </c>
      <c r="C21" s="4">
        <v>62.4</v>
      </c>
    </row>
    <row r="22" spans="2:3" ht="15.75" thickBot="1" x14ac:dyDescent="0.3"/>
    <row r="23" spans="2:3" ht="16.5" thickBot="1" x14ac:dyDescent="0.3">
      <c r="B23" s="137" t="s">
        <v>163</v>
      </c>
      <c r="C23" s="138"/>
    </row>
    <row r="24" spans="2:3" ht="15.75" x14ac:dyDescent="0.25">
      <c r="B24" s="5"/>
      <c r="C24" s="7" t="s">
        <v>0</v>
      </c>
    </row>
    <row r="25" spans="2:3" ht="15.75" x14ac:dyDescent="0.25">
      <c r="B25" s="8" t="s">
        <v>157</v>
      </c>
      <c r="C25" s="3">
        <v>10</v>
      </c>
    </row>
    <row r="26" spans="2:3" ht="15.75" x14ac:dyDescent="0.25">
      <c r="B26" s="6" t="s">
        <v>164</v>
      </c>
      <c r="C26" s="3">
        <v>10</v>
      </c>
    </row>
    <row r="27" spans="2:3" ht="16.5" thickBot="1" x14ac:dyDescent="0.3">
      <c r="B27" s="17" t="s">
        <v>1</v>
      </c>
      <c r="C27" s="4">
        <v>20</v>
      </c>
    </row>
    <row r="29" spans="2:3" x14ac:dyDescent="0.25">
      <c r="B29" t="s">
        <v>165</v>
      </c>
    </row>
  </sheetData>
  <mergeCells count="4">
    <mergeCell ref="B3:C3"/>
    <mergeCell ref="B9:C9"/>
    <mergeCell ref="B17:C17"/>
    <mergeCell ref="B23:C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Aldo</vt:lpstr>
      <vt:lpstr>Bobo</vt:lpstr>
      <vt:lpstr>Corner Booth</vt:lpstr>
      <vt:lpstr>Costco</vt:lpstr>
      <vt:lpstr>CSM 7"</vt:lpstr>
      <vt:lpstr>FSD 7"</vt:lpstr>
      <vt:lpstr>Four Hands</vt:lpstr>
      <vt:lpstr>Hannaford</vt:lpstr>
      <vt:lpstr>Lowe's 11"</vt:lpstr>
      <vt:lpstr>Lowe's 7"</vt:lpstr>
      <vt:lpstr>Lucia</vt:lpstr>
      <vt:lpstr>Lucia Craft</vt:lpstr>
      <vt:lpstr>Lucia's 7" Morning Melts</vt:lpstr>
      <vt:lpstr>Lucia's Pinsa (Proof)</vt:lpstr>
      <vt:lpstr>Mystic</vt:lpstr>
      <vt:lpstr>Price Chopper</vt:lpstr>
      <vt:lpstr>SMD</vt:lpstr>
      <vt:lpstr>Vita</vt:lpstr>
      <vt:lpstr>Vocelli's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2026-05-14T14:12:55Z</cp:lastPrinted>
  <dcterms:created xsi:type="dcterms:W3CDTF">2016-04-25T14:01:26Z</dcterms:created>
  <dcterms:modified xsi:type="dcterms:W3CDTF">2026-05-14T14:13:24Z</dcterms:modified>
</cp:coreProperties>
</file>