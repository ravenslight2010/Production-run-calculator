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33F12916-52F7-497F-B0E7-1D2E7338B0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D17" i="1"/>
  <c r="D21" i="1" s="1"/>
  <c r="D18" i="1"/>
  <c r="D19" i="1"/>
  <c r="D20" i="1"/>
  <c r="D14" i="1"/>
  <c r="E21" i="1"/>
  <c r="F20" i="1"/>
  <c r="F19" i="1"/>
  <c r="F18" i="1"/>
  <c r="F17" i="1"/>
  <c r="F16" i="1"/>
  <c r="F15" i="1"/>
  <c r="F14" i="1"/>
  <c r="F21" i="1" l="1"/>
  <c r="F46" i="1" l="1"/>
  <c r="F44" i="1" l="1"/>
  <c r="F45" i="1"/>
  <c r="F43" i="1"/>
</calcChain>
</file>

<file path=xl/sharedStrings.xml><?xml version="1.0" encoding="utf-8"?>
<sst xmlns="http://schemas.openxmlformats.org/spreadsheetml/2006/main" count="52" uniqueCount="51">
  <si>
    <t>MALTED BARLEY DOUGH MIXING PROCEDURE</t>
  </si>
  <si>
    <t>LBS.</t>
  </si>
  <si>
    <t xml:space="preserve">ADM WHEAT FLOUR </t>
  </si>
  <si>
    <t xml:space="preserve">WATER  </t>
  </si>
  <si>
    <t>*Make sure using correct Lowe's recipe*</t>
  </si>
  <si>
    <t>HONEY</t>
  </si>
  <si>
    <t>OLIVE OIL</t>
  </si>
  <si>
    <t>FRESH COMPRESSED YEAST</t>
  </si>
  <si>
    <t>SEA SALT</t>
  </si>
  <si>
    <t>TOTAL WEIGHT</t>
  </si>
  <si>
    <t>All Ingredients are to be weighed, not measured in cups</t>
  </si>
  <si>
    <t>1. SET WATER TO 77.4 LBS &amp; TEMP TO 140</t>
  </si>
  <si>
    <t>2. SET MIXER LOW TO 225 TIME, 75 SPIRAL RPM &amp; -8 BOWL RPM</t>
  </si>
  <si>
    <t>4. REMOVE OUTER LAYER OF 4 - 50 LB BAGS OF ADM WHEAT FLOUR, OPEN AND ADD TO MIXING BOWL</t>
  </si>
  <si>
    <t>5. ADD 22 LBS OF CHOPPED SPENT GRAIN (1 BUCKET)</t>
  </si>
  <si>
    <t>5. ADD 6 LBS FRESH COMPRESSED YEAST *KEEP SEPERATE FROM OTHER INGREDIENTS*</t>
  </si>
  <si>
    <t>6. MEASURE AND ADD 1 LB OF SEA SALT</t>
  </si>
  <si>
    <t>7. MEASURE AND ADD 10 LBS OF HONEY AND 7.5 LBS OF OLIVE OIL</t>
  </si>
  <si>
    <t>8. PLACE BOWL INTO MIXER AND LOCK IT IN</t>
  </si>
  <si>
    <t>9. CLOSE MIXING BOWL LID</t>
  </si>
  <si>
    <t>10. START MIXER</t>
  </si>
  <si>
    <t>11. ADD WATER</t>
  </si>
  <si>
    <t>12.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</si>
  <si>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</si>
  <si>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</si>
  <si>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</si>
  <si>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</si>
  <si>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</si>
  <si>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</si>
  <si>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</si>
  <si>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</si>
  <si>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r>
      <rPr>
        <sz val="16"/>
        <color theme="1"/>
        <rFont val="Calibri"/>
        <family val="2"/>
      </rPr>
      <t>Vita Medium Barley (Argus)</t>
    </r>
    <r>
      <rPr>
        <sz val="12"/>
        <color theme="1"/>
        <rFont val="Calibri"/>
        <family val="2"/>
      </rPr>
      <t>: Cheese, Chorizo, Buffalo, Spinach, Mediterranean, Sausage, Supreme</t>
    </r>
  </si>
  <si>
    <r>
      <t xml:space="preserve">VITA </t>
    </r>
    <r>
      <rPr>
        <b/>
        <sz val="10"/>
        <color theme="1"/>
        <rFont val="Calibri"/>
        <family val="2"/>
      </rPr>
      <t>Medium</t>
    </r>
    <r>
      <rPr>
        <sz val="10"/>
        <color theme="1"/>
        <rFont val="Calibri"/>
        <family val="2"/>
        <scheme val="minor"/>
      </rPr>
      <t xml:space="preserve"> (Argus)</t>
    </r>
  </si>
  <si>
    <r>
      <rPr>
        <sz val="16"/>
        <color theme="1"/>
        <rFont val="Calibri"/>
        <family val="2"/>
      </rPr>
      <t>4Hands Thick Barley (Argus)</t>
    </r>
    <r>
      <rPr>
        <sz val="12"/>
        <color theme="1"/>
        <rFont val="Calibri"/>
        <family val="2"/>
      </rPr>
      <t xml:space="preserve">: Sugarfire BBQ Chx, Vienna Red Hot, Chx Club, Mega Meat </t>
    </r>
  </si>
  <si>
    <r>
      <rPr>
        <sz val="16"/>
        <color theme="1"/>
        <rFont val="Calibri"/>
        <family val="2"/>
      </rPr>
      <t>4Hands Thin Plus Barley (11 Inch)</t>
    </r>
    <r>
      <rPr>
        <sz val="12"/>
        <color theme="1"/>
        <rFont val="Calibri"/>
        <family val="2"/>
      </rPr>
      <t xml:space="preserve">: Hi-Pointe BCB, Michael's Bar Gyro </t>
    </r>
  </si>
  <si>
    <r>
      <rPr>
        <sz val="16"/>
        <color theme="1"/>
        <rFont val="Calibri"/>
        <family val="2"/>
      </rPr>
      <t>Hannaford Thick Barley (Argus)</t>
    </r>
    <r>
      <rPr>
        <sz val="12"/>
        <color theme="1"/>
        <rFont val="Calibri"/>
        <family val="2"/>
      </rPr>
      <t>: Pepperoni, Buffalo, 4 Meat</t>
    </r>
  </si>
  <si>
    <r>
      <rPr>
        <sz val="16"/>
        <color theme="1"/>
        <rFont val="Calibri"/>
        <family val="2"/>
      </rPr>
      <t>Lowe's Thin Barley (11 Inch)</t>
    </r>
    <r>
      <rPr>
        <sz val="12"/>
        <color theme="1"/>
        <rFont val="Calibri"/>
        <family val="2"/>
      </rPr>
      <t xml:space="preserve">: Red Pepper Hommus </t>
    </r>
  </si>
  <si>
    <r>
      <rPr>
        <sz val="16"/>
        <color theme="1"/>
        <rFont val="Calibri"/>
        <family val="2"/>
      </rPr>
      <t>Lucia's Craft Thick Barley (Argus)</t>
    </r>
    <r>
      <rPr>
        <sz val="12"/>
        <color theme="1"/>
        <rFont val="Calibri"/>
        <family val="2"/>
      </rPr>
      <t>: Bratwurst, Chx Club, Vienna Red Hot</t>
    </r>
  </si>
  <si>
    <r>
      <rPr>
        <sz val="16"/>
        <color theme="1"/>
        <rFont val="Calibri"/>
        <family val="2"/>
        <scheme val="minor"/>
      </rPr>
      <t>Price Chopper Thick Barley (Argus)</t>
    </r>
    <r>
      <rPr>
        <sz val="12"/>
        <color theme="1"/>
        <rFont val="Calibri"/>
        <family val="2"/>
        <scheme val="minor"/>
      </rPr>
      <t>: BBQ Chicken, Buffalo, Club, Meat Lovers</t>
    </r>
  </si>
  <si>
    <r>
      <t xml:space="preserve">4HANDS </t>
    </r>
    <r>
      <rPr>
        <b/>
        <sz val="10"/>
        <color theme="1"/>
        <rFont val="Calibri"/>
        <family val="2"/>
      </rPr>
      <t>Thin Plus</t>
    </r>
    <r>
      <rPr>
        <sz val="10"/>
        <color theme="1"/>
        <rFont val="Calibri"/>
        <family val="2"/>
        <scheme val="minor"/>
      </rPr>
      <t xml:space="preserve"> (11 Inch)</t>
    </r>
  </si>
  <si>
    <r>
      <t xml:space="preserve">LOWE'S </t>
    </r>
    <r>
      <rPr>
        <b/>
        <sz val="10"/>
        <color theme="1"/>
        <rFont val="Calibri"/>
        <family val="2"/>
      </rPr>
      <t xml:space="preserve">Thin </t>
    </r>
    <r>
      <rPr>
        <sz val="10"/>
        <color theme="1"/>
        <rFont val="Calibri"/>
        <family val="2"/>
        <scheme val="minor"/>
      </rPr>
      <t>(11 Inch)</t>
    </r>
  </si>
  <si>
    <t>3. SET MIXER HIGH TO 250 TIME, 240 SPIRAL RPM &amp; 20 BOWL RPM</t>
  </si>
  <si>
    <t>5 Bag</t>
  </si>
  <si>
    <r>
      <rPr>
        <sz val="16"/>
        <color theme="1"/>
        <rFont val="Calibri"/>
        <family val="2"/>
      </rPr>
      <t>Lowe's Thick Barley (Argus)</t>
    </r>
    <r>
      <rPr>
        <sz val="12"/>
        <color theme="1"/>
        <rFont val="Calibri"/>
        <family val="2"/>
      </rPr>
      <t>: Buffalo, Meat Lovers, Supreme, Chx Club, Red Hot Chx</t>
    </r>
  </si>
  <si>
    <r>
      <t xml:space="preserve">Nob Hill Craft Thick Barley (Argus): </t>
    </r>
    <r>
      <rPr>
        <sz val="12"/>
        <color theme="1"/>
        <rFont val="Calibri"/>
        <family val="2"/>
        <scheme val="minor"/>
      </rPr>
      <t>Red Hot Chx, Chx Club</t>
    </r>
  </si>
  <si>
    <t>2 Bag</t>
  </si>
  <si>
    <t>4 Bag</t>
  </si>
  <si>
    <t>MALTED BARLEY</t>
  </si>
  <si>
    <t>MALTED BARLEY - PULL FROM FREEZER AND THAW FOR TWO DAYS PRIOR TO USE</t>
  </si>
  <si>
    <r>
      <t xml:space="preserve">LOWE'S, HANNAFORD, 4HANDS, LUCIA CRAFT, 
NOB HILL CRAFT &amp; PRICE CHOPPER </t>
    </r>
    <r>
      <rPr>
        <b/>
        <sz val="10"/>
        <color theme="1"/>
        <rFont val="Calibri"/>
        <family val="2"/>
      </rPr>
      <t xml:space="preserve">Thick </t>
    </r>
    <r>
      <rPr>
        <sz val="10"/>
        <color theme="1"/>
        <rFont val="Calibri"/>
        <family val="2"/>
        <scheme val="minor"/>
      </rPr>
      <t>(Argus)</t>
    </r>
  </si>
  <si>
    <t>5/8/2025 Rev.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</si>
</sst>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2" fontId="8" fillId="3" borderId="11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right"/>
    </xf>
    <xf numFmtId="0" fontId="0" fillId="2" borderId="16" xfId="0" applyFill="1" applyBorder="1"/>
    <xf numFmtId="0" fontId="0" fillId="2" borderId="17" xfId="0" applyFill="1" applyBorder="1"/>
    <xf numFmtId="0" fontId="0" fillId="0" borderId="17" xfId="0" applyBorder="1"/>
    <xf numFmtId="0" fontId="0" fillId="2" borderId="18" xfId="0" applyFill="1" applyBorder="1"/>
    <xf numFmtId="2" fontId="0" fillId="0" borderId="15" xfId="0" applyNumberFormat="1" applyBorder="1"/>
    <xf numFmtId="0" fontId="5" fillId="0" borderId="19" xfId="0" applyFont="1" applyBorder="1" applyAlignment="1">
      <alignment horizontal="right"/>
    </xf>
    <xf numFmtId="0" fontId="0" fillId="2" borderId="20" xfId="0" applyFill="1" applyBorder="1"/>
    <xf numFmtId="0" fontId="0" fillId="0" borderId="21" xfId="0" applyBorder="1"/>
    <xf numFmtId="0" fontId="0" fillId="2" borderId="21" xfId="0" applyFill="1" applyBorder="1"/>
    <xf numFmtId="0" fontId="0" fillId="2" borderId="22" xfId="0" applyFill="1" applyBorder="1"/>
    <xf numFmtId="2" fontId="0" fillId="0" borderId="23" xfId="0" applyNumberFormat="1" applyBorder="1"/>
    <xf numFmtId="0" fontId="0" fillId="2" borderId="30" xfId="0" applyFill="1" applyBorder="1"/>
    <xf numFmtId="0" fontId="9" fillId="3" borderId="13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2" fontId="8" fillId="3" borderId="13" xfId="0" applyNumberFormat="1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30" xfId="0" applyBorder="1"/>
    <xf numFmtId="0" fontId="4" fillId="0" borderId="0" xfId="0" applyFont="1" applyAlignment="1">
      <alignment horizontal="center"/>
    </xf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2" borderId="24" xfId="0" applyFill="1" applyBorder="1"/>
    <xf numFmtId="0" fontId="0" fillId="2" borderId="25" xfId="0" applyFill="1" applyBorder="1"/>
    <xf numFmtId="0" fontId="0" fillId="0" borderId="3" xfId="0" applyBorder="1"/>
    <xf numFmtId="0" fontId="0" fillId="0" borderId="14" xfId="0" applyBorder="1"/>
    <xf numFmtId="0" fontId="0" fillId="2" borderId="3" xfId="0" applyFill="1" applyBorder="1"/>
    <xf numFmtId="0" fontId="0" fillId="2" borderId="14" xfId="0" applyFill="1" applyBorder="1"/>
    <xf numFmtId="0" fontId="0" fillId="2" borderId="28" xfId="0" applyFill="1" applyBorder="1"/>
    <xf numFmtId="0" fontId="0" fillId="2" borderId="29" xfId="0" applyFill="1" applyBorder="1"/>
    <xf numFmtId="0" fontId="0" fillId="0" borderId="26" xfId="0" applyBorder="1"/>
    <xf numFmtId="0" fontId="0" fillId="0" borderId="27" xfId="0" applyBorder="1"/>
    <xf numFmtId="0" fontId="0" fillId="0" borderId="6" xfId="0" applyBorder="1"/>
    <xf numFmtId="0" fontId="0" fillId="0" borderId="7" xfId="0" applyBorder="1"/>
    <xf numFmtId="0" fontId="8" fillId="0" borderId="8" xfId="0" applyFont="1" applyBorder="1" applyAlignment="1">
      <alignment horizontal="right" wrapText="1"/>
    </xf>
    <xf numFmtId="0" fontId="8" fillId="0" borderId="9" xfId="0" applyFont="1" applyBorder="1" applyAlignment="1">
      <alignment horizontal="right" wrapText="1"/>
    </xf>
    <xf numFmtId="0" fontId="8" fillId="3" borderId="10" xfId="0" applyFont="1" applyFill="1" applyBorder="1" applyAlignment="1">
      <alignment horizontal="right"/>
    </xf>
    <xf numFmtId="0" fontId="8" fillId="3" borderId="11" xfId="0" applyFont="1" applyFill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8" fillId="3" borderId="12" xfId="0" applyFont="1" applyFill="1" applyBorder="1" applyAlignment="1">
      <alignment horizontal="right"/>
    </xf>
    <xf numFmtId="0" fontId="8" fillId="3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52"/>
  <sheetViews>
    <sheetView tabSelected="1" workbookViewId="0">
      <selection activeCell="L43" sqref="L43"/>
    </sheetView>
  </sheetViews>
  <sheetFormatPr defaultColWidth="15.140625" defaultRowHeight="15" x14ac:dyDescent="0.25"/>
  <cols>
    <col min="1" max="1" width="8.7109375" customWidth="1"/>
    <col min="3" max="3" width="12.7109375" customWidth="1"/>
    <col min="4" max="4" width="8.7109375" customWidth="1"/>
    <col min="5" max="5" width="9.140625" customWidth="1"/>
    <col min="6" max="6" width="8.7109375" customWidth="1"/>
    <col min="7" max="7" width="9.140625" bestFit="1" customWidth="1"/>
    <col min="8" max="8" width="8.28515625" bestFit="1" customWidth="1"/>
    <col min="9" max="9" width="6.7109375" bestFit="1" customWidth="1"/>
  </cols>
  <sheetData>
    <row r="2" spans="2:8" ht="21" x14ac:dyDescent="0.35">
      <c r="B2" s="1" t="s">
        <v>0</v>
      </c>
      <c r="G2" s="2"/>
      <c r="H2" s="2" t="s">
        <v>50</v>
      </c>
    </row>
    <row r="3" spans="2:8" ht="21" x14ac:dyDescent="0.35">
      <c r="B3" s="4" t="s">
        <v>44</v>
      </c>
      <c r="E3" s="3"/>
      <c r="G3" s="2"/>
    </row>
    <row r="4" spans="2:8" ht="21" x14ac:dyDescent="0.35">
      <c r="B4" s="16" t="s">
        <v>33</v>
      </c>
    </row>
    <row r="5" spans="2:8" ht="21" x14ac:dyDescent="0.35">
      <c r="B5" s="16" t="s">
        <v>34</v>
      </c>
    </row>
    <row r="6" spans="2:8" ht="21" x14ac:dyDescent="0.35">
      <c r="B6" s="16" t="s">
        <v>35</v>
      </c>
    </row>
    <row r="7" spans="2:8" ht="21" x14ac:dyDescent="0.35">
      <c r="B7" s="16" t="s">
        <v>36</v>
      </c>
    </row>
    <row r="8" spans="2:8" ht="21" x14ac:dyDescent="0.35">
      <c r="B8" s="16" t="s">
        <v>43</v>
      </c>
    </row>
    <row r="9" spans="2:8" ht="21" x14ac:dyDescent="0.35">
      <c r="B9" s="16" t="s">
        <v>37</v>
      </c>
    </row>
    <row r="10" spans="2:8" ht="21" x14ac:dyDescent="0.35">
      <c r="B10" s="3" t="s">
        <v>38</v>
      </c>
    </row>
    <row r="11" spans="2:8" ht="21" x14ac:dyDescent="0.35">
      <c r="B11" s="16" t="s">
        <v>31</v>
      </c>
    </row>
    <row r="12" spans="2:8" ht="18" customHeight="1" thickBot="1" x14ac:dyDescent="0.4">
      <c r="B12" s="4"/>
      <c r="C12" s="5"/>
    </row>
    <row r="13" spans="2:8" ht="15" customHeight="1" thickBot="1" x14ac:dyDescent="0.3">
      <c r="B13" s="44" t="s">
        <v>1</v>
      </c>
      <c r="C13" s="45"/>
      <c r="D13" s="21" t="s">
        <v>45</v>
      </c>
      <c r="E13" s="27" t="s">
        <v>46</v>
      </c>
      <c r="F13" s="21" t="s">
        <v>42</v>
      </c>
    </row>
    <row r="14" spans="2:8" x14ac:dyDescent="0.25">
      <c r="B14" s="46" t="s">
        <v>2</v>
      </c>
      <c r="C14" s="47"/>
      <c r="D14" s="33">
        <f>E14/2</f>
        <v>100</v>
      </c>
      <c r="E14" s="28">
        <v>200</v>
      </c>
      <c r="F14" s="22">
        <f>E14*1.25</f>
        <v>250</v>
      </c>
    </row>
    <row r="15" spans="2:8" x14ac:dyDescent="0.25">
      <c r="B15" s="48" t="s">
        <v>3</v>
      </c>
      <c r="C15" s="49"/>
      <c r="D15" s="42">
        <f t="shared" ref="D15:D20" si="0">E15/2</f>
        <v>38.700000000000003</v>
      </c>
      <c r="E15" s="29">
        <v>77.400000000000006</v>
      </c>
      <c r="F15" s="24">
        <f t="shared" ref="F15:F20" si="1">E15*1.25</f>
        <v>96.75</v>
      </c>
    </row>
    <row r="16" spans="2:8" x14ac:dyDescent="0.25">
      <c r="B16" s="50" t="s">
        <v>47</v>
      </c>
      <c r="C16" s="51"/>
      <c r="D16" s="33">
        <f t="shared" si="0"/>
        <v>11</v>
      </c>
      <c r="E16" s="30">
        <v>22</v>
      </c>
      <c r="F16" s="23">
        <f t="shared" si="1"/>
        <v>27.5</v>
      </c>
    </row>
    <row r="17" spans="2:13" x14ac:dyDescent="0.25">
      <c r="B17" s="48" t="s">
        <v>5</v>
      </c>
      <c r="C17" s="49"/>
      <c r="D17" s="42">
        <f t="shared" si="0"/>
        <v>5</v>
      </c>
      <c r="E17" s="29">
        <v>10</v>
      </c>
      <c r="F17" s="24">
        <f t="shared" si="1"/>
        <v>12.5</v>
      </c>
    </row>
    <row r="18" spans="2:13" x14ac:dyDescent="0.25">
      <c r="B18" s="50" t="s">
        <v>6</v>
      </c>
      <c r="C18" s="51"/>
      <c r="D18" s="33">
        <f t="shared" si="0"/>
        <v>3.75</v>
      </c>
      <c r="E18" s="30">
        <v>7.5</v>
      </c>
      <c r="F18" s="23">
        <f t="shared" si="1"/>
        <v>9.375</v>
      </c>
    </row>
    <row r="19" spans="2:13" x14ac:dyDescent="0.25">
      <c r="B19" s="48" t="s">
        <v>7</v>
      </c>
      <c r="C19" s="49"/>
      <c r="D19" s="42">
        <f t="shared" si="0"/>
        <v>3</v>
      </c>
      <c r="E19" s="29">
        <v>6</v>
      </c>
      <c r="F19" s="24">
        <f t="shared" si="1"/>
        <v>7.5</v>
      </c>
    </row>
    <row r="20" spans="2:13" ht="15.75" thickBot="1" x14ac:dyDescent="0.3">
      <c r="B20" s="52" t="s">
        <v>8</v>
      </c>
      <c r="C20" s="53"/>
      <c r="D20" s="33">
        <f t="shared" si="0"/>
        <v>0.5</v>
      </c>
      <c r="E20" s="31">
        <v>1</v>
      </c>
      <c r="F20" s="25">
        <f t="shared" si="1"/>
        <v>1.25</v>
      </c>
    </row>
    <row r="21" spans="2:13" ht="15.75" thickBot="1" x14ac:dyDescent="0.3">
      <c r="B21" s="54" t="s">
        <v>9</v>
      </c>
      <c r="C21" s="55"/>
      <c r="D21" s="32">
        <f>SUM(D14:D20)</f>
        <v>161.94999999999999</v>
      </c>
      <c r="E21" s="32">
        <f>SUM(E14:E20)</f>
        <v>323.89999999999998</v>
      </c>
      <c r="F21" s="26">
        <f>SUM(F14:F20)</f>
        <v>404.875</v>
      </c>
    </row>
    <row r="22" spans="2:13" x14ac:dyDescent="0.25">
      <c r="E22" s="6" t="s">
        <v>4</v>
      </c>
    </row>
    <row r="23" spans="2:13" x14ac:dyDescent="0.25">
      <c r="B23" s="5" t="s">
        <v>48</v>
      </c>
    </row>
    <row r="25" spans="2:13" x14ac:dyDescent="0.25">
      <c r="B25" s="7" t="s">
        <v>10</v>
      </c>
    </row>
    <row r="26" spans="2:13" x14ac:dyDescent="0.25">
      <c r="B26" t="s">
        <v>11</v>
      </c>
    </row>
    <row r="27" spans="2:13" x14ac:dyDescent="0.25">
      <c r="B27" t="s">
        <v>12</v>
      </c>
    </row>
    <row r="28" spans="2:13" x14ac:dyDescent="0.25">
      <c r="B28" t="s">
        <v>41</v>
      </c>
    </row>
    <row r="29" spans="2:13" x14ac:dyDescent="0.25">
      <c r="B29" t="s">
        <v>13</v>
      </c>
    </row>
    <row r="30" spans="2:13" x14ac:dyDescent="0.25">
      <c r="B30" t="s">
        <v>14</v>
      </c>
      <c r="M30" s="8"/>
    </row>
    <row r="31" spans="2:13" x14ac:dyDescent="0.25">
      <c r="B31" t="s">
        <v>15</v>
      </c>
    </row>
    <row r="32" spans="2:13" x14ac:dyDescent="0.25">
      <c r="B32" t="s">
        <v>16</v>
      </c>
    </row>
    <row r="33" spans="1:9" x14ac:dyDescent="0.25">
      <c r="B33" t="s">
        <v>17</v>
      </c>
    </row>
    <row r="34" spans="1:9" x14ac:dyDescent="0.25">
      <c r="B34" t="s">
        <v>18</v>
      </c>
    </row>
    <row r="35" spans="1:9" x14ac:dyDescent="0.25">
      <c r="B35" t="s">
        <v>19</v>
      </c>
    </row>
    <row r="36" spans="1:9" x14ac:dyDescent="0.25">
      <c r="B36" t="s">
        <v>20</v>
      </c>
    </row>
    <row r="37" spans="1:9" x14ac:dyDescent="0.25">
      <c r="B37" t="s">
        <v>21</v>
      </c>
    </row>
    <row r="38" spans="1:9" x14ac:dyDescent="0.25">
      <c r="B38" t="s">
        <v>22</v>
      </c>
    </row>
    <row r="40" spans="1:9" x14ac:dyDescent="0.25">
      <c r="B40" s="7" t="s">
        <v>23</v>
      </c>
    </row>
    <row r="41" spans="1:9" x14ac:dyDescent="0.25">
      <c r="D41" s="9"/>
      <c r="E41" s="9"/>
      <c r="F41" s="9"/>
    </row>
    <row r="42" spans="1:9" ht="15.75" thickBot="1" x14ac:dyDescent="0.3">
      <c r="A42" s="56"/>
      <c r="B42" s="57"/>
      <c r="C42" s="57"/>
      <c r="D42" s="10" t="s">
        <v>24</v>
      </c>
      <c r="E42" s="10" t="s">
        <v>1</v>
      </c>
      <c r="F42" s="10" t="s">
        <v>25</v>
      </c>
      <c r="G42" s="11" t="s">
        <v>26</v>
      </c>
      <c r="H42" s="9"/>
      <c r="I42" s="9"/>
    </row>
    <row r="43" spans="1:9" ht="38.25" customHeight="1" x14ac:dyDescent="0.25">
      <c r="A43" s="58" t="s">
        <v>49</v>
      </c>
      <c r="B43" s="59"/>
      <c r="C43" s="59"/>
      <c r="D43" s="17">
        <v>13.8</v>
      </c>
      <c r="E43" s="18">
        <v>0.86</v>
      </c>
      <c r="F43" s="19">
        <f>E21*16/D43</f>
        <v>375.53623188405794</v>
      </c>
      <c r="G43" s="20">
        <v>16</v>
      </c>
      <c r="H43" s="9"/>
      <c r="I43" s="9"/>
    </row>
    <row r="44" spans="1:9" x14ac:dyDescent="0.25">
      <c r="A44" s="60" t="s">
        <v>32</v>
      </c>
      <c r="B44" s="61"/>
      <c r="C44" s="61"/>
      <c r="D44" s="12">
        <v>13</v>
      </c>
      <c r="E44" s="13">
        <v>0.81</v>
      </c>
      <c r="F44" s="14">
        <f>E21*16/D44</f>
        <v>398.64615384615382</v>
      </c>
      <c r="G44" s="15">
        <v>16</v>
      </c>
      <c r="H44" s="9"/>
      <c r="I44" s="9"/>
    </row>
    <row r="45" spans="1:9" x14ac:dyDescent="0.25">
      <c r="A45" s="62" t="s">
        <v>39</v>
      </c>
      <c r="B45" s="63"/>
      <c r="C45" s="63"/>
      <c r="D45" s="38">
        <v>10</v>
      </c>
      <c r="E45" s="39">
        <v>0.63</v>
      </c>
      <c r="F45" s="40">
        <f>E21*16/D45</f>
        <v>518.24</v>
      </c>
      <c r="G45" s="41">
        <v>20</v>
      </c>
      <c r="H45" s="9"/>
      <c r="I45" s="9"/>
    </row>
    <row r="46" spans="1:9" ht="15.75" thickBot="1" x14ac:dyDescent="0.3">
      <c r="A46" s="64" t="s">
        <v>40</v>
      </c>
      <c r="B46" s="65"/>
      <c r="C46" s="65"/>
      <c r="D46" s="34">
        <v>7.8</v>
      </c>
      <c r="E46" s="35">
        <v>0.49</v>
      </c>
      <c r="F46" s="36">
        <f>E21*16/D46</f>
        <v>664.41025641025635</v>
      </c>
      <c r="G46" s="37">
        <v>24</v>
      </c>
      <c r="H46" s="9"/>
    </row>
    <row r="48" spans="1:9" x14ac:dyDescent="0.25">
      <c r="D48" s="43" t="s">
        <v>27</v>
      </c>
      <c r="E48" s="43"/>
      <c r="F48" s="43"/>
      <c r="G48" s="43"/>
    </row>
    <row r="50" spans="2:2" x14ac:dyDescent="0.25">
      <c r="B50" t="s">
        <v>28</v>
      </c>
    </row>
    <row r="51" spans="2:2" x14ac:dyDescent="0.25">
      <c r="B51" t="s">
        <v>29</v>
      </c>
    </row>
    <row r="52" spans="2:2" x14ac:dyDescent="0.25">
      <c r="B52" t="s">
        <v>30</v>
      </c>
    </row>
  </sheetData>
  <mergeCells count="15">
    <mergeCell ref="D48:G48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42:C42"/>
    <mergeCell ref="A43:C43"/>
    <mergeCell ref="A44:C44"/>
    <mergeCell ref="A45:C45"/>
    <mergeCell ref="A46:C46"/>
  </mergeCells>
  <phoneticPr fontId="13" type="noConversion"/>
  <pageMargins left="0" right="0" top="0.75" bottom="0.75" header="0.3" footer="0.3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2025-04-11T19:06:34Z</cp:lastPrinted>
  <dcterms:created xsi:type="dcterms:W3CDTF">2016-04-06T14:37:13Z</dcterms:created>
  <dcterms:modified xsi:type="dcterms:W3CDTF">2025-05-08T15:56:16Z</dcterms:modified>
</cp:coreProperties>
</file>