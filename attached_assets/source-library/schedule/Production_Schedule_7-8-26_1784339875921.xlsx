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Production Schedule\"/>
    </mc:Choice>
  </mc:AlternateContent>
  <xr:revisionPtr revIDLastSave="0" documentId="8_{CEC9B1E2-4226-4CC8-A70D-4FC633C4C994}" xr6:coauthVersionLast="47" xr6:coauthVersionMax="47" xr10:uidLastSave="{00000000-0000-0000-0000-000000000000}"/>
  <bookViews>
    <workbookView xWindow="-28920" yWindow="-120" windowWidth="29040" windowHeight="15720" firstSheet="72" activeTab="81" xr2:uid="{51DAB4C9-A0B2-430C-875B-69039AB4C512}"/>
  </bookViews>
  <sheets>
    <sheet name="1-6" sheetId="55" r:id="rId1"/>
    <sheet name="1-13" sheetId="56" r:id="rId2"/>
    <sheet name="1-20" sheetId="57" r:id="rId3"/>
    <sheet name="1-27" sheetId="58" r:id="rId4"/>
    <sheet name="2-3" sheetId="59" r:id="rId5"/>
    <sheet name="2-10" sheetId="60" r:id="rId6"/>
    <sheet name="2-17" sheetId="61" r:id="rId7"/>
    <sheet name="2-24" sheetId="62" r:id="rId8"/>
    <sheet name="3-3" sheetId="63" r:id="rId9"/>
    <sheet name="3-10" sheetId="64" r:id="rId10"/>
    <sheet name="3-17" sheetId="65" r:id="rId11"/>
    <sheet name="3-24" sheetId="66" r:id="rId12"/>
    <sheet name="3-31" sheetId="67" r:id="rId13"/>
    <sheet name="4-7" sheetId="69" r:id="rId14"/>
    <sheet name="4-14" sheetId="70" r:id="rId15"/>
    <sheet name="4-21" sheetId="71" r:id="rId16"/>
    <sheet name="4-28" sheetId="72" r:id="rId17"/>
    <sheet name="5-5" sheetId="73" r:id="rId18"/>
    <sheet name="5-12" sheetId="74" r:id="rId19"/>
    <sheet name="5-19" sheetId="75" r:id="rId20"/>
    <sheet name="5-26" sheetId="76" r:id="rId21"/>
    <sheet name="6-2" sheetId="78" r:id="rId22"/>
    <sheet name="6-9" sheetId="79" r:id="rId23"/>
    <sheet name="6-16" sheetId="80" r:id="rId24"/>
    <sheet name="6-23" sheetId="81" r:id="rId25"/>
    <sheet name="6-30" sheetId="82" r:id="rId26"/>
    <sheet name="7-7" sheetId="83" r:id="rId27"/>
    <sheet name="7-14" sheetId="84" r:id="rId28"/>
    <sheet name="7-21" sheetId="85" r:id="rId29"/>
    <sheet name="7-28" sheetId="86" r:id="rId30"/>
    <sheet name="8-4" sheetId="87" r:id="rId31"/>
    <sheet name="8-11" sheetId="88" r:id="rId32"/>
    <sheet name="8-18" sheetId="89" r:id="rId33"/>
    <sheet name="8-25" sheetId="90" r:id="rId34"/>
    <sheet name="9-1" sheetId="91" r:id="rId35"/>
    <sheet name="9-8" sheetId="92" r:id="rId36"/>
    <sheet name="9-15" sheetId="93" r:id="rId37"/>
    <sheet name="9-22" sheetId="94" r:id="rId38"/>
    <sheet name="9-29" sheetId="95" r:id="rId39"/>
    <sheet name="10-6" sheetId="96" r:id="rId40"/>
    <sheet name="10-13" sheetId="97" r:id="rId41"/>
    <sheet name="10-20" sheetId="98" r:id="rId42"/>
    <sheet name="10-27" sheetId="99" r:id="rId43"/>
    <sheet name="11-3" sheetId="100" r:id="rId44"/>
    <sheet name="11-10" sheetId="101" r:id="rId45"/>
    <sheet name="11-17" sheetId="102" r:id="rId46"/>
    <sheet name="11-24" sheetId="103" r:id="rId47"/>
    <sheet name="12-1" sheetId="104" r:id="rId48"/>
    <sheet name="12-8" sheetId="105" r:id="rId49"/>
    <sheet name="12-15" sheetId="106" r:id="rId50"/>
    <sheet name="12-22" sheetId="107" r:id="rId51"/>
    <sheet name="12-29" sheetId="108" r:id="rId52"/>
    <sheet name="1-5" sheetId="109" r:id="rId53"/>
    <sheet name="1-12" sheetId="110" r:id="rId54"/>
    <sheet name="1-19" sheetId="111" r:id="rId55"/>
    <sheet name="1-26" sheetId="112" r:id="rId56"/>
    <sheet name="2-2" sheetId="113" r:id="rId57"/>
    <sheet name="2-9" sheetId="114" r:id="rId58"/>
    <sheet name="2-16" sheetId="115" r:id="rId59"/>
    <sheet name="2-23" sheetId="116" r:id="rId60"/>
    <sheet name="3-2" sheetId="117" r:id="rId61"/>
    <sheet name="3-9" sheetId="118" r:id="rId62"/>
    <sheet name="3-16" sheetId="119" r:id="rId63"/>
    <sheet name="3-23" sheetId="120" r:id="rId64"/>
    <sheet name="3-30" sheetId="121" r:id="rId65"/>
    <sheet name="4-6" sheetId="122" r:id="rId66"/>
    <sheet name="4-13" sheetId="123" r:id="rId67"/>
    <sheet name="4-20" sheetId="124" r:id="rId68"/>
    <sheet name="4-27" sheetId="125" r:id="rId69"/>
    <sheet name="5-4" sheetId="126" r:id="rId70"/>
    <sheet name="5-11" sheetId="127" r:id="rId71"/>
    <sheet name="5-18" sheetId="128" r:id="rId72"/>
    <sheet name="5-25" sheetId="129" r:id="rId73"/>
    <sheet name="6-1" sheetId="130" r:id="rId74"/>
    <sheet name="6-8" sheetId="131" r:id="rId75"/>
    <sheet name="6-15" sheetId="132" r:id="rId76"/>
    <sheet name="6-22" sheetId="133" r:id="rId77"/>
    <sheet name="6-29" sheetId="134" r:id="rId78"/>
    <sheet name="7-6" sheetId="135" r:id="rId79"/>
    <sheet name="7-13" sheetId="136" r:id="rId80"/>
    <sheet name="7-20" sheetId="137" r:id="rId81"/>
    <sheet name="7-27" sheetId="138" r:id="rId82"/>
    <sheet name="8-3" sheetId="139" r:id="rId83"/>
    <sheet name="8-10" sheetId="140" r:id="rId84"/>
    <sheet name="8-17" sheetId="141" r:id="rId85"/>
    <sheet name="8-24" sheetId="142" r:id="rId86"/>
    <sheet name="8-31" sheetId="143" r:id="rId87"/>
  </sheets>
  <definedNames>
    <definedName name="_xlnm.Print_Area" localSheetId="40">'10-13'!$A$3:$H$81</definedName>
    <definedName name="_xlnm.Print_Area" localSheetId="41">'10-20'!$A$3:$H$81</definedName>
    <definedName name="_xlnm.Print_Area" localSheetId="39">'10-6'!$A$3:$H$85</definedName>
    <definedName name="_xlnm.Print_Area" localSheetId="38">'9-29'!$A$3:$H$81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37" l="1"/>
  <c r="E70" i="133" l="1"/>
  <c r="E96" i="143" l="1"/>
  <c r="E81" i="143"/>
  <c r="E66" i="143"/>
  <c r="E50" i="143"/>
  <c r="B37" i="143"/>
  <c r="B52" i="143" s="1"/>
  <c r="B68" i="143" s="1"/>
  <c r="B82" i="143" s="1"/>
  <c r="E36" i="143"/>
  <c r="B23" i="143"/>
  <c r="E22" i="143"/>
  <c r="E96" i="142"/>
  <c r="E81" i="142"/>
  <c r="E66" i="142"/>
  <c r="E50" i="142"/>
  <c r="E36" i="142"/>
  <c r="B23" i="142"/>
  <c r="B37" i="142" s="1"/>
  <c r="B52" i="142" s="1"/>
  <c r="B68" i="142" s="1"/>
  <c r="B82" i="142" s="1"/>
  <c r="E22" i="142"/>
  <c r="E96" i="141"/>
  <c r="E81" i="141"/>
  <c r="E66" i="141"/>
  <c r="E50" i="141"/>
  <c r="E36" i="141"/>
  <c r="B23" i="141"/>
  <c r="B37" i="141" s="1"/>
  <c r="B52" i="141" s="1"/>
  <c r="B68" i="141" s="1"/>
  <c r="B82" i="141" s="1"/>
  <c r="E22" i="141"/>
  <c r="E96" i="140"/>
  <c r="E81" i="140"/>
  <c r="E66" i="140"/>
  <c r="E50" i="140"/>
  <c r="E36" i="140"/>
  <c r="B23" i="140"/>
  <c r="B37" i="140" s="1"/>
  <c r="B52" i="140" s="1"/>
  <c r="B68" i="140" s="1"/>
  <c r="B82" i="140" s="1"/>
  <c r="E22" i="140"/>
  <c r="E96" i="139"/>
  <c r="E81" i="139"/>
  <c r="E66" i="139"/>
  <c r="E50" i="139"/>
  <c r="E36" i="139"/>
  <c r="B23" i="139"/>
  <c r="B37" i="139" s="1"/>
  <c r="B52" i="139" s="1"/>
  <c r="B68" i="139" s="1"/>
  <c r="B82" i="139" s="1"/>
  <c r="E22" i="139"/>
  <c r="E96" i="138"/>
  <c r="E81" i="138"/>
  <c r="E66" i="138"/>
  <c r="E50" i="138"/>
  <c r="E36" i="138"/>
  <c r="B23" i="138"/>
  <c r="B37" i="138" s="1"/>
  <c r="B52" i="138" s="1"/>
  <c r="B68" i="138" s="1"/>
  <c r="B82" i="138" s="1"/>
  <c r="E22" i="138"/>
  <c r="E99" i="137"/>
  <c r="E84" i="137"/>
  <c r="E69" i="137"/>
  <c r="E50" i="137"/>
  <c r="E36" i="137"/>
  <c r="B23" i="137"/>
  <c r="B37" i="137" s="1"/>
  <c r="B52" i="137" s="1"/>
  <c r="B71" i="137" s="1"/>
  <c r="B85" i="137" s="1"/>
  <c r="E96" i="136"/>
  <c r="E81" i="136"/>
  <c r="E66" i="136"/>
  <c r="E50" i="136"/>
  <c r="E36" i="136"/>
  <c r="B23" i="136"/>
  <c r="B37" i="136" s="1"/>
  <c r="B52" i="136" s="1"/>
  <c r="B68" i="136" s="1"/>
  <c r="B82" i="136" s="1"/>
  <c r="E22" i="136"/>
  <c r="E96" i="135"/>
  <c r="E81" i="135"/>
  <c r="E66" i="135"/>
  <c r="E50" i="135"/>
  <c r="B37" i="135"/>
  <c r="B52" i="135" s="1"/>
  <c r="B68" i="135" s="1"/>
  <c r="B82" i="135" s="1"/>
  <c r="E36" i="135"/>
  <c r="B23" i="135"/>
  <c r="E22" i="135"/>
  <c r="E22" i="132" l="1"/>
  <c r="E36" i="132" l="1"/>
  <c r="E88" i="132"/>
  <c r="E66" i="129"/>
  <c r="E22" i="130"/>
  <c r="E81" i="129" l="1"/>
  <c r="E66" i="128"/>
  <c r="E111" i="127"/>
  <c r="E95" i="127"/>
  <c r="E96" i="134" l="1"/>
  <c r="E81" i="134"/>
  <c r="E66" i="134"/>
  <c r="E50" i="134"/>
  <c r="E36" i="134"/>
  <c r="B23" i="134"/>
  <c r="B37" i="134" s="1"/>
  <c r="B52" i="134" s="1"/>
  <c r="B68" i="134" s="1"/>
  <c r="B82" i="134" s="1"/>
  <c r="E22" i="134"/>
  <c r="E102" i="133"/>
  <c r="E87" i="133"/>
  <c r="E50" i="133"/>
  <c r="E36" i="133"/>
  <c r="B23" i="133"/>
  <c r="B37" i="133" s="1"/>
  <c r="B52" i="133" s="1"/>
  <c r="B72" i="133" s="1"/>
  <c r="B88" i="133" s="1"/>
  <c r="E22" i="133"/>
  <c r="E103" i="132"/>
  <c r="E66" i="132"/>
  <c r="E50" i="132"/>
  <c r="B23" i="132"/>
  <c r="B37" i="132" s="1"/>
  <c r="B52" i="132" s="1"/>
  <c r="B68" i="132" s="1"/>
  <c r="B89" i="132" s="1"/>
  <c r="E103" i="131"/>
  <c r="E88" i="131"/>
  <c r="E67" i="131"/>
  <c r="E50" i="131"/>
  <c r="E36" i="131"/>
  <c r="B23" i="131"/>
  <c r="B37" i="131" s="1"/>
  <c r="B52" i="131" s="1"/>
  <c r="B69" i="131" s="1"/>
  <c r="B89" i="131" s="1"/>
  <c r="E22" i="131"/>
  <c r="E101" i="130"/>
  <c r="E86" i="130"/>
  <c r="E70" i="130"/>
  <c r="E50" i="130"/>
  <c r="E36" i="130"/>
  <c r="B23" i="130"/>
  <c r="B37" i="130" s="1"/>
  <c r="B52" i="130" s="1"/>
  <c r="B72" i="130" s="1"/>
  <c r="B87" i="130" s="1"/>
  <c r="E96" i="129"/>
  <c r="E50" i="129"/>
  <c r="E36" i="129"/>
  <c r="B23" i="129"/>
  <c r="B37" i="129" s="1"/>
  <c r="B52" i="129" s="1"/>
  <c r="B68" i="129" s="1"/>
  <c r="B82" i="129" s="1"/>
  <c r="E22" i="129"/>
  <c r="E96" i="128"/>
  <c r="E50" i="128"/>
  <c r="E36" i="128"/>
  <c r="B23" i="128"/>
  <c r="B37" i="128" s="1"/>
  <c r="B52" i="128" s="1"/>
  <c r="B68" i="128" s="1"/>
  <c r="B82" i="128" s="1"/>
  <c r="E22" i="128"/>
  <c r="E73" i="127"/>
  <c r="E50" i="127"/>
  <c r="E36" i="127"/>
  <c r="B23" i="127"/>
  <c r="B37" i="127" s="1"/>
  <c r="B52" i="127" s="1"/>
  <c r="B75" i="127" s="1"/>
  <c r="B97" i="127" s="1"/>
  <c r="E22" i="127"/>
  <c r="E96" i="126"/>
  <c r="E81" i="126"/>
  <c r="E66" i="126"/>
  <c r="E50" i="126"/>
  <c r="E36" i="126"/>
  <c r="B23" i="126"/>
  <c r="B37" i="126" s="1"/>
  <c r="B52" i="126" s="1"/>
  <c r="B68" i="126" s="1"/>
  <c r="B82" i="126" s="1"/>
  <c r="E22" i="126"/>
  <c r="E50" i="123"/>
  <c r="E66" i="119" l="1"/>
  <c r="E71" i="116" l="1"/>
  <c r="E88" i="113"/>
  <c r="E96" i="125"/>
  <c r="E81" i="125"/>
  <c r="E66" i="125"/>
  <c r="E50" i="125"/>
  <c r="E36" i="125"/>
  <c r="B23" i="125"/>
  <c r="B37" i="125" s="1"/>
  <c r="B52" i="125" s="1"/>
  <c r="B68" i="125" s="1"/>
  <c r="B82" i="125" s="1"/>
  <c r="E22" i="125"/>
  <c r="E98" i="124"/>
  <c r="E83" i="124"/>
  <c r="E68" i="124"/>
  <c r="E50" i="124"/>
  <c r="E36" i="124"/>
  <c r="B23" i="124"/>
  <c r="B37" i="124" s="1"/>
  <c r="B52" i="124" s="1"/>
  <c r="B70" i="124" s="1"/>
  <c r="B84" i="124" s="1"/>
  <c r="E22" i="124"/>
  <c r="E97" i="123"/>
  <c r="E82" i="123"/>
  <c r="E67" i="123"/>
  <c r="E36" i="123"/>
  <c r="B23" i="123"/>
  <c r="B37" i="123" s="1"/>
  <c r="B52" i="123" s="1"/>
  <c r="B69" i="123" s="1"/>
  <c r="B83" i="123" s="1"/>
  <c r="E22" i="123"/>
  <c r="E96" i="122"/>
  <c r="E81" i="122"/>
  <c r="E66" i="122"/>
  <c r="E50" i="122"/>
  <c r="E36" i="122"/>
  <c r="B23" i="122"/>
  <c r="B37" i="122" s="1"/>
  <c r="B52" i="122" s="1"/>
  <c r="B68" i="122" s="1"/>
  <c r="B82" i="122" s="1"/>
  <c r="E22" i="122"/>
  <c r="E96" i="121"/>
  <c r="E81" i="121"/>
  <c r="E66" i="121"/>
  <c r="E50" i="121"/>
  <c r="E36" i="121"/>
  <c r="B23" i="121"/>
  <c r="B37" i="121" s="1"/>
  <c r="B52" i="121" s="1"/>
  <c r="B68" i="121" s="1"/>
  <c r="B82" i="121" s="1"/>
  <c r="E22" i="121"/>
  <c r="E101" i="120"/>
  <c r="E86" i="120"/>
  <c r="E66" i="120"/>
  <c r="E50" i="120"/>
  <c r="E36" i="120"/>
  <c r="B23" i="120"/>
  <c r="B37" i="120" s="1"/>
  <c r="B52" i="120" s="1"/>
  <c r="B68" i="120" s="1"/>
  <c r="B87" i="120" s="1"/>
  <c r="E22" i="120"/>
  <c r="E96" i="119"/>
  <c r="E81" i="119"/>
  <c r="E50" i="119"/>
  <c r="E36" i="119"/>
  <c r="B23" i="119"/>
  <c r="B37" i="119" s="1"/>
  <c r="B52" i="119" s="1"/>
  <c r="B68" i="119" s="1"/>
  <c r="B82" i="119" s="1"/>
  <c r="E22" i="119"/>
  <c r="E96" i="118"/>
  <c r="E81" i="118"/>
  <c r="E66" i="118"/>
  <c r="E50" i="118"/>
  <c r="E36" i="118"/>
  <c r="B23" i="118"/>
  <c r="B37" i="118" s="1"/>
  <c r="B52" i="118" s="1"/>
  <c r="B68" i="118" s="1"/>
  <c r="B82" i="118" s="1"/>
  <c r="E22" i="118"/>
  <c r="E96" i="117"/>
  <c r="E81" i="117"/>
  <c r="E66" i="117"/>
  <c r="E50" i="117"/>
  <c r="E36" i="117"/>
  <c r="B23" i="117"/>
  <c r="B37" i="117" s="1"/>
  <c r="B52" i="117" s="1"/>
  <c r="B68" i="117" s="1"/>
  <c r="B82" i="117" s="1"/>
  <c r="E22" i="117"/>
  <c r="E66" i="112"/>
  <c r="E50" i="112"/>
  <c r="E36" i="112"/>
  <c r="E22" i="112"/>
  <c r="E103" i="116"/>
  <c r="E88" i="116"/>
  <c r="E50" i="116"/>
  <c r="E36" i="116"/>
  <c r="B23" i="116"/>
  <c r="B37" i="116" s="1"/>
  <c r="B52" i="116" s="1"/>
  <c r="B73" i="116" s="1"/>
  <c r="B89" i="116" s="1"/>
  <c r="E22" i="116"/>
  <c r="E96" i="115"/>
  <c r="E81" i="115"/>
  <c r="E66" i="115"/>
  <c r="E50" i="115"/>
  <c r="E36" i="115"/>
  <c r="B23" i="115"/>
  <c r="B37" i="115" s="1"/>
  <c r="B52" i="115" s="1"/>
  <c r="B68" i="115" s="1"/>
  <c r="B82" i="115" s="1"/>
  <c r="E22" i="115"/>
  <c r="E101" i="114"/>
  <c r="E86" i="114"/>
  <c r="E71" i="114"/>
  <c r="E55" i="114"/>
  <c r="E41" i="114"/>
  <c r="B26" i="114"/>
  <c r="B42" i="114" s="1"/>
  <c r="B57" i="114" s="1"/>
  <c r="B73" i="114" s="1"/>
  <c r="B87" i="114" s="1"/>
  <c r="E25" i="114"/>
  <c r="E103" i="113"/>
  <c r="E66" i="113"/>
  <c r="E50" i="113"/>
  <c r="E36" i="113"/>
  <c r="B23" i="113"/>
  <c r="B37" i="113" s="1"/>
  <c r="B52" i="113" s="1"/>
  <c r="B68" i="113" s="1"/>
  <c r="B89" i="113" s="1"/>
  <c r="E22" i="113"/>
  <c r="E98" i="112"/>
  <c r="E83" i="112"/>
  <c r="B23" i="112"/>
  <c r="B37" i="112" s="1"/>
  <c r="B52" i="112" s="1"/>
  <c r="B68" i="112" s="1"/>
  <c r="B84" i="112" s="1"/>
  <c r="E96" i="111"/>
  <c r="E81" i="111"/>
  <c r="E66" i="111"/>
  <c r="E50" i="111"/>
  <c r="E36" i="111"/>
  <c r="B23" i="111"/>
  <c r="B37" i="111" s="1"/>
  <c r="B52" i="111" s="1"/>
  <c r="B68" i="111" s="1"/>
  <c r="B82" i="111" s="1"/>
  <c r="E22" i="111"/>
  <c r="E99" i="110"/>
  <c r="E84" i="110"/>
  <c r="E67" i="110"/>
  <c r="E50" i="110"/>
  <c r="E36" i="110"/>
  <c r="B23" i="110"/>
  <c r="B37" i="110" s="1"/>
  <c r="B52" i="110" s="1"/>
  <c r="B69" i="110" s="1"/>
  <c r="B85" i="110" s="1"/>
  <c r="E22" i="110"/>
  <c r="E96" i="109"/>
  <c r="E81" i="109"/>
  <c r="E66" i="109"/>
  <c r="E50" i="109"/>
  <c r="E36" i="109"/>
  <c r="B23" i="109"/>
  <c r="B37" i="109" s="1"/>
  <c r="B52" i="109" s="1"/>
  <c r="B68" i="109" s="1"/>
  <c r="B82" i="109" s="1"/>
  <c r="E22" i="109"/>
  <c r="E68" i="105"/>
  <c r="E22" i="95"/>
  <c r="E96" i="108"/>
  <c r="E81" i="108"/>
  <c r="E66" i="108"/>
  <c r="E50" i="108"/>
  <c r="E36" i="108"/>
  <c r="B23" i="108"/>
  <c r="B37" i="108" s="1"/>
  <c r="B52" i="108" s="1"/>
  <c r="B68" i="108" s="1"/>
  <c r="B82" i="108" s="1"/>
  <c r="E22" i="108"/>
  <c r="E96" i="107"/>
  <c r="E81" i="107"/>
  <c r="E66" i="107"/>
  <c r="E50" i="107"/>
  <c r="E36" i="107"/>
  <c r="B23" i="107"/>
  <c r="B37" i="107" s="1"/>
  <c r="B52" i="107" s="1"/>
  <c r="B68" i="107" s="1"/>
  <c r="B82" i="107" s="1"/>
  <c r="E22" i="107"/>
  <c r="E96" i="106"/>
  <c r="E81" i="106"/>
  <c r="E66" i="106"/>
  <c r="E50" i="106"/>
  <c r="E36" i="106"/>
  <c r="B23" i="106"/>
  <c r="B37" i="106" s="1"/>
  <c r="B52" i="106" s="1"/>
  <c r="B68" i="106" s="1"/>
  <c r="B82" i="106" s="1"/>
  <c r="E22" i="106"/>
  <c r="E98" i="105"/>
  <c r="E83" i="105"/>
  <c r="E50" i="105"/>
  <c r="E36" i="105"/>
  <c r="B23" i="105"/>
  <c r="B37" i="105" s="1"/>
  <c r="B52" i="105" s="1"/>
  <c r="B70" i="105" s="1"/>
  <c r="B84" i="105" s="1"/>
  <c r="E22" i="105"/>
  <c r="E101" i="104"/>
  <c r="E86" i="104"/>
  <c r="E66" i="104"/>
  <c r="E50" i="104"/>
  <c r="E36" i="104"/>
  <c r="B23" i="104"/>
  <c r="B37" i="104" s="1"/>
  <c r="B52" i="104" s="1"/>
  <c r="B68" i="104" s="1"/>
  <c r="B87" i="104" s="1"/>
  <c r="E22" i="104"/>
  <c r="E97" i="103"/>
  <c r="E82" i="103"/>
  <c r="E67" i="103"/>
  <c r="E50" i="103"/>
  <c r="E36" i="103"/>
  <c r="B23" i="103"/>
  <c r="B37" i="103" s="1"/>
  <c r="B52" i="103" s="1"/>
  <c r="B69" i="103" s="1"/>
  <c r="B83" i="103" s="1"/>
  <c r="E22" i="103"/>
  <c r="E96" i="102"/>
  <c r="E81" i="102"/>
  <c r="E66" i="102"/>
  <c r="E50" i="102"/>
  <c r="E36" i="102"/>
  <c r="B23" i="102"/>
  <c r="B37" i="102" s="1"/>
  <c r="B52" i="102" s="1"/>
  <c r="B68" i="102" s="1"/>
  <c r="B82" i="102" s="1"/>
  <c r="E22" i="102"/>
  <c r="E96" i="101"/>
  <c r="E81" i="101"/>
  <c r="E66" i="101"/>
  <c r="E50" i="101"/>
  <c r="E36" i="101"/>
  <c r="B23" i="101"/>
  <c r="B37" i="101" s="1"/>
  <c r="B52" i="101" s="1"/>
  <c r="B68" i="101" s="1"/>
  <c r="B82" i="101" s="1"/>
  <c r="E22" i="101"/>
  <c r="E96" i="100"/>
  <c r="E81" i="100"/>
  <c r="E66" i="100"/>
  <c r="E50" i="100"/>
  <c r="E36" i="100"/>
  <c r="B23" i="100"/>
  <c r="B37" i="100" s="1"/>
  <c r="B52" i="100" s="1"/>
  <c r="B68" i="100" s="1"/>
  <c r="B82" i="100" s="1"/>
  <c r="E22" i="100"/>
  <c r="E101" i="99"/>
  <c r="E86" i="99"/>
  <c r="E69" i="99"/>
  <c r="E50" i="99"/>
  <c r="E36" i="99"/>
  <c r="B23" i="99"/>
  <c r="B37" i="99" s="1"/>
  <c r="B52" i="99" s="1"/>
  <c r="B71" i="99" s="1"/>
  <c r="B87" i="99" s="1"/>
  <c r="E22" i="99"/>
  <c r="E96" i="98"/>
  <c r="E81" i="98"/>
  <c r="E66" i="98"/>
  <c r="E50" i="98"/>
  <c r="E36" i="98"/>
  <c r="B23" i="98"/>
  <c r="B37" i="98" s="1"/>
  <c r="B52" i="98" s="1"/>
  <c r="B68" i="98" s="1"/>
  <c r="B82" i="98" s="1"/>
  <c r="E22" i="98"/>
  <c r="E96" i="97"/>
  <c r="E81" i="97"/>
  <c r="E66" i="97"/>
  <c r="E50" i="97"/>
  <c r="E36" i="97"/>
  <c r="B23" i="97"/>
  <c r="B37" i="97" s="1"/>
  <c r="B52" i="97" s="1"/>
  <c r="B68" i="97" s="1"/>
  <c r="B82" i="97" s="1"/>
  <c r="E22" i="97"/>
  <c r="E100" i="96"/>
  <c r="E85" i="96"/>
  <c r="E70" i="96"/>
  <c r="E50" i="96"/>
  <c r="E36" i="96"/>
  <c r="B23" i="96"/>
  <c r="B37" i="96" s="1"/>
  <c r="B52" i="96" s="1"/>
  <c r="B72" i="96" s="1"/>
  <c r="B86" i="96" s="1"/>
  <c r="E22" i="96"/>
  <c r="E36" i="93" l="1"/>
  <c r="E22" i="92" l="1"/>
  <c r="E69" i="92" l="1"/>
  <c r="E96" i="95" l="1"/>
  <c r="E81" i="95"/>
  <c r="E66" i="95"/>
  <c r="E50" i="95"/>
  <c r="E36" i="95"/>
  <c r="B23" i="95"/>
  <c r="B37" i="95" s="1"/>
  <c r="B52" i="95" s="1"/>
  <c r="B68" i="95" s="1"/>
  <c r="B82" i="95" s="1"/>
  <c r="E97" i="94"/>
  <c r="E82" i="94"/>
  <c r="E66" i="94"/>
  <c r="E50" i="94"/>
  <c r="E36" i="94"/>
  <c r="B23" i="94"/>
  <c r="B37" i="94" s="1"/>
  <c r="B52" i="94" s="1"/>
  <c r="B68" i="94" s="1"/>
  <c r="B83" i="94" s="1"/>
  <c r="E22" i="94"/>
  <c r="E96" i="93"/>
  <c r="E81" i="93"/>
  <c r="E66" i="93"/>
  <c r="E50" i="93"/>
  <c r="B23" i="93"/>
  <c r="B37" i="93" s="1"/>
  <c r="B52" i="93" s="1"/>
  <c r="B68" i="93" s="1"/>
  <c r="B82" i="93" s="1"/>
  <c r="E22" i="93"/>
  <c r="E103" i="92"/>
  <c r="E88" i="92"/>
  <c r="E50" i="92"/>
  <c r="E36" i="92"/>
  <c r="B23" i="92"/>
  <c r="B37" i="92" s="1"/>
  <c r="B52" i="92" s="1"/>
  <c r="B71" i="92" s="1"/>
  <c r="B89" i="92" s="1"/>
  <c r="E22" i="88"/>
  <c r="E96" i="91" l="1"/>
  <c r="E81" i="91"/>
  <c r="E66" i="91"/>
  <c r="E50" i="91"/>
  <c r="E36" i="91"/>
  <c r="B23" i="91"/>
  <c r="B37" i="91" s="1"/>
  <c r="B52" i="91" s="1"/>
  <c r="B68" i="91" s="1"/>
  <c r="B82" i="91" s="1"/>
  <c r="E22" i="91"/>
  <c r="E96" i="90"/>
  <c r="E81" i="90"/>
  <c r="E66" i="90"/>
  <c r="E50" i="90"/>
  <c r="E36" i="90"/>
  <c r="B23" i="90"/>
  <c r="B37" i="90" s="1"/>
  <c r="B52" i="90" s="1"/>
  <c r="B68" i="90" s="1"/>
  <c r="B82" i="90" s="1"/>
  <c r="E22" i="90"/>
  <c r="E96" i="89"/>
  <c r="E81" i="89"/>
  <c r="E66" i="89"/>
  <c r="E50" i="89"/>
  <c r="E36" i="89"/>
  <c r="B23" i="89"/>
  <c r="B37" i="89" s="1"/>
  <c r="B52" i="89" s="1"/>
  <c r="B68" i="89" s="1"/>
  <c r="B82" i="89" s="1"/>
  <c r="E22" i="89"/>
  <c r="E97" i="88"/>
  <c r="E82" i="88"/>
  <c r="E67" i="88"/>
  <c r="E50" i="88"/>
  <c r="E36" i="88"/>
  <c r="B23" i="88"/>
  <c r="B37" i="88" s="1"/>
  <c r="B52" i="88" s="1"/>
  <c r="B69" i="88" s="1"/>
  <c r="B83" i="88" s="1"/>
  <c r="E100" i="87"/>
  <c r="E85" i="87"/>
  <c r="E66" i="87"/>
  <c r="E50" i="87"/>
  <c r="E36" i="87"/>
  <c r="B23" i="87"/>
  <c r="B37" i="87" s="1"/>
  <c r="B52" i="87" s="1"/>
  <c r="B68" i="87" s="1"/>
  <c r="B86" i="87" s="1"/>
  <c r="E22" i="87"/>
  <c r="E70" i="84" l="1"/>
  <c r="E22" i="84" l="1"/>
  <c r="E93" i="83"/>
  <c r="E73" i="83"/>
  <c r="E96" i="86" l="1"/>
  <c r="E81" i="86"/>
  <c r="E66" i="86"/>
  <c r="E50" i="86"/>
  <c r="E36" i="86"/>
  <c r="B23" i="86"/>
  <c r="B37" i="86" s="1"/>
  <c r="B52" i="86" s="1"/>
  <c r="B68" i="86" s="1"/>
  <c r="B82" i="86" s="1"/>
  <c r="E22" i="86"/>
  <c r="E96" i="85"/>
  <c r="E81" i="85"/>
  <c r="E66" i="85"/>
  <c r="E50" i="85"/>
  <c r="E36" i="85"/>
  <c r="B23" i="85"/>
  <c r="B37" i="85" s="1"/>
  <c r="B52" i="85" s="1"/>
  <c r="B68" i="85" s="1"/>
  <c r="B82" i="85" s="1"/>
  <c r="E22" i="85"/>
  <c r="E22" i="83"/>
  <c r="E100" i="84" l="1"/>
  <c r="E85" i="84"/>
  <c r="E50" i="84"/>
  <c r="E36" i="84"/>
  <c r="B23" i="84"/>
  <c r="B37" i="84" s="1"/>
  <c r="B52" i="84" s="1"/>
  <c r="B72" i="84" s="1"/>
  <c r="B86" i="84" s="1"/>
  <c r="E66" i="76" l="1"/>
  <c r="E65" i="75"/>
  <c r="E109" i="83" l="1"/>
  <c r="E50" i="83"/>
  <c r="E36" i="83"/>
  <c r="B23" i="83"/>
  <c r="B37" i="83" s="1"/>
  <c r="B52" i="83" s="1"/>
  <c r="B75" i="83" s="1"/>
  <c r="B95" i="83" s="1"/>
  <c r="E96" i="82"/>
  <c r="E81" i="82"/>
  <c r="E66" i="82"/>
  <c r="E50" i="82"/>
  <c r="E36" i="82"/>
  <c r="B23" i="82"/>
  <c r="B37" i="82" s="1"/>
  <c r="B52" i="82" s="1"/>
  <c r="B68" i="82" s="1"/>
  <c r="B82" i="82" s="1"/>
  <c r="E22" i="82"/>
  <c r="E96" i="81"/>
  <c r="E81" i="81"/>
  <c r="E66" i="81"/>
  <c r="E50" i="81"/>
  <c r="E36" i="81"/>
  <c r="B23" i="81"/>
  <c r="B37" i="81" s="1"/>
  <c r="B52" i="81" s="1"/>
  <c r="B68" i="81" s="1"/>
  <c r="B82" i="81" s="1"/>
  <c r="E22" i="81"/>
  <c r="E98" i="80"/>
  <c r="E83" i="80"/>
  <c r="E66" i="80"/>
  <c r="E50" i="80"/>
  <c r="E36" i="80"/>
  <c r="B23" i="80"/>
  <c r="B37" i="80" s="1"/>
  <c r="B52" i="80" s="1"/>
  <c r="B68" i="80" s="1"/>
  <c r="B84" i="80" s="1"/>
  <c r="E22" i="80"/>
  <c r="E99" i="79"/>
  <c r="E84" i="79"/>
  <c r="E66" i="79"/>
  <c r="E50" i="79"/>
  <c r="E36" i="79"/>
  <c r="B23" i="79"/>
  <c r="B37" i="79" s="1"/>
  <c r="B52" i="79" s="1"/>
  <c r="B68" i="79" s="1"/>
  <c r="B85" i="79" s="1"/>
  <c r="E22" i="79"/>
  <c r="E96" i="78" l="1"/>
  <c r="E81" i="78"/>
  <c r="E66" i="78"/>
  <c r="E50" i="78"/>
  <c r="E36" i="78"/>
  <c r="B23" i="78"/>
  <c r="B37" i="78" s="1"/>
  <c r="B52" i="78" s="1"/>
  <c r="B68" i="78" s="1"/>
  <c r="B82" i="78" s="1"/>
  <c r="E22" i="78"/>
  <c r="E25" i="74" l="1"/>
  <c r="E41" i="74"/>
  <c r="E96" i="76" l="1"/>
  <c r="E81" i="76"/>
  <c r="E50" i="76"/>
  <c r="B37" i="76"/>
  <c r="B52" i="76" s="1"/>
  <c r="B68" i="76" s="1"/>
  <c r="B82" i="76" s="1"/>
  <c r="E36" i="76"/>
  <c r="B23" i="76"/>
  <c r="E22" i="76"/>
  <c r="E95" i="75"/>
  <c r="E80" i="75"/>
  <c r="E50" i="75"/>
  <c r="E36" i="75"/>
  <c r="B23" i="75"/>
  <c r="B37" i="75" s="1"/>
  <c r="B52" i="75" s="1"/>
  <c r="B67" i="75" s="1"/>
  <c r="B81" i="75" s="1"/>
  <c r="E22" i="75"/>
  <c r="E101" i="74"/>
  <c r="E86" i="74"/>
  <c r="E71" i="74"/>
  <c r="E55" i="74"/>
  <c r="B26" i="74"/>
  <c r="B42" i="74" s="1"/>
  <c r="B57" i="74" s="1"/>
  <c r="B73" i="74" s="1"/>
  <c r="B87" i="74" s="1"/>
  <c r="E96" i="73"/>
  <c r="E81" i="73"/>
  <c r="E66" i="73"/>
  <c r="E50" i="73"/>
  <c r="E36" i="73"/>
  <c r="B23" i="73"/>
  <c r="B37" i="73" s="1"/>
  <c r="B52" i="73" s="1"/>
  <c r="B68" i="73" s="1"/>
  <c r="B82" i="73" s="1"/>
  <c r="E22" i="73"/>
  <c r="E96" i="72"/>
  <c r="E81" i="72"/>
  <c r="E66" i="72"/>
  <c r="E50" i="72"/>
  <c r="E36" i="72"/>
  <c r="B23" i="72"/>
  <c r="B37" i="72" s="1"/>
  <c r="B52" i="72" s="1"/>
  <c r="B68" i="72" s="1"/>
  <c r="B82" i="72" s="1"/>
  <c r="E22" i="72"/>
  <c r="E96" i="71"/>
  <c r="E81" i="71"/>
  <c r="E66" i="71"/>
  <c r="E50" i="71"/>
  <c r="E36" i="71"/>
  <c r="B23" i="71"/>
  <c r="B37" i="71" s="1"/>
  <c r="B52" i="71" s="1"/>
  <c r="B68" i="71" s="1"/>
  <c r="B82" i="71" s="1"/>
  <c r="E22" i="71"/>
  <c r="E96" i="70"/>
  <c r="E81" i="70"/>
  <c r="E66" i="70"/>
  <c r="E50" i="70"/>
  <c r="E36" i="70"/>
  <c r="B23" i="70"/>
  <c r="B37" i="70" s="1"/>
  <c r="B52" i="70" s="1"/>
  <c r="B68" i="70" s="1"/>
  <c r="B82" i="70" s="1"/>
  <c r="E22" i="70"/>
  <c r="E96" i="69"/>
  <c r="E81" i="69"/>
  <c r="E66" i="69"/>
  <c r="E50" i="69"/>
  <c r="E36" i="69"/>
  <c r="B23" i="69"/>
  <c r="B37" i="69" s="1"/>
  <c r="B52" i="69" s="1"/>
  <c r="B68" i="69" s="1"/>
  <c r="B82" i="69" s="1"/>
  <c r="E22" i="69"/>
  <c r="E69" i="66" l="1"/>
  <c r="E66" i="63" l="1"/>
  <c r="E81" i="64" l="1"/>
  <c r="E97" i="67" l="1"/>
  <c r="E82" i="67"/>
  <c r="E66" i="67"/>
  <c r="E50" i="67"/>
  <c r="E36" i="67"/>
  <c r="B23" i="67"/>
  <c r="B37" i="67" s="1"/>
  <c r="B52" i="67" s="1"/>
  <c r="B68" i="67" s="1"/>
  <c r="B83" i="67" s="1"/>
  <c r="E22" i="67"/>
  <c r="E99" i="66"/>
  <c r="E84" i="66"/>
  <c r="E50" i="66"/>
  <c r="E36" i="66"/>
  <c r="B23" i="66"/>
  <c r="B37" i="66" s="1"/>
  <c r="B52" i="66" s="1"/>
  <c r="B71" i="66" s="1"/>
  <c r="B85" i="66" s="1"/>
  <c r="E22" i="66"/>
  <c r="E96" i="65"/>
  <c r="E81" i="65"/>
  <c r="E66" i="65"/>
  <c r="E50" i="65"/>
  <c r="E36" i="65"/>
  <c r="B23" i="65"/>
  <c r="B37" i="65" s="1"/>
  <c r="B52" i="65" s="1"/>
  <c r="B68" i="65" s="1"/>
  <c r="B82" i="65" s="1"/>
  <c r="E22" i="65"/>
  <c r="E96" i="64"/>
  <c r="E66" i="64"/>
  <c r="E50" i="64"/>
  <c r="B37" i="64"/>
  <c r="B52" i="64" s="1"/>
  <c r="B68" i="64" s="1"/>
  <c r="B82" i="64" s="1"/>
  <c r="E36" i="64"/>
  <c r="B23" i="64"/>
  <c r="E22" i="64"/>
  <c r="E68" i="59" l="1"/>
  <c r="E36" i="59"/>
  <c r="E96" i="63"/>
  <c r="E81" i="63"/>
  <c r="E50" i="63"/>
  <c r="E36" i="63"/>
  <c r="B23" i="63"/>
  <c r="B37" i="63" s="1"/>
  <c r="B52" i="63" s="1"/>
  <c r="B68" i="63" s="1"/>
  <c r="B82" i="63" s="1"/>
  <c r="E22" i="63"/>
  <c r="E96" i="62"/>
  <c r="E81" i="62"/>
  <c r="E66" i="62"/>
  <c r="E50" i="62"/>
  <c r="E36" i="62"/>
  <c r="B23" i="62"/>
  <c r="B37" i="62" s="1"/>
  <c r="B52" i="62" s="1"/>
  <c r="B68" i="62" s="1"/>
  <c r="B82" i="62" s="1"/>
  <c r="E22" i="62"/>
  <c r="E96" i="61"/>
  <c r="E81" i="61"/>
  <c r="E66" i="61"/>
  <c r="E50" i="61"/>
  <c r="E36" i="61"/>
  <c r="B23" i="61"/>
  <c r="B37" i="61" s="1"/>
  <c r="B52" i="61" s="1"/>
  <c r="B68" i="61" s="1"/>
  <c r="B82" i="61" s="1"/>
  <c r="E22" i="61"/>
  <c r="E98" i="60"/>
  <c r="E83" i="60"/>
  <c r="E66" i="60"/>
  <c r="E50" i="60"/>
  <c r="E36" i="60"/>
  <c r="B23" i="60"/>
  <c r="B37" i="60" s="1"/>
  <c r="B52" i="60" s="1"/>
  <c r="B68" i="60" s="1"/>
  <c r="B84" i="60" s="1"/>
  <c r="E22" i="60"/>
  <c r="E98" i="59"/>
  <c r="E83" i="59"/>
  <c r="E50" i="59"/>
  <c r="B23" i="59"/>
  <c r="B37" i="59" s="1"/>
  <c r="B52" i="59" s="1"/>
  <c r="B70" i="59" s="1"/>
  <c r="B84" i="59" s="1"/>
  <c r="E22" i="59"/>
  <c r="E67" i="55" l="1"/>
  <c r="E96" i="58" l="1"/>
  <c r="E81" i="58"/>
  <c r="E66" i="58"/>
  <c r="E50" i="58"/>
  <c r="E36" i="58"/>
  <c r="B23" i="58"/>
  <c r="B37" i="58" s="1"/>
  <c r="B52" i="58" s="1"/>
  <c r="B68" i="58" s="1"/>
  <c r="B82" i="58" s="1"/>
  <c r="E22" i="58"/>
  <c r="E96" i="57"/>
  <c r="E81" i="57"/>
  <c r="E66" i="57"/>
  <c r="E50" i="57"/>
  <c r="E36" i="57"/>
  <c r="B23" i="57"/>
  <c r="B37" i="57" s="1"/>
  <c r="B52" i="57" s="1"/>
  <c r="B68" i="57" s="1"/>
  <c r="B82" i="57" s="1"/>
  <c r="E22" i="57"/>
  <c r="E97" i="56"/>
  <c r="E82" i="56"/>
  <c r="E67" i="56"/>
  <c r="E50" i="56"/>
  <c r="E36" i="56"/>
  <c r="B23" i="56"/>
  <c r="B37" i="56" s="1"/>
  <c r="B52" i="56" s="1"/>
  <c r="B69" i="56" s="1"/>
  <c r="B83" i="56" s="1"/>
  <c r="E22" i="56"/>
  <c r="E97" i="55" l="1"/>
  <c r="E82" i="55"/>
  <c r="E50" i="55"/>
  <c r="E36" i="55"/>
  <c r="B23" i="55"/>
  <c r="B37" i="55" s="1"/>
  <c r="B52" i="55" s="1"/>
  <c r="B69" i="55" s="1"/>
  <c r="B83" i="55" s="1"/>
  <c r="E22" i="55"/>
</calcChain>
</file>

<file path=xl/sharedStrings.xml><?xml version="1.0" encoding="utf-8"?>
<sst xmlns="http://schemas.openxmlformats.org/spreadsheetml/2006/main" count="16356" uniqueCount="397">
  <si>
    <t>Week of:</t>
  </si>
  <si>
    <t>Day</t>
  </si>
  <si>
    <t>Monday - Day</t>
  </si>
  <si>
    <t>Brand</t>
  </si>
  <si>
    <t>Flavor</t>
  </si>
  <si>
    <t>Units</t>
  </si>
  <si>
    <t>Customer</t>
  </si>
  <si>
    <t>Ship</t>
  </si>
  <si>
    <t>PO</t>
  </si>
  <si>
    <t>Product Description</t>
  </si>
  <si>
    <t>Soy</t>
  </si>
  <si>
    <t>Egg</t>
  </si>
  <si>
    <t>Sesame</t>
  </si>
  <si>
    <t>Bobo's Bacon Pizza</t>
  </si>
  <si>
    <t>X</t>
  </si>
  <si>
    <t>Bobo's Breakfast Pizza</t>
  </si>
  <si>
    <t>Bobo's Buffalo Chicken Pizza</t>
  </si>
  <si>
    <t>Bobo's Cheese 9" Pizza</t>
  </si>
  <si>
    <t>Bobo's Cheese 12" Pizza</t>
  </si>
  <si>
    <t>Bobo's Chicken Alfredo Pizza</t>
  </si>
  <si>
    <t>Bobo's Deluxe Pizza</t>
  </si>
  <si>
    <t>Bobo's Meat Lovers Pizza</t>
  </si>
  <si>
    <t>Bobo's Pepperoni Pizza</t>
  </si>
  <si>
    <t>Bobo's Sausage Pizza</t>
  </si>
  <si>
    <t>Bobo's Sausage &amp; Pepperoni Pizza</t>
  </si>
  <si>
    <t>Corner Booth Buffalo Chicken Pizza</t>
  </si>
  <si>
    <t>Four Hands Bacon Cheeseburger Pizza</t>
  </si>
  <si>
    <t>Four Hands Chicken Bacon Club Pizza</t>
  </si>
  <si>
    <t>Four Hands Chicken Tikka Masala</t>
  </si>
  <si>
    <t>Tuesday - Day</t>
  </si>
  <si>
    <t>Four Hands Gyro</t>
  </si>
  <si>
    <t>Hannaford Buffalo Chicken Pizza</t>
  </si>
  <si>
    <t>Hannaford Chicken Bacon Club Pizza</t>
  </si>
  <si>
    <t>Lowe's Cheeseburger Pizza</t>
  </si>
  <si>
    <t>Lowe's Buffalo Chicken Pizza</t>
  </si>
  <si>
    <t>Lowe's Chicken Club Pizza</t>
  </si>
  <si>
    <t>Lowe's Red Pepper Hommus Pizza</t>
  </si>
  <si>
    <t>Lowe's Spinach &amp; Mushroom Pizza</t>
  </si>
  <si>
    <t>Lucia's Bacon Cheeseburger Pizza</t>
  </si>
  <si>
    <t>Lucia's Bratwurst Pizza</t>
  </si>
  <si>
    <t>Lucia's Buffalo Chicken Pizza</t>
  </si>
  <si>
    <t>Lucia's Caribbean Pizza</t>
  </si>
  <si>
    <t>Lucia's Cheeseburger Pizza</t>
  </si>
  <si>
    <t>Lucia's Chicken Tikka Masala Pizza</t>
  </si>
  <si>
    <t>Wednesday - Day</t>
  </si>
  <si>
    <t>Lucia's Club Pizza</t>
  </si>
  <si>
    <t>Mystic Buffalo Chicken Pizza</t>
  </si>
  <si>
    <t>Mystic Spinach Pizza</t>
  </si>
  <si>
    <t>Hannaford</t>
  </si>
  <si>
    <t>Vita Buffalo Cauliflower Pizza</t>
  </si>
  <si>
    <t>Vita Mediterranean Pizza</t>
  </si>
  <si>
    <t>Vita Spinach Pizza</t>
  </si>
  <si>
    <t>Thursday - Day</t>
  </si>
  <si>
    <t>Corner Booth</t>
  </si>
  <si>
    <t>Friday - Day</t>
  </si>
  <si>
    <t>Saturday - Day</t>
  </si>
  <si>
    <t>Edwardo's</t>
  </si>
  <si>
    <t>Costco</t>
  </si>
  <si>
    <t>3 Meat</t>
  </si>
  <si>
    <t>Dutch Farms</t>
  </si>
  <si>
    <t>Mystic</t>
  </si>
  <si>
    <t>BBQ Chicken</t>
  </si>
  <si>
    <t>Five Cheese</t>
  </si>
  <si>
    <t>Pepperoni</t>
  </si>
  <si>
    <t>Meat Lover</t>
  </si>
  <si>
    <t>Buffalo</t>
  </si>
  <si>
    <t>Lucias</t>
  </si>
  <si>
    <t>S&amp;P</t>
  </si>
  <si>
    <t>Supreme</t>
  </si>
  <si>
    <t>6 Cheese</t>
  </si>
  <si>
    <t>Delhaize</t>
  </si>
  <si>
    <t>Margherita</t>
  </si>
  <si>
    <t>4 Meat</t>
  </si>
  <si>
    <t>Bobo's</t>
  </si>
  <si>
    <t>Cheese</t>
  </si>
  <si>
    <t>Lowes</t>
  </si>
  <si>
    <t>5 Cheese</t>
  </si>
  <si>
    <t>MDI</t>
  </si>
  <si>
    <t>White Spinach</t>
  </si>
  <si>
    <t>Spinach Mushroom</t>
  </si>
  <si>
    <t>Cheeseburger</t>
  </si>
  <si>
    <t>Sausage</t>
  </si>
  <si>
    <t>Power Play</t>
  </si>
  <si>
    <t>Club</t>
  </si>
  <si>
    <t>Californian</t>
  </si>
  <si>
    <t>4 Hands</t>
  </si>
  <si>
    <t>MR07CH24</t>
  </si>
  <si>
    <t>Grilled Vegetable</t>
  </si>
  <si>
    <t>Bernatello's</t>
  </si>
  <si>
    <t>Caribbean</t>
  </si>
  <si>
    <t>Veggie Vita</t>
  </si>
  <si>
    <t>Sugarfire</t>
  </si>
  <si>
    <t>Mega Meat</t>
  </si>
  <si>
    <t>Hi Point Cheeseburger</t>
  </si>
  <si>
    <t>Lucias Craft</t>
  </si>
  <si>
    <t>Fortune Fish</t>
  </si>
  <si>
    <t>Mediterranean</t>
  </si>
  <si>
    <t>Sausage &amp; Red Pepper</t>
  </si>
  <si>
    <t>Price Chopper</t>
  </si>
  <si>
    <t>C&amp;S</t>
  </si>
  <si>
    <t>Chorizo</t>
  </si>
  <si>
    <t>Tikka Masala</t>
  </si>
  <si>
    <t>Bacon Cheeseburger</t>
  </si>
  <si>
    <t>Spinach</t>
  </si>
  <si>
    <t>Gyro</t>
  </si>
  <si>
    <t>Meat Lovers</t>
  </si>
  <si>
    <t xml:space="preserve">Chicken Bacon </t>
  </si>
  <si>
    <t>Red Hot</t>
  </si>
  <si>
    <t>7 " BBQ Chicken</t>
  </si>
  <si>
    <t>7" White Spinach</t>
  </si>
  <si>
    <t>7" 5 Cheese</t>
  </si>
  <si>
    <t>7" Pepperoni</t>
  </si>
  <si>
    <t>7" Meat Lover</t>
  </si>
  <si>
    <t>7" Supreme</t>
  </si>
  <si>
    <t>Chicken Bacon</t>
  </si>
  <si>
    <t>Sausage &amp; Giardineria</t>
  </si>
  <si>
    <t>1/6-1/11</t>
  </si>
  <si>
    <t>1/13-1/18</t>
  </si>
  <si>
    <t>1/20-1/25</t>
  </si>
  <si>
    <t>1/27-2/1</t>
  </si>
  <si>
    <t>FF571679</t>
  </si>
  <si>
    <t>Buffalo Cauliflower</t>
  </si>
  <si>
    <t>2/3-2/8</t>
  </si>
  <si>
    <t>2/10-2/15</t>
  </si>
  <si>
    <t>2/17-2/22</t>
  </si>
  <si>
    <t>2/24-3/1</t>
  </si>
  <si>
    <t>3/3-3/8</t>
  </si>
  <si>
    <t xml:space="preserve">Bobo's </t>
  </si>
  <si>
    <t>Margerita</t>
  </si>
  <si>
    <t>3/10-3/15</t>
  </si>
  <si>
    <t>3/17-3/22</t>
  </si>
  <si>
    <t>3/24-3/29</t>
  </si>
  <si>
    <t>3/31-4/5</t>
  </si>
  <si>
    <t>Sausage &amp; Giardiniera</t>
  </si>
  <si>
    <t>Spinach &amp; Mushroom</t>
  </si>
  <si>
    <t>MR12CH14</t>
  </si>
  <si>
    <t xml:space="preserve">Brand </t>
  </si>
  <si>
    <t>Carton Sidekicks</t>
  </si>
  <si>
    <t>Carton Lowes Meat Lovers</t>
  </si>
  <si>
    <t xml:space="preserve">Lucias Craft </t>
  </si>
  <si>
    <t>SMD</t>
  </si>
  <si>
    <t>Four Cheese</t>
  </si>
  <si>
    <t>7 Cheese</t>
  </si>
  <si>
    <t>Mission Taco</t>
  </si>
  <si>
    <t>Sausage &amp; Giardiera</t>
  </si>
  <si>
    <t>PriceSmart</t>
  </si>
  <si>
    <t>Chicken Alfredo</t>
  </si>
  <si>
    <t>Piggly Wiggly</t>
  </si>
  <si>
    <t>DOT</t>
  </si>
  <si>
    <t>Bashas</t>
  </si>
  <si>
    <t>Aldo</t>
  </si>
  <si>
    <t>Seidhoff</t>
  </si>
  <si>
    <t xml:space="preserve">Costco </t>
  </si>
  <si>
    <t>Knob Hill</t>
  </si>
  <si>
    <t>12" Supreme (Label)</t>
  </si>
  <si>
    <t>12" S&amp;P (Label)</t>
  </si>
  <si>
    <t>12" Cheese (Label)</t>
  </si>
  <si>
    <t>12" Pepperoni (Label)</t>
  </si>
  <si>
    <t>11" UT Cheese</t>
  </si>
  <si>
    <t>11" UT Pepperoni</t>
  </si>
  <si>
    <t>11" UT Hawaiian</t>
  </si>
  <si>
    <t>11" UT BBQ Chicken</t>
  </si>
  <si>
    <t>SOB</t>
  </si>
  <si>
    <t>Red Hot Chicken</t>
  </si>
  <si>
    <t>House Special</t>
  </si>
  <si>
    <t>River Valley</t>
  </si>
  <si>
    <t>Chicken Club</t>
  </si>
  <si>
    <t>4/7-4/12</t>
  </si>
  <si>
    <t>4/14-4/19</t>
  </si>
  <si>
    <t>4/21-4/26</t>
  </si>
  <si>
    <t>4/28-5/3</t>
  </si>
  <si>
    <t>5/5-5/10</t>
  </si>
  <si>
    <t>5/12-5/17</t>
  </si>
  <si>
    <t>5/19-5/24</t>
  </si>
  <si>
    <t>5/26-5/31</t>
  </si>
  <si>
    <t>BBQ</t>
  </si>
  <si>
    <t>Grilled Veg</t>
  </si>
  <si>
    <t>Sausage &amp; Pepperoni</t>
  </si>
  <si>
    <t>5 Cheesee</t>
  </si>
  <si>
    <t>Pricesmart</t>
  </si>
  <si>
    <t>Globus</t>
  </si>
  <si>
    <t>7" BBQ Chicken</t>
  </si>
  <si>
    <t>Dot</t>
  </si>
  <si>
    <t>Lucia's</t>
  </si>
  <si>
    <t>Breakfast Mexican</t>
  </si>
  <si>
    <t>Breakfast Parisan</t>
  </si>
  <si>
    <t>Breakfast American</t>
  </si>
  <si>
    <t>Lucia</t>
  </si>
  <si>
    <t>Artisan Club</t>
  </si>
  <si>
    <t>Stock</t>
  </si>
  <si>
    <t>TOI</t>
  </si>
  <si>
    <t>Buffalo Chicken</t>
  </si>
  <si>
    <t>Bobo</t>
  </si>
  <si>
    <t>ASAP</t>
  </si>
  <si>
    <t>201-00693067</t>
  </si>
  <si>
    <t>Thin Cheese</t>
  </si>
  <si>
    <t>Thin Pepperoni</t>
  </si>
  <si>
    <t>Hawaiian</t>
  </si>
  <si>
    <t>Nob Hill</t>
  </si>
  <si>
    <t>Cheesburger</t>
  </si>
  <si>
    <t>Closed - Memorial Day</t>
  </si>
  <si>
    <t>INVENTORY</t>
  </si>
  <si>
    <t>Chicken Bacon Club</t>
  </si>
  <si>
    <t>6/2-6/7</t>
  </si>
  <si>
    <t>Mexicano</t>
  </si>
  <si>
    <t>6/9-6/14</t>
  </si>
  <si>
    <t>6/16-6/21</t>
  </si>
  <si>
    <t>6/23-6/28</t>
  </si>
  <si>
    <t>6/30-7/5</t>
  </si>
  <si>
    <t>Closed - 4th of July</t>
  </si>
  <si>
    <t>7/7-7/12</t>
  </si>
  <si>
    <t>Morning Melts</t>
  </si>
  <si>
    <t>Carribbean</t>
  </si>
  <si>
    <t>7" Cheese</t>
  </si>
  <si>
    <t>American</t>
  </si>
  <si>
    <t>Paarisian</t>
  </si>
  <si>
    <t>Parisian</t>
  </si>
  <si>
    <t>Italiano</t>
  </si>
  <si>
    <t>Medulla's</t>
  </si>
  <si>
    <t>Pepperoni &amp; Meatball</t>
  </si>
  <si>
    <t>7/14-7/19</t>
  </si>
  <si>
    <t>Americano</t>
  </si>
  <si>
    <t>12" Pepperoni</t>
  </si>
  <si>
    <t>12" S&amp;P</t>
  </si>
  <si>
    <t>12" Supreme</t>
  </si>
  <si>
    <t>12" Cheese</t>
  </si>
  <si>
    <t>TC Five Cheese</t>
  </si>
  <si>
    <t>TC Pepperoni</t>
  </si>
  <si>
    <t>TC Hawian</t>
  </si>
  <si>
    <t>TC BBQ</t>
  </si>
  <si>
    <t xml:space="preserve">Red Hot </t>
  </si>
  <si>
    <t>7/21-7/26</t>
  </si>
  <si>
    <t>7/28-8/2</t>
  </si>
  <si>
    <t>House</t>
  </si>
  <si>
    <t>8/4-8/9</t>
  </si>
  <si>
    <t>8/11-8/16</t>
  </si>
  <si>
    <t>8/18-8/23</t>
  </si>
  <si>
    <t>8/25-8/30</t>
  </si>
  <si>
    <t>9/1-9/6</t>
  </si>
  <si>
    <t>Lucia's Craft</t>
  </si>
  <si>
    <t>Lucia's Breakfast</t>
  </si>
  <si>
    <t>LP Morning Melts</t>
  </si>
  <si>
    <t>Lowes 7"</t>
  </si>
  <si>
    <t>BoBo's</t>
  </si>
  <si>
    <t>Breakfast</t>
  </si>
  <si>
    <t>Deluxe</t>
  </si>
  <si>
    <t>Medula</t>
  </si>
  <si>
    <t>Veggie</t>
  </si>
  <si>
    <t>9/8-9/13</t>
  </si>
  <si>
    <t>9/15-9/20</t>
  </si>
  <si>
    <t>9/22-9/27</t>
  </si>
  <si>
    <t>9/29-10/4</t>
  </si>
  <si>
    <t>Lowes 11"</t>
  </si>
  <si>
    <t xml:space="preserve">Caribbean </t>
  </si>
  <si>
    <t>SugarFire</t>
  </si>
  <si>
    <t>Magherita</t>
  </si>
  <si>
    <t>Breakfast is old shells and old labels</t>
  </si>
  <si>
    <t>Bern STL</t>
  </si>
  <si>
    <t>No Cartons</t>
  </si>
  <si>
    <t>7" Meatball and Pepperoni</t>
  </si>
  <si>
    <t>Bernatello North</t>
  </si>
  <si>
    <t>Medulla's 12x16</t>
  </si>
  <si>
    <t>Pepperoni and Meatball</t>
  </si>
  <si>
    <t>Medulla's 12"</t>
  </si>
  <si>
    <t>Lucias Breakfast</t>
  </si>
  <si>
    <t>Bashas 12"</t>
  </si>
  <si>
    <t>Bashas TC</t>
  </si>
  <si>
    <t>Burry</t>
  </si>
  <si>
    <t>10/6-10/11</t>
  </si>
  <si>
    <t>10/13-10/18</t>
  </si>
  <si>
    <t>10/20-10/24</t>
  </si>
  <si>
    <t>10/27-11/1</t>
  </si>
  <si>
    <t>11/3-11/8</t>
  </si>
  <si>
    <t>11/10-11/15</t>
  </si>
  <si>
    <t>11/17-11/22</t>
  </si>
  <si>
    <t>11/24-11/29</t>
  </si>
  <si>
    <t>12/1-12/6</t>
  </si>
  <si>
    <t>12/8-12/13</t>
  </si>
  <si>
    <t>12/15-12/20</t>
  </si>
  <si>
    <t>12/22-12/27</t>
  </si>
  <si>
    <t>12/29-1/3</t>
  </si>
  <si>
    <t>Giant</t>
  </si>
  <si>
    <t>9" Cheese</t>
  </si>
  <si>
    <t>Lucia Morning Melt</t>
  </si>
  <si>
    <t xml:space="preserve">Lowes  </t>
  </si>
  <si>
    <t>103.25.2</t>
  </si>
  <si>
    <t>Five Cheese (no cartons)</t>
  </si>
  <si>
    <t>Meag Meat</t>
  </si>
  <si>
    <t>Parisan</t>
  </si>
  <si>
    <t xml:space="preserve">House </t>
  </si>
  <si>
    <t>Spianch &amp; Mushroom</t>
  </si>
  <si>
    <t>1/5-1/10</t>
  </si>
  <si>
    <t>HT Hackney</t>
  </si>
  <si>
    <t>1/12-1/17</t>
  </si>
  <si>
    <t>1/19-1/24</t>
  </si>
  <si>
    <t>1/26-1/31</t>
  </si>
  <si>
    <t>2/2-2/7</t>
  </si>
  <si>
    <t>2/9-2/14</t>
  </si>
  <si>
    <t>2/16-2/21</t>
  </si>
  <si>
    <t>2/23-2/28</t>
  </si>
  <si>
    <t>Tikki Masala</t>
  </si>
  <si>
    <t>Margarita</t>
  </si>
  <si>
    <t>3/16-3/21</t>
  </si>
  <si>
    <t>3/9-3/14</t>
  </si>
  <si>
    <t>3/2-3/7</t>
  </si>
  <si>
    <t>3/23-3/28</t>
  </si>
  <si>
    <t>bmw i3</t>
  </si>
  <si>
    <t>FSD</t>
  </si>
  <si>
    <t>KITCH01092026</t>
  </si>
  <si>
    <t>7" Breakfast</t>
  </si>
  <si>
    <t>4 Cheese</t>
  </si>
  <si>
    <t>Sausage Giardiniera</t>
  </si>
  <si>
    <t>Chicken Spinach</t>
  </si>
  <si>
    <t>3/30-4/04</t>
  </si>
  <si>
    <t>4/6-4/11</t>
  </si>
  <si>
    <t>4/13-4/18</t>
  </si>
  <si>
    <t>4/20-4/25</t>
  </si>
  <si>
    <t>4/27-5/2</t>
  </si>
  <si>
    <t>Garlic Chicken Alfredo</t>
  </si>
  <si>
    <t>Pepperoni &amp; Jalpeno</t>
  </si>
  <si>
    <t>Bobo's 9 "</t>
  </si>
  <si>
    <t>Bufffalo</t>
  </si>
  <si>
    <t>Cheese (New - Sliced Mozz)</t>
  </si>
  <si>
    <t>Pepperoni &amp; Jalapeno</t>
  </si>
  <si>
    <t>Hannaford Chicken Tikka Masala Pizza</t>
  </si>
  <si>
    <t>Coner Booth</t>
  </si>
  <si>
    <t>4 Cheese Sweet &amp; Spicy Chili Sauce</t>
  </si>
  <si>
    <t xml:space="preserve">Tikka Masala </t>
  </si>
  <si>
    <t xml:space="preserve">Buffalo </t>
  </si>
  <si>
    <t>5/4-5/9</t>
  </si>
  <si>
    <t>5/11-5/16</t>
  </si>
  <si>
    <t>5/18-5/23</t>
  </si>
  <si>
    <t>5/25-5/30</t>
  </si>
  <si>
    <t>6/1-6/6</t>
  </si>
  <si>
    <t>6/8-6/13</t>
  </si>
  <si>
    <t>6/15-6/20</t>
  </si>
  <si>
    <t>6/22-6/27</t>
  </si>
  <si>
    <t>6/29-7/4</t>
  </si>
  <si>
    <t xml:space="preserve">Lowes </t>
  </si>
  <si>
    <t xml:space="preserve">MDI </t>
  </si>
  <si>
    <t>Spinach &amp; Goat</t>
  </si>
  <si>
    <t>HEB/Dutch Farms</t>
  </si>
  <si>
    <t>Chicken &amp; Spinach</t>
  </si>
  <si>
    <t>Hawiani</t>
  </si>
  <si>
    <t>Lucias Pinsa</t>
  </si>
  <si>
    <t>Pesto Spinach</t>
  </si>
  <si>
    <t>Spinach &amp; Goat Cheese</t>
  </si>
  <si>
    <t>Five Cheese (carton)</t>
  </si>
  <si>
    <t>CARTON PINSA</t>
  </si>
  <si>
    <t>Americano Breakfast</t>
  </si>
  <si>
    <t>Mexicano Breakfast</t>
  </si>
  <si>
    <t>Artisan Tikka Masala</t>
  </si>
  <si>
    <t>Artisan Caribbean</t>
  </si>
  <si>
    <t>Artisan Hot Chicken</t>
  </si>
  <si>
    <t>**All pizzas contain wheat allergen and milk allergen**</t>
  </si>
  <si>
    <t>FSD 7'' Breakfast</t>
  </si>
  <si>
    <t>Lowe's Caribbean Pizza</t>
  </si>
  <si>
    <t>Lucia's Morning Melt Americano Pizza</t>
  </si>
  <si>
    <t>Lucia's Morning Melt Italiano Pizza</t>
  </si>
  <si>
    <t>Lucia's Morning Melt Mexicano Pizza</t>
  </si>
  <si>
    <t>Lucia's Morning Melt Parisian Pizza</t>
  </si>
  <si>
    <t>Nob Hill Bacon Cheeseburger Pizza</t>
  </si>
  <si>
    <t>Nob Hill Club Pizza</t>
  </si>
  <si>
    <t>Nob Hill Caribbean Pizza</t>
  </si>
  <si>
    <t>Price Chopper Buffalo Chicken Pizza</t>
  </si>
  <si>
    <t>Price Chopper Club Pizza</t>
  </si>
  <si>
    <t>Proof Pinsa Chicken Tikka Masala Pizza</t>
  </si>
  <si>
    <t>Proof Pinsa Margherita Pizza</t>
  </si>
  <si>
    <t>Proof Pinsa Pepperoni Pizza</t>
  </si>
  <si>
    <t>Proof Pinsa Pesto Spinach Pizza</t>
  </si>
  <si>
    <t>Chicken &amp; Spinach Alfredo</t>
  </si>
  <si>
    <t>Italiano Breakfast</t>
  </si>
  <si>
    <t>Parisian Breakfast</t>
  </si>
  <si>
    <t>QC School</t>
  </si>
  <si>
    <t>Four Cheese Sweet Chili</t>
  </si>
  <si>
    <t>Chicken Tikka Masala</t>
  </si>
  <si>
    <t>Kitch06052026</t>
  </si>
  <si>
    <t>Sausage Pepperoni</t>
  </si>
  <si>
    <t>7/6-7/11</t>
  </si>
  <si>
    <t>7/13-7/18</t>
  </si>
  <si>
    <t>7/20-7/25</t>
  </si>
  <si>
    <t>7/27-8/1</t>
  </si>
  <si>
    <t>8/3-8/8</t>
  </si>
  <si>
    <t>8/10-8/15</t>
  </si>
  <si>
    <t>8/17-8/22</t>
  </si>
  <si>
    <t>8/24-8/29</t>
  </si>
  <si>
    <t>8/31-9/5</t>
  </si>
  <si>
    <t>Mauro</t>
  </si>
  <si>
    <t>Italian Beef</t>
  </si>
  <si>
    <t>Pepperoni Jalapeno</t>
  </si>
  <si>
    <t>Sweet Chili Veggie</t>
  </si>
  <si>
    <t>Nashville Chicken</t>
  </si>
  <si>
    <t xml:space="preserve">C&amp;S </t>
  </si>
  <si>
    <t>Buffalo (carton)</t>
  </si>
  <si>
    <t>Supreme (carton)</t>
  </si>
  <si>
    <t>4 Cheese Sweet Chili</t>
  </si>
  <si>
    <t>Spinach Goat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</si>
</sst>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#,##0.00###;\-#,##0.00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1"/>
      <name val="Calibri"/>
      <family val="2"/>
      <charset val="134"/>
    </font>
    <font>
      <sz val="10"/>
      <name val="Times New Roman"/>
      <family val="1"/>
    </font>
    <font>
      <sz val="8"/>
      <color rgb="FF323232"/>
      <name val="Times New Roman"/>
      <family val="1"/>
    </font>
    <font>
      <b/>
      <sz val="10"/>
      <color rgb="FF7030A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24"/>
      <color rgb="FFFF0000"/>
      <name val="Times New Roman"/>
      <family val="1"/>
    </font>
    <font>
      <b/>
      <sz val="22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66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3" xfId="0" applyFont="1" applyBorder="1"/>
    <xf numFmtId="0" fontId="4" fillId="0" borderId="13" xfId="0" applyFont="1" applyBorder="1" applyAlignment="1">
      <alignment horizontal="center"/>
    </xf>
    <xf numFmtId="0" fontId="4" fillId="2" borderId="13" xfId="0" applyFont="1" applyFill="1" applyBorder="1"/>
    <xf numFmtId="0" fontId="5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13" xfId="0" applyFont="1" applyFill="1" applyBorder="1"/>
    <xf numFmtId="0" fontId="5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164" fontId="2" fillId="0" borderId="7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1" xfId="0" applyNumberFormat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8" fillId="0" borderId="13" xfId="0" applyFont="1" applyBorder="1"/>
    <xf numFmtId="0" fontId="5" fillId="0" borderId="24" xfId="0" applyFont="1" applyBorder="1" applyAlignment="1">
      <alignment horizontal="center"/>
    </xf>
    <xf numFmtId="0" fontId="8" fillId="0" borderId="15" xfId="0" applyFont="1" applyBorder="1"/>
    <xf numFmtId="0" fontId="4" fillId="5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left"/>
    </xf>
    <xf numFmtId="0" fontId="2" fillId="0" borderId="25" xfId="0" applyFont="1" applyBorder="1"/>
    <xf numFmtId="164" fontId="2" fillId="0" borderId="16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16" fontId="2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3" xfId="0" applyFont="1" applyBorder="1"/>
    <xf numFmtId="165" fontId="3" fillId="0" borderId="0" xfId="0" applyNumberFormat="1" applyFont="1"/>
    <xf numFmtId="0" fontId="9" fillId="0" borderId="13" xfId="0" applyFont="1" applyBorder="1" applyAlignment="1">
      <alignment horizontal="center"/>
    </xf>
    <xf numFmtId="0" fontId="4" fillId="6" borderId="15" xfId="0" applyFont="1" applyFill="1" applyBorder="1"/>
    <xf numFmtId="0" fontId="5" fillId="0" borderId="26" xfId="0" applyFont="1" applyBorder="1" applyAlignment="1">
      <alignment horizontal="center"/>
    </xf>
    <xf numFmtId="0" fontId="4" fillId="7" borderId="15" xfId="0" applyFont="1" applyFill="1" applyBorder="1" applyAlignment="1">
      <alignment vertical="center"/>
    </xf>
    <xf numFmtId="49" fontId="10" fillId="0" borderId="0" xfId="0" applyNumberFormat="1" applyFont="1"/>
    <xf numFmtId="1" fontId="7" fillId="0" borderId="13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/>
    <xf numFmtId="164" fontId="2" fillId="0" borderId="30" xfId="0" applyNumberFormat="1" applyFont="1" applyBorder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17" xfId="0" applyFont="1" applyBorder="1"/>
    <xf numFmtId="164" fontId="2" fillId="0" borderId="33" xfId="0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16" fontId="2" fillId="8" borderId="13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8" borderId="14" xfId="0" quotePrefix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4" xfId="0" quotePrefix="1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16" fontId="2" fillId="9" borderId="13" xfId="0" applyNumberFormat="1" applyFont="1" applyFill="1" applyBorder="1" applyAlignment="1">
      <alignment horizontal="center"/>
    </xf>
    <xf numFmtId="0" fontId="2" fillId="9" borderId="14" xfId="0" quotePrefix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16" fontId="2" fillId="10" borderId="13" xfId="0" applyNumberFormat="1" applyFont="1" applyFill="1" applyBorder="1" applyAlignment="1">
      <alignment horizontal="center"/>
    </xf>
    <xf numFmtId="0" fontId="2" fillId="10" borderId="14" xfId="0" quotePrefix="1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" fontId="14" fillId="0" borderId="13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6" fontId="2" fillId="4" borderId="15" xfId="0" applyNumberFormat="1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16" fontId="2" fillId="9" borderId="15" xfId="0" applyNumberFormat="1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16" fontId="2" fillId="11" borderId="15" xfId="0" applyNumberFormat="1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4" fillId="11" borderId="13" xfId="0" applyFont="1" applyFill="1" applyBorder="1"/>
    <xf numFmtId="0" fontId="2" fillId="0" borderId="34" xfId="0" quotePrefix="1" applyFont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6" fontId="2" fillId="0" borderId="20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3" xfId="0" applyFont="1" applyBorder="1"/>
    <xf numFmtId="0" fontId="2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2" fillId="4" borderId="13" xfId="0" quotePrefix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20" fontId="2" fillId="0" borderId="12" xfId="0" applyNumberFormat="1" applyFont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6" fontId="2" fillId="0" borderId="15" xfId="0" applyNumberFormat="1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16" fontId="2" fillId="0" borderId="13" xfId="0" applyNumberFormat="1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79CD72-6767-49F1-A45B-83AEDE0292D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DB19A-BE1B-4D3C-9845-44BA9F87E67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D1F72D-BA53-4E10-B080-A5019116D7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5EE3E4-61B7-4816-B351-81622204949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FE4AA5-4588-42A7-BF17-4627FB53525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3921FA-C92D-406A-B5CF-A028AC43F7A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AF7F1D-93BA-46A9-9291-686C09F918D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88835-EE3B-45E7-837E-49ADAB8466D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CD61D8-ED53-4239-80C0-4963907662C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366DE1-5725-46DC-BB0C-AF771153728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14A6EA-523C-4CD8-A94F-8C205DAE754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73E585-342C-4F9C-963B-EC8B0B82C3D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69B946-DA5D-4F4C-B10A-23F8F011CB1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38FE54-D074-4922-97E0-7D3EEA7525F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D7D523-538E-44CA-9050-368403239FF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783DAE-9431-4EA8-9EE0-FE033E5D1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E749D6-FB4C-48A5-9FE7-1DB90F43541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218CE5-6461-4871-8894-8F67F489538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50F3E4-11A0-49C4-B517-C3EB6E08BB0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EF2F2-2B21-4F33-8D0B-70C3A4545A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43F815-A763-4E50-94AB-55BC232315A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628BD1-AEE4-46D1-B866-C7B34DD6E05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EDA71C-FA73-4ADD-BBDA-2DE00CA26F3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913B19-54B4-46BD-8F14-1F7F5556610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F702-B6D4-44A1-8CF4-355BAF616A4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AF06B-E89D-4003-A315-9311CA4ADAA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7D8E92-6A11-40E4-AD96-2C1DBFA9E2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4BBC1-9451-4CA5-9D62-BB3B239E7E5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EDE180-EE42-4B48-8705-330E76F77FE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DC6D01-0F7B-4BB8-BBEA-175682739BA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67325B-575A-44EF-A363-744F7FBA816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8863AC-B0A2-49F9-B5AA-DF416FAFBB5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691978-A68C-4718-8A00-FB1AB4D721B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08060D-A2D7-417B-90CE-BDDB5D5324F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Repack Corner Booth Buffalo 3 pallets</a:t>
          </a:r>
          <a:endParaRPr lang="en-US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Do not go over and make to many uncartoned pizzas</a:t>
          </a:r>
          <a:endParaRPr lang="en-US" sz="66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6849BEF-F0FD-472E-869E-F601B434434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826EAA0-B6DE-4649-9447-AB5C7B345EC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47820-13D8-4214-AC2B-AD0359A5F81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806D12-A464-4251-9D91-4429ED998FE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E80708-2282-48C1-AD49-955C3E79D5E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F5D7CD-12E2-416E-8093-DB58BC3DE97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D6CBD5-2163-491B-BE6B-1535A8AB2F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296258-A8D4-424A-B7D0-2666563CDAD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C7427B-6807-4C56-A41E-3233E611912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endParaRPr lang="en-US" sz="1000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CBE56F-1F08-4D14-841F-671D87ACDEF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DDBB97-0268-4459-8FA1-21813776559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218087-36AE-4224-BBB7-AB6EF512C04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EDBD34-0245-4286-ABFD-D2D9B6974C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66FD38-64DC-4BB0-BEE0-57B75D48257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E7C1FD-D8D3-4938-863E-C484E315FE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DF3402-2787-4909-9514-D4E5C5DC72F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BBACFA-1474-4152-8564-81988FC2C12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15E14-A150-45A4-AB10-519EB9D0C53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7CCF2C-911D-4866-B796-6A2A752E0AE3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A85AD-C59D-4D91-907C-232BB82F462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477883-9EBF-48AA-9391-A40402ABEBF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4FC8AB-89AB-490A-A579-DA615D0DD08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166B6F-92C7-48E9-AFA3-A0A2F5FE607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DA105-4D45-4A18-BEC1-2856602FD1E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measure out Southwest Veggie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(319138)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7E02E7-00A7-4CB9-8C81-2011149B72B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FAFCD9-3EFA-4EEC-B2FB-AD2FFF5855E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B34FBD-7A12-4EE9-89C8-5AA4BF6482B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EE0F3-0FAE-4560-959A-4D41F7D6109D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872F08-9D06-405E-B9B7-F1FD11BB6D4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589790-CF9A-4E3B-96FB-5D8D592DEBA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BAAC78-8EC3-4EAA-884D-6BB231E09E3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E0CA33-04C2-4176-967F-3F2428F0166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B5ABF2-C261-4871-8F8F-22AB7BD5957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</a:t>
          </a:r>
          <a:r>
            <a:rPr lang="en-US" sz="320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Sidekick</a:t>
          </a:r>
          <a:r>
            <a:rPr lang="en-US" sz="3200" baseline="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 Mix (5 of each) (319138)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1724F-F4F8-4178-B359-C711B830786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3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E9AAB6-7FAF-46C7-B558-105F4B4588F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1B6994-3BAE-4E21-AD10-7B5BAB8AE3F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</a:t>
          </a:r>
          <a:r>
            <a:rPr lang="en-US" sz="3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</a:t>
          </a:r>
          <a:r>
            <a:rPr lang="en-US" sz="3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Mix (5 of each) (319138)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7C1243-132E-403F-A347-2E766362B5E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32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E4A1BF-5E12-41E3-A57F-79E15C824FB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54AF3-0B29-44ED-B0DB-7419B18B8DE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E22F19-A401-43D2-8A31-E085DCF00F9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E0620-2CCA-407C-96F2-7F5B27EC19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C86337-9087-4C09-A48D-C9480952AE1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12AAD7-67A9-489F-8542-D6C2716D09A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5DA656-0CCC-4715-91D9-DA0CC4D8A53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B3B86D-7E7E-47CE-8432-4D5013C2C6F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(5 of each) (319138)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2A17565-53E4-4B1B-B8F0-C0E4280ECE4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D325F2-6742-4E99-956F-CD840075D1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0CEA71-A0B0-475B-BB24-91FCAFCF8D3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AF09D6-99F0-4267-B1A0-A23E3EB70E2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6CB0D0-A51C-4ACE-BC54-5551DC2658E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5E9AF9-6D77-42B9-B8F3-2B4B6D12DE3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513C42-08F3-4F62-BA24-17E8AB219E2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F3F687-5C5F-41C7-82DB-886F7505252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D2662D-B345-4B8D-AE55-37FFA1DCE4E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EE7FA6-ADA3-4913-9D72-71795AC58F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87BE50-F429-4039-A7CF-BBBC076F452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90DF0E-D235-4F3C-9365-16591794F42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C82CE5-D0E1-4E41-8B36-FC8592E816B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7BFD4-BBDE-42E0-BE79-A151EBDA048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4B5F92-B8E9-4743-AE44-6DCC723A116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3DABE1-60E3-410C-8ED1-9679621D6C1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3879F2E-DF96-4898-A812-3203CE880FB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3B51A-7A64-4281-9685-3FC2811F04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36D5B0-0565-4AA1-9A4E-FE898A0926E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107CF1-3741-4285-9CF8-25AB6AD398D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72B5EE-6141-48F2-974F-6986C72E6A14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5520A-D1BA-40A4-9D96-7727D326F82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F6FADF-F50F-46DB-B8E3-F9C69455081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662570-EFFF-4E24-8786-D58AE151902E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9BB28A-6497-4362-B3DB-E7C58454740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FEBAAE-B20E-47B8-92D9-B0455408790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E47E77-05ED-4644-BA62-7C4E5704B55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838F2A-F890-4398-BDBF-D42239C8D29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0C7E1E-895C-49B1-AAA6-FDC870480C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FD57A-D79B-43D0-BC69-51B17A2F2E2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60AB9-512A-48CE-AEAA-9C10D1C8BA8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3B935-F9B2-48E9-9C1A-E064CBE742B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20AF36-6300-4F22-941D-05EE5E9602A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23AE7E-9DD5-45C6-8B33-433CE010435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F5A06A-2510-4415-B93D-05287D9DA5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47A78-5114-4018-BEEE-E887725C1D00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8459D0-CB8E-4046-BA05-3FD920D3B05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36B1B9-BA04-4F68-99B4-29516EE92F3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7872E6-100F-4ED5-816B-D3634B85AB2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44B521-EDDC-4A4C-BFB0-06EEA05AF2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836D1-11E0-4D89-95EC-AD953B0DC6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0BE745-65FA-472B-BE51-E6F0531FA2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A7E1CE-F06B-4C81-821F-5E5833F854C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76D94-2581-48B1-AD6E-72E9C89005F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D4DC7-5023-47EA-B648-DBBBDF1726D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A164EC-F08F-4DD4-A834-10394C3AF3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12C5DC-E591-468E-994F-E202FA69808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2BEDC5-1D0C-45D5-909E-B3824ED0901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0CE5E3-4F14-42A4-93C5-CFE7399C223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67478-DFFE-44EB-8090-7EFC66F96B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18BB81-2872-4602-BDAD-36124AD4EE4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</a:t>
          </a:r>
          <a:r>
            <a:rPr lang="en-US" sz="3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Sidekicks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167103-56E9-4DD9-B734-5CC87BFF1DA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5DD4B4-EA5C-4A20-94CA-2CCD528992F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821567-4B05-4627-B4AC-E12743C20C3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4925C7-5450-445B-8A71-739EB24010C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F362B4-61B5-40E8-B0E2-F9DEC15A23B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D9D199-75B9-4781-B33C-69A958B1D8E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350389-CD2C-4E00-8E9C-A03ACC3662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5C5D6D-F0A3-46A0-890A-22AC7C74ED3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1F1998-26A2-4E6A-94E7-8EB838C4AE1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DA436F-5694-4802-B046-3A3D79293F6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B76975-0F4C-49D6-BF6E-BA5907773EB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C5DC22-5D4B-4C8C-AE0A-FD60AEC3974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63B170B-3425-41CB-BD37-5DA53A9BE44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715123-334C-4519-996A-FA4DD1A7A6B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38FD2F-3DB2-45AC-B809-EBFA103CA02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D4C4F9-FFEF-41A2-8C44-4B9E465601F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DA93E1-4224-489C-A919-4813CFDAFE0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C72861-3B12-4326-A3FD-4BBD7A1B4EC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9CBCA7-C856-4C7E-83F9-519E0C7F5A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A91355-3B44-488F-9C10-EF354BB11D9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1D4695-D189-4EEA-A725-9469C1858FB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96C2BD-54F1-4E42-9FD4-E28CC0FBE92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6EBE30-C8A2-4FF1-9C06-34FC1871421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B88216-3785-481D-8144-C617B45BEC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32833F-FDE3-4D73-AC48-88D326D70CA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C5BC66-6EF7-4948-B3BF-17460BC075E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77BDDF-BF00-40AD-B434-1BF896E096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58DC0-BCC2-4D03-B579-C4F5E747069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1C4189-7CF6-4BB6-ABBD-1F1F42F765D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5E0BF0-F3C2-474E-AD74-CD746799CDB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0DF778-9C2D-4CAA-98DC-1DDA6294BC0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B08D6A-AC27-4877-ABF2-30520FF2E3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E0659A-D997-44DC-9871-E734F646DE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Make sure we send 9" cheese back with these pizzas.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D7E78F-915E-4278-BC71-8DBF58AE1CC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226996-5B3C-4EC5-8A25-1A66704C69E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D255F97-AEA9-4902-B6C3-1A30632408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Carton one pallet of Margherita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70D536-0E0A-495D-9789-626E5B8E459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245197-08F5-4585-8F17-A3A4378B265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448AB1-7FAD-478C-957D-30E7B6DAC2D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21B5BB-2D21-475A-9FEA-FB9BBCD5D56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1ECE6E-9AA5-4CC0-9BCD-E75C0AFFF17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B92438-8C15-49D9-8C3B-D21EA0C59C6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C252AF-3562-4184-B0E5-5B9ADA23514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9B9171-8D91-490A-953E-EA03EFDCBF4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8385F9-A04D-4D5A-9F46-C096553CE49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need 192 case of Pepperoni, order is for 288 so make sure we have the other 2 pallets. We should have 6 pallets of buffalo so make sure we have them.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32DFBF-DDE8-4ED6-8AD9-341E07FC895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9EF2D0-F0A2-4903-AFF5-B43C48EBEB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0006B4-AA34-453B-8525-24CA7E5394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99AA19-45F5-42F8-8056-CD87D46BB4AA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2411F4-1030-41BF-B3EA-EF3F976E41F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3B73D1-A946-4DF8-8D38-7D3DB81FE62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00FD93-7944-4D41-9653-B6EC0EBF71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B217D8-57A3-44EA-A443-4F390054DD0B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F8763-2007-4414-A20A-6295DF3BA35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DA3A7F-7A10-4D72-AB51-D082842FFE9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C04532-627D-4C11-9338-DB0ED5043D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9A097D-7760-4A6E-9DE6-6CA11A4A611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 need 240 case of Spinach &amp; Mushroom, order is for 288 so make sure we have the other 1 pallet.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E7B866-5546-49CB-9138-4A45EA0C6BD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438664-B874-4E0D-AEAC-5733CDD9D10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CB1617-3F1B-4E8B-A600-D177FF66432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CE6FFC-C990-4932-9EC7-F5E65AFD509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3DC41E-3D81-467B-8008-AA674903108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A9A4D7-A6AC-49FB-AE2A-364F65C0EF0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95A78E-CEBB-432F-9CAB-26436C20108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69DBFD-887F-404E-BAFD-E2702612915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19CF85-4D25-4821-97D0-810D4EB0819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28CF3-0837-4526-A7B2-D6346CAB8A9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0E53AC-BAE0-4F57-8F85-68D034FBD0E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3F81CD-7C23-48BC-852D-FE70D7A3ACA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Must complete Lowes &amp; Bashes.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up the 8.15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oz cartons for Americano!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34CC52-BD21-48FC-A9BC-197265A8BF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Brandon - Make Side Kicks - see Scott for batches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</a:t>
          </a:r>
          <a:endParaRPr lang="en-US" sz="1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C81B05-3448-4396-893A-17965969E7A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4BF97C-59EE-42AE-965C-BAA17D2EBD7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B623DF-F1CB-469D-98D2-6B782CDD3D50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C7EF50-A709-4B80-BEF4-206C4C535FC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6A9185-1F40-49B9-8B70-309EF0E31D9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1B4BC-22FE-4270-83FF-609A4DA483C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A817EC-9EB4-4BD6-AF5C-A742F84C61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1C77F-7BFC-4027-908D-7974598D3A9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1287CB-962A-4286-B7C9-C7A1DB5F090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A24424-A4F6-4B8F-9FF9-3C21B3BAF7F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8A8A9C-DA13-4E39-97F6-F877A53C93D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84C941-50A7-4D2E-94B3-F3D900E963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8B275-CD3E-4C82-B4F4-65EE3D406AD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4A949E-6E8E-4D8E-82EE-86A6217C7EE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B550B4-69C1-49E8-8D88-2B9719A3C61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B1EF97-71EF-472C-92BD-8E6BADC7FBF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1B8E4-99AF-4C62-8EDD-F3EA3FBAE67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2857D4-4963-4492-A3B3-D3FD11BAE68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3CF58D-E054-4150-8361-0BA9C9EA4F8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118EBD-5635-4EC9-A1BC-17AB34EB8A9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863CB6-0667-47CD-8932-00ED6F90D4A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35C525-AAA3-4431-82FD-2017D3D7558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C019B9-137A-4F6B-8FDE-D3171B031C6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Mixes</a:t>
          </a: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Corner Booth Sidekicks (Pepperoni and Sausage &amp; Giardiniera)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4C504A-F773-44AA-A3FB-90FF61DD11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3AB3F-0582-4A4B-80CE-686187E752C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92C2BF-61C3-4984-8861-A2C2CB712A6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98B6B-C03C-4580-A0F1-0EA9C648FA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2702DF-2377-4A1B-B740-1DF81467B24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968A4-ACC2-4CE4-A350-149AE85E1EB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A53DE3-CCB5-4278-A554-F7C05BBD7DD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C158E0-E185-4767-A891-3F653ABF60D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328A28-1BD4-4264-8A1C-09A601DD7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531F6E-D04C-4622-AD9F-7C6EEAE8DD5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302AA7D-DE2E-4597-880D-46FAC31CCFE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FCAE2B-1785-4297-8871-E7A4459004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Talk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Shannon before mixing any of this. 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Mixes</a:t>
          </a:r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for Corner Booth Sidekicks (BBQ Chicken and Southwest Veggie)</a:t>
          </a:r>
          <a:endParaRPr lang="en-US" sz="1800" b="1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1CC69F-9985-4B47-AD9E-8EDA1C491A6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ABE2EC-E754-475D-B7EB-A3288EA8ABD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693FAD-49BD-406D-A21C-D812DD6F478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</a:t>
          </a:r>
          <a:endParaRPr lang="en-US" sz="36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DCEA5C-E24E-4115-8165-3C1B9D958BE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</a:t>
          </a:r>
          <a:endParaRPr lang="en-US" sz="36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BAC8A4-FE73-4018-B0CD-F43052D21FE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BD93A2-3CC8-4BDE-A231-FD0A7AC4670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0A1F03-F34E-4C71-A514-0788245D454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02F784-94B2-454C-834C-CFC666C894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E0B12-E33D-4940-B253-BC591A3D9FD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658EF1-70E9-47F1-B255-56EDC37A48B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5E6474-F69E-4308-BA87-0DCC98A0E8C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5C0B17-A5B4-445A-9090-BDD9D2CDB89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8BE85F3-7743-400A-B76A-252D669A736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3A810-1536-49B9-AC58-1E6642DC6EF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2510B2-5DF7-4A26-8901-587256645FC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73A7EB-DC21-439D-8D9B-3C1CB2A07A7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9427EFA-9159-44EC-BDC1-57E7BD70E2B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01DBF-2A9E-46CA-A83D-E4561EE9AB5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E54456-E560-49BF-A889-69BAE3CBF98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ADDA52-1DA6-44B4-8A74-741018AB3FD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0EB01C-07F2-44DC-8006-9F9D4D1DC97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7CF5B-CE18-4466-8EAD-7A5F5D96ECC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3F6E81-E536-4836-97CB-DEF2A9A12C6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2FE4AC-315F-47CC-B2C3-7E20D61900B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Testing after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D59C32-B29C-4650-A60E-BD318942EB8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</a:t>
          </a:r>
          <a:r>
            <a:rPr lang="en-US" sz="36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???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</a:t>
          </a:r>
          <a:endParaRPr lang="en-US" sz="3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184D19-930B-4C24-BA9E-092A7C26D11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2ED03A-92F7-4CF8-90EE-62EDE65CE8A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</a:t>
          </a:r>
          <a:endParaRPr lang="en-US" sz="3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9073EC-465B-4439-BBFF-34974E33451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 </a:t>
          </a:r>
          <a:endParaRPr lang="en-US" sz="3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85CC25-4CEC-4391-9D7D-F0E64D06F0D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0B39C9-DE92-464D-A59A-F8D435E7B34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FED8A-1511-4ABF-A34D-A4A6BEF40A5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819ECA-0AF9-4BAA-B1A5-1AF7159C9A8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84ABCE-3337-42A9-BE8E-6388FF6C604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CEC834-EF84-4398-8992-0EE4AAB41B5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486D07-C637-452C-B693-836D6CBE34F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BC2966-E112-4848-929F-3279DCFBD5E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FE4B7-EA4F-414C-9AFF-938944E6E73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5A66E6-1785-46D2-9768-5367BB48406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03F6CC0-C087-48A0-A528-A7756C148A1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4EA944-9DBF-4C3C-B92B-A86EE3364CF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2E486B-93EA-4B33-85A2-92001D197EB7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7FB7E-ACB8-4EA3-89E1-B095A5AF9DA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FF4C5-155D-441C-BBF5-59D9B637F6D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24C220-358D-4CDB-BE2A-42EB988A4F2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FD535-BB05-4247-8212-2B04AF21541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8F349-C22C-4C9E-A01B-851907ED1CF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88B09B-DD78-4BB9-A209-709F327261A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CBBED2-A40E-4DE9-B6BB-571C241EC3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Alfredo in warehouse</a:t>
          </a:r>
          <a:r>
            <a:rPr lang="en-US" sz="2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storage cooler first.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38BACE3-E743-4408-98F9-E883B456AF2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E3E36-8303-4428-A38F-72604F713C1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A60C6A-3E29-4B7A-A7BD-EE6C437A98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D6608E-4593-4614-A65C-E17076DB2A1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8B181-7FBE-47E9-B6C3-E0CBC5A36E2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14841-2B0B-4E8A-BA75-37AD690B070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2AC64C-DC2D-469C-98C0-C390C287806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FF37EE-B405-4692-9C9C-F867E5E906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0F8C0E-76CA-4759-A357-61B2DAF66BF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AA010A-4B54-4BCA-9C7B-4EACF55FE83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E83AC3-E0DA-4C3E-8600-F3F577C06F2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DC7FE-2095-40C3-A26E-F2E3885B9C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2440B6-200A-4AFE-B90D-83376F43DFB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F1CB650-9199-4F50-8A45-2C24C86D54E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3A0277-AE71-4710-95BF-EDA5D2A922C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BE440E-D11E-4A5B-9C2C-35E3EA0428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64AB4-3B47-4D20-B71F-B8F164898E5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A426A-3228-40F5-8CC0-7237068CAF5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F481EB-2BAC-45C8-95A7-A0EF30D7888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A513E-357F-47C9-BD25-3FCCC2B00F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5A1D97-838A-45CA-9FE6-D8BAA942B06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176C6E-6ED5-44F3-B794-BBA11EBB2E4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51DD2D-873C-4A74-9799-F9D3D5D48DE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9B8DCA-196A-4BC3-A1FD-4E73BE1C48B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D91B84-26D1-4C40-B098-533BD0A8DF3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E34F07-31BF-4E36-977A-015071B54E2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221684-0648-44E0-829B-09C8ED0296F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E0E92A2-718C-4DD6-BDF6-DA04F6D480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F2E127-DC14-448C-A694-09A5137824D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B6E7B2-D6A7-449E-BB7F-06CBEDFEAB8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6DCA20-BDC5-475F-B703-706E3561D38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6675C2-C7D0-475A-B339-0E4F73C1348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40DB2D-FBF0-4A96-A766-7A1229964CA9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B1F873-4488-4460-93F0-7EF868446C57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760BC-1206-452D-8B27-7117D713F15E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DC9F4E-0C86-4265-9E48-01A5772FF00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truck will be here after 9 so make sure S&amp;P is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done first.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7BAC5B-DAF0-4026-BDC1-675D8EB829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7BF8A0-E3CE-43C8-A099-C6B7E59BF15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688D93-2950-46A1-B17A-47835628A1E5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BAA0B1-105E-4C35-91BF-C50BEBEF225C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sz="2400" baseline="0">
              <a:solidFill>
                <a:srgbClr val="EE0000"/>
              </a:solidFill>
              <a:effectLst/>
              <a:latin typeface="+mn-lt"/>
              <a:ea typeface="+mn-ea"/>
              <a:cs typeface="+mn-cs"/>
            </a:rPr>
            <a:t>Recarton 7" Lowes Supreme</a:t>
          </a:r>
          <a:endParaRPr lang="en-US" sz="2400">
            <a:solidFill>
              <a:srgbClr val="EE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0515F5-DFC8-4F47-8B97-63E610DB0817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18174-E52F-4022-B8C9-44B223583A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0BFB1C-38E0-49D3-BF49-CDFA37FCA0E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63BDFE-1B65-4F7B-B443-3BE871F927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6C6D05-396B-4102-9DC2-39BB22076A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951E1B-29C4-415E-9267-E54F62E4A2D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E0DD9F-3E03-43D1-A452-9661AF0B0B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0B1207-2800-4806-ADE1-316AAFD78B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5C184F-71D0-43AC-A155-4C020582DEE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31057F-25B8-44C6-A515-6E7C83D0A5D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8E3E40-E61B-445B-A8E2-A8070FA2EEB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5741F7-7A97-4FB0-9E4E-9974B16CEC3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B19C0CE-B46F-4073-BC67-86AC1575AC3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80E67-B205-4B3E-93AD-9F4D3FB2F7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A5F43C-81A4-4469-BD33-9AC18861D7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B3ACE6-D3F4-45E9-A921-9164095427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BEB89-B02B-4840-B49F-C04183E5634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F62F13-21FC-4A56-AC99-CDF91211A33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316AF-726B-4100-803D-0C80BA6F2C0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29DB5B-1B1E-4BEC-9A35-4BED50377FD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Put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Garlic Sauce in the cooler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BFF2EF-FD68-4265-AABF-9928118123A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C83791-077B-4967-B73D-B660FF31040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96B29DA-33BC-41C1-9B6A-B0F7C02D330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AE67FD-9856-4C8B-83A9-D6DCC6C3F63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08D054-CE6A-4627-9544-45FFD53E58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754747-A5D7-48FE-9066-57BE8FBA54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117D3-EEF9-40CA-897F-A5FC97DDD6E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709038-4E05-4926-A484-AAC603E060F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31908-005A-45D4-8553-F4053B0AAB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81B9A5-61D8-4353-9CF9-E94527B4AF1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512B10-E751-4CF1-A87B-CC70D16EF4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E668-920C-485C-A5A1-D75A81C262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recarton BBQ Chicken Sidekicks (2 pallets) at the end of the day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04A744-2F37-4C57-887D-5418A62F5F8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339C75-97A5-44EC-B9FB-19FE430B838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015F53-6348-430B-8C7B-ED358996FCE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BCFAC1-1C99-420A-8189-8D6459F5DBD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0D111C-D48D-438D-B74E-008C7F91B7D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BE02F-F768-4598-8390-828D4D8D157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581CE-09C2-4D19-8A4B-E91B5258AC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A98BFB-D084-4536-853D-584280E4DD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D65735-0AA5-4702-9E1A-766866B1AA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774EDE-B0E9-4804-BE9D-417C9512D80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B12AA1-5BAD-4B24-AA91-1C011E0F47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479E6B-6DCE-4051-AC58-9C31E99902E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Garlic Sauce for Thursda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4EC9C4-0075-4B96-8A1C-57A3A9466F5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Eggs,</a:t>
          </a:r>
          <a:r>
            <a:rPr lang="en-US" sz="2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Ham and Turkey for Friday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FBD428-A23D-4A00-A31D-F605D78CE76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4DEFF3-379B-4FAF-8B7D-FD1F0A6D0DA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</a:t>
          </a:r>
          <a:r>
            <a:rPr lang="en-US" sz="2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make 4 Meat mix ahead of time </a:t>
          </a:r>
          <a:endParaRPr lang="en-US" sz="24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C7A66F-AE05-4614-A763-0E72B2BCF8E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7C56EF-3A8D-40FC-984D-BC10F883BC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2D2DC9-6179-450D-A306-09B721AF702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2449A8-6E47-4B9C-A5E6-1E88EA091D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44FCBF-4F74-46B3-9774-E1E4C9AAF75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194037-955B-4116-95C9-7BDECDEF0DE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2396B4-A0C6-4346-AAA1-4732E7E0DDA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FD4631-714D-4976-8D1A-A9B365364D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9E0218-91E6-4B6D-B3DF-6FBE91DDE98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987F43-1DFA-4C64-9C2E-3F610258486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040E3A-E9A5-4BB9-A4E5-701CBF3AFC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BD03AC-5091-474C-B300-361FEDEAECA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3D6279-7B72-4BEE-BE94-CF8518EE512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12C280-AD59-430A-B66B-47ADBBDBD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C57E2-B863-4DE2-B887-12D9A08FE2D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4E4FA0-B0D9-41E7-AB08-B1BB38402A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52C85D-E497-4F3A-A5AD-3C5B0C68F7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80A757-8818-41F4-8D8A-DA6ECB9058D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F8FAA4-FCFA-4623-8539-BD7FD5DAF75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ADF8E0-D189-4A17-B11A-4B5CA8E927F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C04E9C-1511-43ED-B6BE-3517A368587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7AE0A-3FF7-4C76-8389-196D68AB08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BC9DD6-E243-4A82-98C7-7CDFED50E38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EE9ABD-F9F8-4AB0-8F38-77FACACF90F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3B78B8-90B6-4741-BAAE-A0381E9AA98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285A04-611A-4857-90A9-F31049194D8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16DE86-E8C9-48E1-AC42-D786B7C61A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0663E8-3F04-4506-BC97-39F10359FA1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B395C7-5296-4701-A054-939ACF6E68E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826227-D683-4BF4-9183-7B02EFFA922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52ACF3-C569-4C55-B0F8-246531407D4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3EE2ED-8348-44DB-93F7-AB133F6979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8BDFDB-62D4-4BE7-9F7F-A0378F058A8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4F7A02-E16E-4F90-BDC0-CB7B2A0288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273D06-E692-44DC-AE82-BB88E9BD21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34CB9D-D0A0-40DB-9369-9AD4611405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</a:t>
          </a:r>
          <a:r>
            <a:rPr lang="en-US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Get Shannon before using sauce. He needs to adjust. Red sauce and buffalo sauce.</a:t>
          </a:r>
          <a:endParaRPr lang="en-US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1BE5F8-33EF-4A4F-9F10-323E554C3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75A01F-2764-4AB7-B8BB-96189460FD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4C4036-A530-42A7-BDC3-EA5FD2C0D7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ABB48D-763D-44B4-9BFE-28DF4273660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A79BF-478C-4B98-84F5-301CB8AD70F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D70D89-1E69-4636-95D3-97D1322CFE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4EFD77-1344-4873-988E-B9B1208D20A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B7396D-E22E-4228-A16B-4B51C8AC25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1564B9-EF4A-41F2-A105-875FA8943A9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Closed - Memorial Day</a:t>
          </a:r>
          <a:r>
            <a:rPr lang="en-US" sz="3200" b="1">
              <a:solidFill>
                <a:srgbClr val="FF0000"/>
              </a:solidFill>
            </a:rPr>
            <a:t> </a:t>
          </a:r>
          <a:r>
            <a:rPr lang="en-US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4377F6-0AD7-40F5-9C0D-2B999B2D61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ADA93D-92DF-42E6-A6A6-3FC6317C36C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67B09A-7EE8-4A38-B5EB-DB1D8BAFAA1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C249E-8807-45B6-BF5D-C05542D468F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C0F495-A404-4CAA-979C-1D5EB77B5E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F69052-3440-4646-B55B-D3D371FC8B0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D4D5D8-4761-41FD-BE0E-5406A296A17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96FA8-0F52-4959-8491-6335586B4ED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9C301D-8D97-4D56-B398-33984E1D65B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446CEC-F7C4-4CD4-93A6-25749ED3C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FEB763-2E12-44E9-A2FA-77D958858BF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2F6C79-8595-444E-BD3C-ED08BFEC15C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F6881B-1BD8-46DE-A87C-A6BE8B5013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476FBE-E226-492B-B6E7-3D2445A23A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824AAC-A0C1-49EA-98B2-CA72F4C5E9E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108ACA-DE80-47E0-8115-FAE9C041B2E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EAB382-C100-4B80-9DC8-60C470C2B16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318FFA-CB71-4A94-8D96-4BA1D3F9EE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12A2A-9A70-4CAD-9F5F-A5E398AE4ED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0CF268-74A7-4753-AA5E-AB7C0728BC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BEE088-8E37-424A-B6E1-EB8FC486A9B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E52610-E984-4C17-BA2B-DED03107C2D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698EF3-3968-4EF6-BD18-6F4F4D2DD6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3EAC1D-5CF6-4D60-97D6-4F68E573CBE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A6F6A-6707-4D23-9F5C-DB225DF8CDC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33DC1D-BF2F-41B4-9170-1D6D11B78C0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C92EC1-3338-4FF6-84D5-1D9B692F332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</a:rPr>
            <a:t>Mystic Sauce - Matana</a:t>
          </a:r>
          <a:r>
            <a:rPr lang="en-US" sz="1800" b="1">
              <a:solidFill>
                <a:srgbClr val="FF0000"/>
              </a:solidFill>
              <a:effectLst/>
            </a:rPr>
            <a:t>               130 pounds.</a:t>
          </a:r>
          <a:r>
            <a:rPr lang="en-US" sz="1800" b="1" baseline="0">
              <a:solidFill>
                <a:srgbClr val="FF0000"/>
              </a:solidFill>
              <a:effectLst/>
            </a:rPr>
            <a:t> This will need done early so Bill can take it down to Jhon. :-)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14CA8E-C766-4BE8-9A0F-AAE4F0703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B0B40F-2F57-43D9-BF32-4B2C7DD5F20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923925</xdr:colOff>
      <xdr:row>61</xdr:row>
      <xdr:rowOff>76200</xdr:rowOff>
    </xdr:from>
    <xdr:to>
      <xdr:col>1</xdr:col>
      <xdr:colOff>485775</xdr:colOff>
      <xdr:row>67</xdr:row>
      <xdr:rowOff>9525</xdr:rowOff>
    </xdr:to>
    <xdr:pic>
      <xdr:nvPicPr>
        <xdr:cNvPr id="15" name="Graphic 14" descr="Smiling face outline outline">
          <a:extLst>
            <a:ext uri="{FF2B5EF4-FFF2-40B4-BE49-F238E27FC236}">
              <a16:creationId xmlns:a16="http://schemas.microsoft.com/office/drawing/2014/main" id="{5E2DFB3D-66D6-B2E0-0DF6-57E054F7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925" y="118110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6A994-38C2-4087-9201-7CCB48D97B9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44624C-78DC-438B-99B1-41B5757CC3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224AE1-8181-4436-B9F0-CAA298979A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E6D0F-A1F6-4F99-A596-8395D546C1C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134A1-0B78-4075-B672-A3B18A06A1A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D71050-3CDD-40C2-82EA-E132EB52063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37096B-5DA5-4B5E-8EA7-F0B2F7C4B9B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58B961-9498-4105-8213-3818E40916C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55B332-2DE1-4412-938B-50310D5640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4F2823-32D5-4A90-B8B5-E2673738A8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CDDB48-D326-49DE-9A2B-EB1BAEF10CF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C7D08A-8AE7-46A4-B98B-A321531D8C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A69DEF-F183-4394-8CE9-A73C6263D3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A1722D-9303-4326-8F3E-3B9CF158B82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D8A251-18EF-4161-989F-4EE8C436EF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FB1E3-7877-479D-9287-82A13FB8706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AAA4D-038C-48C3-9CC1-1B3D20AA9EE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ACC539-4C85-4068-9AB6-9CF34A4A759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E22101-8C83-4299-8ED7-BFAD5ABF845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3969EC-52A3-4AB0-8076-169D1DE719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4BCDCD-6DDE-4A89-AAC1-6016B72C674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2C2F63-DD90-4537-9C1F-5586844C1C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BC1C40-FEA8-42BB-9715-AD01B0C065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1F654F-51D2-4E5F-A0CF-1FE47466538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497097-7505-4CD7-8D2C-0973A27E678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CE889-7222-4884-8C35-27798DF723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B1371D-ADBC-4DE1-A1F5-CD2FB6E2D5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E43B04-B27D-4699-9E8B-92A26601FD8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76CB7-4155-472E-94DD-20F2C91B49C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6140F5-B3EC-4EFB-83BE-A2EB1116A0B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9C5674-7448-49B4-8AC2-42F80FF3BB0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EFEC2-4878-4C14-AC73-60DC0D0FC7D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F55574E-A6FF-4B86-800F-49F49B5DAF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66499D-3FF5-47D3-B240-89AB487B02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7B0C9E-99DB-4561-ADEF-410598D2049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78FE74-ABF1-427F-8288-8EEC520700B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AC88A5-3E16-4E39-BB7B-52272B434C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748FE1-1757-4E54-9573-CF61D0CE720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8AC780-A017-4A14-8989-86000FE1A8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7A0E24-846F-4C6B-A0F7-D6362AE8CD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9F06EF-F5F5-495B-8149-3BB624184F6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36C476-35F3-40C1-A28E-12A63934E52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80C6E6C-B810-43E8-A1B0-A7B1BE1702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41B13C-CB7B-49A8-8207-A46301A6A1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056D9F-F7DA-4C2B-9B97-0453C09DD5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2A973E-E9C5-48F5-A8E0-253AB1DB16E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384D2D-D667-42DF-9F5B-9FBC3A7D8B3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Garlic Sauce for Red Hot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Cream for Tikka Masala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Check yogurt / milk amounts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5EECC8-E47C-4F1B-99F3-75F842ABCC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38358C-ACF4-4EA6-9221-DD9541742A9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5F07A-3664-4A86-AA51-426C9BAFB9E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9B93E-2B03-45C1-91B9-2CED9B96FB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FF7F0B-40AE-4E48-B6CA-25A3AC536AC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91902E-EFB4-4649-B996-E4BB6A45DC9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AFA855-5F0B-425C-9BCB-73E8BBDF6C5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7E1F90-3B93-4D81-B1F0-E63DC26498E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5A063F-306B-4C7F-B5DB-028FA36B80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BB6D0BA-2C49-4D3E-95BA-C35E4B223D1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8193F0-6334-49B0-8BA9-60709A682B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345B99-3BA9-4183-A2B1-8787A998DC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105CC8-E2A0-4E83-87F0-9D01BFFC1AC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F87A97-4D9E-41C6-8404-3A4AEF94E5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DA3C99-9FA5-48CC-B6EE-717505F121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D8DB6E-17BC-4C10-A6FA-AEFE6E5B47B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F6DBC1-7A39-4DA6-8240-502D1A5B68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3F794-1A22-47CF-B290-72B8C5D9EE3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EFF08-0E12-4A1C-A15F-E9BDDD5535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CD292D-C944-4588-8503-A23EF9AB315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C943DF-E511-42FB-95E6-5C7EAE94CE7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EEB4DD-3FA2-44E1-A3F7-DAFC636C77F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678F-1704-48E8-9744-764C1A4114A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5 cases Tomatoes to cooler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C57345-CCCA-4A7B-8201-6375FCB98C1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18BA9B-05CB-412D-AFF4-5765975353C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5AB6FC-130F-4105-9D4A-04FC46BB306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C5ECC1-34B7-481E-AB26-376568073A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6AC718-BF9C-4B5D-9017-57AA9D1842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9DFAC0-5C68-4F6A-AF44-547CA146C7F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86D291-F709-4BA5-B6E2-9E5DD578599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F3385-0846-4180-97C4-87CF414DAC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499645-4A41-4AC0-87FD-B8142A7D2F6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F9CB92-52A9-40A3-B64A-8917290D17B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Pull 16 case of tomatoes out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3B1585-3B8F-427B-8A80-83166F9D092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Pull 16 case of tomatoes out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F83CD4-E23C-45E1-9A98-273DE0A6F37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BoBo's Meat Lover first</a:t>
          </a:r>
          <a:endParaRPr lang="en-US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667727-117B-4ECB-89E5-E5E055C7BA1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6D1EA-1466-49CB-B808-749820913F2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1C6A2-E79B-4FEE-9E3D-F201C2C36A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8608B6-87CB-42C6-9604-71ADF61450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4D135-F3E2-48D9-A33C-2EB586D785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A2037E-5FDE-4427-9BE5-C8EB31FD10C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379F37-F150-40A2-9C69-7C6A2F4F57C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9157F4-980F-4555-B9E4-8B4C63C7E82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769EC0-072D-4B55-8F91-AF5AC0C901D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FCAEF4-222A-408A-A83C-03ED21B1892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Ham and Eggs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E5F3BF-48F4-4178-BE75-3C2136A1F9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EE8A68-9668-4309-BCB3-5F73D6D0D6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CA5008-7BB8-4A63-82B2-AD230731EBD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16376DE-CDE5-4D0C-BAD4-44EE1817D10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49F443-A2EC-4B34-AD6D-D9BE5B7DF4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E068C-2D1C-4203-95F4-12826A6280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D4F19-D56F-4220-93AF-B7F5C4BF99F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73F274-7D6A-407D-A1DC-CF882C3DE26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EAF1E2-EECC-4020-9C86-59EEC28419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F06F5A-32F4-49E8-AC64-06729F6459B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9AE9C4E-6F95-40AB-B033-7AE1B1E2246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61ADFB-F39A-4C20-A479-3DC223463C2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6E23E1-7025-4805-9FAC-A89C7364384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5892E6-4E50-4A62-BBB6-B8148E8318B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028C93-55C0-42BF-ABC6-C9108C98832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7BB79F-2845-441E-89B0-0DE27375C3F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1DF457-DA89-42F2-975C-73CBA989400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F5135-60EB-4CF7-B51F-51FBAA7BE0D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5E960-B1A2-4A85-8044-718AED22278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7FEDFA-43B9-4919-88E1-7D8951B0B09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394A7A-19B8-43B5-A4DE-15C29BF4946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02993F-038E-4B1B-B736-D29563367DA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9E281E-DB96-4304-A867-D074CF4057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DA7D18-4B21-4899-A4A7-F90A7D5B5B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1A7085-F8FE-4EF0-B421-3E47322CD71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EB6936-8A4C-43DB-A52D-74C4773B278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36F46A-23C9-4408-8165-92868D95395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EBBC60-BB06-4919-B7E5-BCC829E7B5E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637C79-636E-4041-8634-54E663C662D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B69B81-45B9-4094-BE96-8DA517FE536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8EFE1-AA47-43C4-9477-678CC40ED4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7F59BF-AB6A-41E0-86F2-0561999E8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0D4ACB-384D-40A6-846F-602FFE15901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669FE3-C5EB-49EE-A418-4D1D337DF56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A0D00C-EC24-4B51-B350-ABCC74402B7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B823C1-9026-4888-BA00-E0066D68B9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2DD809-DD8A-4E19-9A72-83CEA9F0D1D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4B207-7D20-4508-B017-D33234C19B4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28455F-9F79-4CC0-B867-F3023A1FF90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FA27F7-8574-4EB0-84A8-651F12E6EC3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A14369-2FFD-4FA5-88E0-4919A0B8BBB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7F2B1A-D626-4CCD-B836-B734E27594B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F5A51-C369-4F07-9C70-70239AADBD3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0102D0-3442-4433-823C-2FCA6E8D7A9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C34F18-A462-4DCF-B837-39CCE0B9F34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BF9E1-76FB-463D-A97D-C67F42CE66A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6AD9A-6EE9-471F-BBD0-4B0E121C49E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BBE63A-AD00-4E97-B631-F137D2EF07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79C862-7B6C-44F4-848F-7404248898A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B49AA8-EFF3-4DF2-BDDE-436E0A4999C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88DBBF-F74B-4D83-838F-54379916BF6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5D9FE9-53CB-47FF-98D9-DA7790AFA01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81D19-8D57-49F4-86A8-91D40FC6CFB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24E2FF-9470-455B-A13A-BFEFE430C1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019EBA-C1C1-4ABC-B527-C0D01782DD9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005894-7FAC-4DA6-934D-2A6CE6FED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62072E-A7AC-4EAC-A40D-082FE719BDF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FE8495-0A2C-4EF8-9BC0-8CAB9473436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0744ED-42C2-4B54-9899-188A24DA03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1A1CF7-B8EB-4DD0-93E7-E929150D16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tomatoes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Margherita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E34F49-38CC-4D49-B083-999D8163325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CCAC94-5511-461D-9726-FDEB2C59E2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the number plus recarton 24 cases of Margherita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799CE3-279B-4E27-8C89-8AD2C375A8D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ED06A7-F956-4208-B9D0-D55C0CBFD6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BA5DE5-DEDE-49CC-AEE2-CF1396CEAC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AF4B90-7091-4EF7-A9B3-862A2DCE670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C37989-7DA6-438A-8091-82149B5E8C8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AB8AA3-1100-4E62-B05B-E9BF7D150D6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ED5E84-7CAC-4F5E-9FBA-FE03F5490A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2014C1-4B09-4043-BF80-6E8785FE969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4E3233-77C4-4765-9079-69FDA47B4C2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22B990-A81B-4271-B522-67376942D40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A9AE4-5943-42BD-A0E4-6E591E84AD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DD264E-7D42-46DF-A722-34476CE1C4B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C62D19-0F8E-41BC-BBD1-C0344A1B65D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F1002F-47D2-4086-94B7-2E88569EAF0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5F5941-D7BF-4424-B5F1-10524B80A5E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9BAE4F-8D03-4477-A88E-EF24BFE6D3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63475-A2DB-4EF7-BAA8-FB75469D24F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EDC9F5-40FA-4F1E-927E-E44EE880D1E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F2DF9-8CA2-41B7-B1A1-FBEA384BA29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F5D61A-D3E7-4F3A-BF2C-ABB802B956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84709-37DE-4474-A56A-5CA82FE0C3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AFAF5-ADAF-4457-9B13-43052CFEED8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48CEA0-3529-4F9A-9D3E-0D91E65A599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C22DEB-D9C0-48E4-9154-19CC61155F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C60DF5-B1D7-469D-B601-CCA75A0ACF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B0BFA5-05BA-4FA5-A077-94624DE331C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A958E1-8D9E-4B28-9F0E-1D79CE07F79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184E18-6563-4C44-9DF3-EFCC5B21444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EBDD6-4317-4EEE-9A30-01BC9F3F4F8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695218-1CD2-4FA2-9A53-69C126A21C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C05319-1319-4C84-8984-33F85411523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D624AF-B744-427D-9081-E18F09C404D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AE91A-0873-4C73-A178-C867D834157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CFECAF-9A93-44D5-85E8-0C49DE6ABA4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CA6706-C44C-41CE-B030-3DCF3F1C74E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4CD645-4AF9-4FC2-A8AB-71A8BC6A1E5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B6B6F7-CB2F-4A48-8471-FCE6C23198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5CD0FE-7AE8-4463-A064-CA3DC9D4B6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7E5C54-8FDA-46BE-9DAB-17153F7F0B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E155A7-9BE2-42B2-9A14-88089EDF798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693F1-DBC2-4F58-929D-7D34B15AA47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B7A256-2C17-4CE4-A15F-C8394BED3F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29C9F5-41EB-46AF-A2D5-13B378B251C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5F1E8C-BEE0-4BAB-BD09-08EF69319CB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7844B4-C1E7-486A-BEB1-DD72C4418B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67B6C0-BBEE-4427-BB92-A7B8041A38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OUT TOMATOES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87DF92-E202-4199-8203-6512E8D5DD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156BD7-0689-4D4B-80DB-C108ECF54D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9241E4-19D5-4961-A454-9F130B550A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F3EBC-DCD9-4023-945D-B3BC4265709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A2CE0E-F77B-41A5-95AF-E6FDC1D1F57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A7E044-2F54-4C9C-B61F-C9423BCBB3C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7B8D4B-6699-453C-8891-F4915DAC8E4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438231-9E2E-466A-84A2-02A509222F7C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0912E-790D-4FF4-ADF6-FA43B1A3EEA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453E7-9AFA-47AD-9610-CE4C706686B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7530EA-3720-4216-9F4D-2B5CAD7A27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11E4C4-C28B-4E8C-84D0-78F0AD60811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A4D6F1-B4DF-4B01-AC2E-3F438393B9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FC30E8-86CC-41DF-8398-224D494E6C0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39A427A-7589-4DA8-81F8-FA8751C8BD0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EF676B-D61E-4CD1-BEB9-5AE10FD93BD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5E094-B9EA-4CD9-BDBB-9438BF53601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5510E6-A9D9-4E9F-8FDA-F9235B8844D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F574C9-2633-4C50-8784-986995251D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604B57-6DD7-4D66-93CE-8993D9865DD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C66E22-54FB-45B4-804E-B0CCA17A7D5E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2F60A-9EF6-4772-8978-5E2EB063D18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9B06BA-92C3-4208-9056-F1FDC255881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FE772D-77AE-4E0A-8C3D-6AC7A8FEA2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1B49B7-0D4F-415E-9D42-A4910AA44D9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2AFB43-85DE-4646-B056-25593C189D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C8A4FF-02FB-4CCB-AE9F-811FF2BA610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427EB9-4CAC-4E2C-9F3D-7261CA4B0A9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BA6E6-6BB6-439A-AC18-3669D6F760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59C02B-CB64-4A8D-8EEC-8267604351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EEAD56-8B96-4B2A-BDBC-C7ECACEA4B6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C95FF3-8F5F-4AD9-BF50-2E3E4AD5A98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90C522-CC91-40D3-9431-43A8DE8D6BE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CC837-73FD-4B40-B062-273D2BAC949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7519AE-F21E-4EF3-B8A3-5FCEB8FE681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15E1E0-D763-4CF0-9F5E-0492B7630FA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38786A-752B-41FA-91E6-3E3F6EE8DC5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5155BC-3CCC-4F7B-A15C-2187A161AB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93CF24-6FC8-4BE6-A5A0-6E8F079AF5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BB1495-307F-4699-98D7-918C226AEB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05BA6-9DD4-45FA-91F4-EA5283FE47D1}"/>
            </a:ext>
          </a:extLst>
        </xdr:cNvPr>
        <xdr:cNvSpPr txBox="1"/>
      </xdr:nvSpPr>
      <xdr:spPr>
        <a:xfrm>
          <a:off x="19050" y="981075"/>
          <a:ext cx="200977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40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772732-E4B5-4BEF-BC25-82E37C099FA6}"/>
            </a:ext>
          </a:extLst>
        </xdr:cNvPr>
        <xdr:cNvSpPr txBox="1"/>
      </xdr:nvSpPr>
      <xdr:spPr>
        <a:xfrm>
          <a:off x="28575" y="5048250"/>
          <a:ext cx="20097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94E62D-BE0E-46D6-A26D-191BC8B9636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281BF9-5BA5-49D5-A983-8B447425B87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F61089-3BF3-400E-A3AB-D12699F84D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DF7DFA-89A2-4960-A46B-B0AFF05F354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24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911EBA-6714-493A-B0DD-F429526D7FBE}"/>
            </a:ext>
          </a:extLst>
        </xdr:cNvPr>
        <xdr:cNvSpPr txBox="1"/>
      </xdr:nvSpPr>
      <xdr:spPr>
        <a:xfrm>
          <a:off x="19050" y="981075"/>
          <a:ext cx="2009775" cy="384809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Club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26</xdr:row>
      <xdr:rowOff>9524</xdr:rowOff>
    </xdr:from>
    <xdr:to>
      <xdr:col>2</xdr:col>
      <xdr:colOff>0</xdr:colOff>
      <xdr:row>41</xdr:row>
      <xdr:rowOff>9524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2B77E2-49EF-4627-9927-20BE0841A3B2}"/>
            </a:ext>
          </a:extLst>
        </xdr:cNvPr>
        <xdr:cNvSpPr txBox="1"/>
      </xdr:nvSpPr>
      <xdr:spPr>
        <a:xfrm>
          <a:off x="28575" y="5048249"/>
          <a:ext cx="2009775" cy="2847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7C0C0E-6A53-4A3D-903B-3F6FBA8A3EA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6D43D8-DD87-4425-B0B7-4FB187932C1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26D3BB-D994-48DB-A9EE-1D4EA35D873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1FFBAC-6226-410B-81C5-AF899DBD916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6494F0-6ED5-4C1C-A9BB-800EAE8C5E7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400EA1-3FCE-488C-83AB-B1FBCF57C35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5D6203-6EA1-4092-A6EE-490A95EAA8B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FA8361-2A50-4169-8A2F-E3EBD9BAA89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28D438-2E29-4D0F-A453-592BC18D1D8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B22E57-4815-4CDA-A725-3321DCEB0D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2DFB48-90E9-4A48-89E8-02225F7FE89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56399B-A67E-4F4B-9523-CB5D997C99A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1727E3-FEA5-4F1A-AD8D-55BEED90281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FC3AE6-D530-4F9C-8D88-45D10513903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285A54-3907-450B-BEA3-E1273DAD05E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4FBDAAA-34D2-4CA9-B037-B84DC1D4817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B3EA0-D152-4E3D-8072-C6F91A64E77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27B56B-71EF-414A-A1CA-380A9E9822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15BF7E-1BD3-423E-87DD-85B234AEAC5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017827-B46A-4806-91E2-A1CABE01C5D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4CEC83-A9E1-42D2-82F0-FF149F3734B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C5C26-5CEB-4DA5-B4E6-7F15BCCF6E7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88A917-4B3F-47A5-9E1A-2A8F10D6421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1F8119-DD5B-44D9-B6DC-6FA8E92430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035A6C-491D-44A0-B61A-70287A203C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0AF66F-3F1F-475B-9A0B-F000BF4EAF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13F2DA-01FD-4E07-B4AB-99FF9F2AFAA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D3987B-FEF8-40E5-B1A8-F2E5B7995AB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3BF257-7CC0-4FE0-81DB-86E8AFDF01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69F2D9-7E51-41BB-B6F6-D85D0D99D61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7FC562-90D1-46D2-8FC1-91D6ED5D314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C54765-812A-4469-8758-86F65DB3718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2DFFD-D7FA-465C-A64F-AD91AEA45EC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95BAAB-F79A-46D8-9624-57864583009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F80BD4-881A-4901-BBC5-70A21DAC21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F9290E-EA68-4ABC-B3E9-88E281A59F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6969BD-8666-4B62-9B68-D1B1CA2C35D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0690F9-44FD-4F25-9813-AC2DC4299B3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Make mixes for sidekicks         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48C71B-74BA-4C86-893D-58F34803A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E97F12-BDB4-40FF-8648-60738C372F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FB8A9-0B8B-487E-977C-03829D2B803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5DE329-FAD0-462A-8291-F22DE835365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011D3C-91CE-401F-84A2-D17B854F929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A25590-E0F2-473B-8A49-0F71B245104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50647-76F5-41A1-BBC6-669CFAD1BC7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103E92-62EE-41E2-BDBC-76EAE6979A2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000C52-436F-49DF-86C6-373CCA9ED40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mixes for sidekicks             </a:t>
          </a:r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A8D34F-A0AF-413B-8F88-BD69E3FFA2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2D79C7-3E2D-4620-8AB7-0CC9CD0C9E1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04E69-9952-432A-88C2-B9229A427C3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E28923-6023-40EF-A6E7-DD8CEE0715B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0FE2F4-6D3C-4772-903E-A2D48C1005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E535A6-5E2A-4320-A06D-FE7C125610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3B5AF-CB70-4E15-AD9B-31F21034AD8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2A240C-FE5F-49E8-A374-E7D7DDB1125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3C1D2D-46BB-441C-A556-25C6AD3A60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6E9360-64AB-44E1-BFAA-924BE4AF6AC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48FCF2-51AB-45E2-B8C6-FAACB20C81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CB8AFE-280E-401E-833F-F8B86B8A4E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E27476-00CF-433A-81EB-347686DED81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7EE842-E0B3-4138-8D72-6E9889529C1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029AA-09F8-4AB6-8434-B6012EDC3A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25CBAD-BDF5-4606-802D-2428BD78E4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DA6675-C9CA-4B20-8234-467449F3637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368FA-7652-4A2D-955A-DBE4C16D16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1388D0-1C10-4B6C-9DA2-BE791D50D9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9099EA-60A2-4FC4-9AA9-2DF1E315629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0E84F7-F4E1-40C1-928F-9F1A4CBED4A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1EA8C-4809-4212-B9A1-0714C0F7BF5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FEE523-9AC4-439B-91E8-EC5079336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4194A6-0913-4F10-980D-711C1289136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C02890-E03D-405C-A79E-71AC051785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EC0765-086E-4B47-BA8B-ED42170787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E77188E-EB9D-4846-8457-EFE2D3665BA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D4C89C-DE53-4C67-BACE-55F870E9C5C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404F70-FAD4-4632-AC35-4BC254781EA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17E2E-4D02-4170-8D07-E82111A4510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9F026-3BA0-4A1C-8E15-ACD924F2EC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253A52-7040-47FE-8BD4-9FA15CEBFE5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925B4A-2DBD-4175-9AD8-B64AD6BCAB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E75467-3F04-479B-BF2F-81747567BAF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EA8B01-5BB7-44EA-A527-4A33E32E97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1576B-EEF0-45CB-82B1-7D236AE2310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418B60-3606-44F6-943C-515864601C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EE1492-78C1-4F56-9A7F-0DA85B0DCFE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6FE3CD-24C7-46E0-965A-35E9430F63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0C3117-D4B4-4481-9CAD-5A87134747F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63CCF-083A-4E90-A2D7-DD4AB6F06B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9CF2FF-2A3C-4C56-BEAA-5DE0F2E8F1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F887D9-3CEB-4DE7-B541-820E41489F9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791495-795B-4FEE-92C2-E2C252AC4E3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63BCE6-EA6A-4896-9234-9370068571E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6DD484-2CF2-44FD-B2FD-D4DF3119057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A21EDE-98AF-4443-98A2-27FE0A63735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F9FD37-2491-433E-A839-AD3951C7BC4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47BF7-B736-4428-A097-C9478D0E6A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369D4A2-2106-4B40-AA15-C6636C436E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C644CF-CFFB-4017-ADAA-10D31D4AEB8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BB8564-5016-4A76-938B-7260E9DCF85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FFB2C7-076C-4D40-8917-9AD34D7ECF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B722F9-BDBB-442D-9FF7-1ADDF70DA2D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A5F8-F09A-4365-988A-746EE8D580E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6AB735-08BA-4DDA-B3DF-63772FE5A65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3913FF-40B7-4011-B2DF-018651E6A60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F04E9A-1D69-4AC0-AF5E-5232D2027CD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210444-02D4-43BC-BD9B-664C445C16D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C0DB2D-FA3D-43F7-81B4-3847AD97FC2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DA4554-88F5-4DCC-BDDF-9C21DEF2537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D68A9C-F36D-4A3D-AE90-7C8592753E4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2644B2-7D53-4FB0-B774-FB4C6BE689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6BC56-7362-48C2-BE32-1BA08F48552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7FA3DC-F3B6-4B98-9AE0-34D9D9C8DAC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90796-E266-493E-884C-9819B43BE5A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71993E-EF53-45F9-AE50-5E7457010F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A3625-C2C9-4BD2-9968-B3A0323355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A7F02-6FEC-4E35-BDA8-1907D7C899C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2A08AA-8365-4B2B-B829-2861D615311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8DB6FF-48EF-4EF4-A18C-6EED578ADE2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0DEDAD-4DA6-4DC5-937D-8B840D1AEEA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Lowes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740501-AF56-4B2E-B1BC-5A93785686E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EFFC01-9692-4BE0-A7D7-C0D66B8CE36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8B9F4A-56BB-4D34-BD1F-5F0A5683DF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F0C485-60DD-4C06-86AE-DE1C906AC34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4A28F7-5CBB-471A-9317-BF2113878F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9BE55-7768-49DB-968B-42EA2360872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C5F345-4F08-4CFC-8AFF-786C5C86FF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5C1D07-D2F8-4D7E-B8F2-5372E38F5FF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0B2D8B-9A41-4744-80AC-DB2B902C4E6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14B1D9-A888-4131-A4F2-954941FA786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96CD56-8283-4FE8-96E6-C91D2902C7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A29F80-975D-4219-AA57-7FEF7EFDFE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E729AC-5D60-4861-A7A4-56594E244A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7B6F75-EB6C-47E9-8AC1-52FC92A2BE4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50C224-DFED-41BE-89F3-ECF5F91038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5F67D1-71B7-4E5E-A595-2185AFD44DC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DC0C04-35E7-4657-91C3-69DAB8EFC4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96DAE6-1610-4F6B-B126-EA6683C86F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8923A-5BB5-4498-AC00-CDE366A2E83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32195A-EE3B-4636-B95B-CBE590C963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0EB8AE-EFA0-4C24-B39D-CFCD851789A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1CB082-BC0B-4B44-A280-D27EBEAB161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0F8D92-8C03-465B-AF40-03D60A1A47C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3076E0-7FA8-4C49-A9C2-C9023C4EDD6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9D8239-B304-4EC5-813C-125B46C688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AE04AA-6929-4154-AD10-0783EB03196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562C91-29E6-475F-9CB1-92E07056C9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4A2F72-8DA5-4695-8D26-744D880F807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FD680-CB46-40BF-A422-E6710AD6747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0C9DB-4CFC-4702-A6D8-BC4CAFD792B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EC96CC-1C24-45F8-807B-FDB7F3A836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3F7A48-6F29-4C6D-A004-CCDC64F56AB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322FC-6E47-4FFC-8758-976DC88DEE8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FE82D0-539F-4B8B-B78E-8BF727DA4C0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579B30-48F7-439C-8893-F2B0B59D60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E7FF02-F16A-4118-9E7D-9564FD66C8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BF59E7-0719-43F5-936A-F34421366F7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612600-6ACF-45C3-9766-F586BCD09A0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2FE2B6-CD6E-4EA7-B392-ADE8F32E23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42FC1A-39EF-487A-A969-AA7D32F839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9ACEBE-771A-4CF3-B9DA-E276AA3C48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FC5B2F-64CE-41BD-A6C0-8EB753DB1B3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515138-E936-421E-BD6F-4963FEE7442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47F9BD-F4CC-4D24-B4BA-743768BB2D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FBDB3-F314-4B89-ADF2-9EF7018095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754C8-B14C-451A-98FC-AC7059EBC0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A72134-5868-4CB4-BA4A-865A773466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86A63-15F2-436F-AFCC-5290B64A116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19A96F-3B2F-45A8-9B0D-A22F15B059B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663CD7-C16D-4FFF-81B4-B46F6646D27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CD4057-9DE9-46E5-8A18-B5C93F8CE86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D30737-028A-4C31-9470-0A608C86B69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???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82848B5-A166-4139-A84C-21C58E77EF4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3CB387-8854-44E3-8CF2-921722A97B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33203-77E3-4009-AFD3-4EE4493E33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72EFD1-4CF9-46E2-ABE5-BC149B83048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6074E-2D03-4A46-9FB8-96844D6B50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D61976-D4E6-4005-9FAA-00135EA7BCD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C190C4-EB59-4821-B9B1-7856C74475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D1B864-6B17-48EE-AF4F-EB69693A50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Memorial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B5A531-6D74-41E2-8F14-9DF9A6C84C3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50E5EA-79E7-466D-B6CB-1410D1922D0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2F4BB0-0EC4-4020-B77D-37083985C0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AFBD9D-ACC1-47D9-B020-B7D92F64E4A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5048BD-20BC-4DE7-9C45-1EDB1316EE2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F25433-942D-4569-B505-7DDF967BBC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F33694-A253-4BA6-8B67-975C6C2B246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A19790-CCF7-40F8-8B83-0D23AE8F9EC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056CA8-D926-44A1-9D65-1F1B06D19D7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C1E45B-C5C5-41A9-8CD6-9313C457D74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284C4-B57E-4529-9BBD-A0734C8BB1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618F34-88BB-46D6-A15B-3994DB839E9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63F6D6-AF97-4120-A4B8-2A42DF5C0C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3118DA-9799-4324-BD7F-DDE3B94CF4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34CDE-8D4D-47C4-94D9-73112CEA33F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94DDD3-D425-42B2-AD2B-70937FB810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Temple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360 of ML (11 pallets of 32)     96 of ML (2 pallets of 48)       288 of SG ( 9 pallers of 32)       48 of SG (1 pallet of 48)         288 of cheese (8 paller of 32) 360 of pep (11 pallets of 32)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B86118-922A-4CF9-A3B3-B511E6E3DC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5D6B77-2AC4-4948-A914-E447892991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10BB87-D266-4F88-A692-EB6E33D8329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64706C-A5D0-4152-88C7-C8BC29448DE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8A9C77-CD4C-4E03-9B81-74523AB3CA5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742459-2F45-4909-BC18-E83206F202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2F98C0-B3D9-472F-8F51-EF8907C288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B33494-ACCE-4E88-81E4-92C0FF5994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40702-4796-4E95-85C6-9D93F3DFCE9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DF4CA9-1FF0-4941-B2BC-2FC8B50B882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4F61D-E416-4237-8096-262957E668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E42DE6-7703-4AF1-B0CD-D10EFEBDFB7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Dough Test on 10" Die and make sample batch and the pizzas. 1 batch of dough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1B9450-7B1D-45C5-8E2A-9961339BA3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1D53D-7598-4BDE-986C-9F87C9B8CCE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C65E9B-8EEE-4378-A3E2-05D06BFF42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3DA870-89A0-48EB-A3AA-D2E9A448B3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F9C763-F607-4035-A9B6-F308502B170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1A7C1A-7B40-40B9-8472-39C31DEEAB5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A3C2BE-7AC1-4107-9D8D-1AAE70DAB0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0F6C8B-4DEC-4587-A245-D6F52F2046C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9CF84E-4B7A-470C-9E34-47CB129B14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5DBFBC-CA20-4BC1-B3E6-2178E28A5CE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A48780-18DF-46BC-AC9B-9B51B94BBBE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E2FF7B-34D1-4000-876E-81554460F06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52EB8D-1834-40DB-8CB6-F0A4D3C92EB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7E40D8-8DFC-4C0E-B912-19EA90451C5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AF34DD-9FB1-4723-AF56-48143AE0C7C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887AC4-638B-495F-AE3B-25220A686EC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8B044-7D58-4D5B-B843-86E240ADDCA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D049A3-0DD0-4BA1-A35F-245FA31008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BF75EE-29F3-409D-B5D4-A7915C9EF5D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1DF74E-968C-4F4C-81D4-D8F120BB968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Egg Roll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BBQ Chicken                1 pallet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Pepperoni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pallet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CB705-8267-4117-8DFD-038BE32B77B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8D63F2-FEA5-4C44-9E27-58006314779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93D1DE-7A1B-4E0C-AE55-A68C5513CEA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  <a:r>
            <a:rPr lang="en-US" sz="4000" b="1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SQF Audit</a:t>
          </a:r>
          <a:endParaRPr lang="en-US" sz="40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CF8F33-E362-4A05-9120-634CBC63AD0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Audit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11461A-F3DD-4C6B-A083-AE40D2AFB0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C11141-B80C-44FA-93FE-79F181BF92C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FEE429-95BB-40A5-A0E4-7A1DD0C190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2D5A4-A06B-48C7-B98D-CF8F0D09B1B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09699-04E2-45E3-86B0-F61B6D1B5B1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EB125A-C96F-45D6-9EF0-F15C60F54A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48CBE8-A25F-4A18-8A16-F48BFC85A03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57C144-516C-4FE1-AE47-66F6AE97A33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75297D-10FF-4E38-9C79-80620C24274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BF3105-F90B-4B76-AFAF-F3E5AD60441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414AD6-95D7-4E48-B323-F2967D2866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8A0223-47F4-4F8C-A488-908E398F39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Happy 4th of July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025D068-B307-4868-ABCA-58B1D90693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52524B-C90F-41AB-B383-D4A11DC36C7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8B928-4F6F-4F88-BC9C-132C361A0E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81C41E-2429-4E5D-9A66-93D5C3531C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1A6994-DBB8-45D0-A6AB-1834B65E2CDC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CE1AE6-1990-49DB-A3C8-D0F5C3DB8064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1A933A-BFE2-4FF7-9360-4B6DC6F1668D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04FAF3-83F0-4D49-AA37-93E6A3BFCCA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7F9720-705C-4542-85EE-6FAAB2B240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8834AC-1056-431E-8A2E-EA702ACC28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9A69E6-E72E-4D06-8283-DE4EC98A7585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527721-36D4-4821-AF4D-7157511DCC4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 mixes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BBQ Chicken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Sausage &amp; Giardiniera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Southwest Veggie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D21080-2486-4BB9-9675-00624CAA0AA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B49FCE-839C-416A-A717-FE89E8A0499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5AE1B-F8C0-460D-B9DA-C3D23E7715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40FDA1-73F8-4C95-8DEB-F03D2323148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11FB06-5B48-408D-8C51-F5752160D50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EA6874-6342-4C44-95FC-4FFFFD02441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F13AB7-2405-403E-943E-10EC79D7887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3779FF-0906-4E1F-A492-8C57241EF4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FA8D60-C41E-452F-8E00-3295DD98AE8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8424CBD-C474-409D-8850-FBF6A03BBF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E08BDC-1CDF-4698-8691-7A833F92D10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1E3578-C115-4240-9C00-18AC9EEE48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2:00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BBAB88-DF7D-482A-B52C-C06BD1B5D0C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C1243-8D63-4176-877F-F35EA75A1C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6C6A2-984F-47AB-AEB5-4452553673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BF05AB-BFA6-44E3-B741-F99CAF04C0F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0432DB-0B32-4CBC-8452-E92FA32E2CB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60A4AE-A3AD-4444-B23F-96845031F85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9AA498-ABC4-4B10-B2B3-6D64F7EB6A9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8CD11D-0F8B-4CE9-A693-C177BDEC6FF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F2ABEE-3C65-4710-8E58-D808E2FB5C7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2AD995-A747-4075-A3F9-B922D74602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C57316-1A7E-4E93-AC5B-5B8DB32276F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07183A-4E6E-46EF-A73F-1A1671A58C3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163FF7-2DD6-48E2-8361-D460CE9F20D1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AD991-341D-49F5-B8A1-5BC2D572582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A43E1-A44D-4413-ADB2-D5B73B49A48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19725-B5D3-4822-B7E3-394E60DA42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57DBC5-87FE-4A09-8638-6CCAB506CB72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995B2B-39B2-40C3-AA7B-B12DE82D43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7B717E-227A-4955-A550-998FBC808A8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7BA1D3-3C48-4FFD-8822-8D9F7F9369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C8F66-B2E3-46EB-84E6-2708602DCEB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25663D-3C7E-4DE7-9877-A39F1665EA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693D34-C76F-49E1-8C5C-6963FE2A112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7A899D-34EE-4A58-8C4F-8586CFD42D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2237F2-12CA-4156-811D-1A872533E4F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78291-0DB9-4D3D-B356-A7AE00C493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9A14E6-DB2A-4D2F-B713-E5B10374D1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364FD9-0C2E-45F4-9CF5-FC2EB47DDA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F8A153-5DA2-46E6-B1E9-4D8A1C31F3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11DABB-79AD-4910-B198-9FA6B83D5106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D26FC8-2339-40ED-B952-930EEC25E21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871AC0-EDC7-4376-B7F8-CBA65B6A5A9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ED50A8-F03C-4312-879C-63E162A0C8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B0F45-3064-4B17-9099-DE868961688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6138AE-2AFD-4068-BD8A-EC77B46F89C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294BB3-BEFF-4979-99EE-1D54B458418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FE328E-4742-48C8-8E19-EAA1653AA90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8680D-1142-4245-BCAB-CA1AC778A5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7369F-A455-4C75-96F8-CB946B1FE48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B51E22-DFE2-4842-B04E-195D4009CA2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BB334E-87FE-468A-9847-D6C39193F3E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7353C3-B3CE-48B6-9351-E422E1E06B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C432EF-4481-4376-838C-C9A2589978C5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E372B6-F86D-417B-A27A-8050EBF94E1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0BED1A-E783-4AAE-BA9F-4551A2DA33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3B013E-AD78-438A-8496-0A0B2C638D2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CC02FF-2CCB-4D37-9BE0-928A819036A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C54BBA-90DD-4293-926A-C16AC37A2D69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B7191D-686C-4F70-BA4C-A3D22AD663D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AC3C0D-86DE-4048-9F16-518A482C10C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88DE4-EBC9-4208-9D88-04209C0DD31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94E214-D508-4D89-B330-AE814ACF6F5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2A86EB-039A-442B-8234-B4159AFD017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F0E82-1BF8-43B7-8D1C-D994AAEFA04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0279BB-B037-4D53-B765-7ED64711C8F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F5AE8D-5306-4301-831D-F3366945519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8FC8A3-5B8B-4678-A85B-A0340758C37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9AFBAA-7B53-482A-A372-39772CB9230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BDBDA5-5968-4D1C-99DB-8A20190C54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7F85BF-67A7-47A3-B23C-861102FAC16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155409-7BFE-4364-ADAE-B3F471BA1B0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1A7A7B-0594-4EA0-B143-9B90C09B006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12F17-F170-4AC8-9E0E-E686A0869A3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7670E-D91F-4D3E-A94D-8565A63ACA1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84C3E-F7C9-4925-A87E-FB6490D0909B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E82636-4E97-42B8-B517-648E9D0A0A7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CA9D88-D514-41E4-89D4-BE7D8CDD30FE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FE772-AF23-4DD2-B1B3-8C2CA8CD0AE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6B427-294C-4F3C-B1DB-C61CDF6A1CD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F9F224-0E86-4321-A9F5-7BCF9A71C61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F6C38F-AA0A-40C2-8758-A777F6F1BA8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5A9C92-C96E-4B0B-B146-4A0E657B91EF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8FEFA4-F9FB-41B0-9019-781269C61D8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53995-04E4-47E5-AF66-8F8A412642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ED299-781B-433A-BF0C-16F6CFA7F58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3D322E-A3F2-4C00-AB12-33F154232E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4361F5-656A-4714-911F-DA9623429F5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AFD54-5824-4ECC-9FD7-C6F0C28641C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1E654C-FF9F-4B1B-9D1C-7D80512FF68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1C18D4-77EF-4AE2-A6FE-D5017AA87B2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A7153D-D5F5-45AE-A91C-1FF6206911E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3BA315-AB5C-4C6C-AB88-58023C0589C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1D2BE8-34F8-4D97-BA3C-3DF31C2762BA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450407-BDB0-4B3C-AE03-5A6A41BB927A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5EA8B6-76E5-4427-ADB7-0010429D0B9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2D9D-63D3-4F17-B297-18F52890119D}">
  <dimension ref="A3:P98"/>
  <sheetViews>
    <sheetView topLeftCell="A48" workbookViewId="0">
      <selection activeCell="E79" sqref="E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45297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45298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20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20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45299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69</v>
      </c>
      <c r="E54" s="20">
        <v>120</v>
      </c>
      <c r="F54" s="20" t="s">
        <v>88</v>
      </c>
      <c r="G54" s="21">
        <v>45301</v>
      </c>
      <c r="H54" s="49">
        <v>244860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45301</v>
      </c>
      <c r="H55" s="49">
        <v>244860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120</v>
      </c>
      <c r="F56" s="20" t="s">
        <v>88</v>
      </c>
      <c r="G56" s="21">
        <v>45301</v>
      </c>
      <c r="H56" s="49">
        <v>244860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67</v>
      </c>
      <c r="E57" s="20">
        <v>240</v>
      </c>
      <c r="F57" s="20" t="s">
        <v>88</v>
      </c>
      <c r="G57" s="21">
        <v>45301</v>
      </c>
      <c r="H57" s="49">
        <v>244860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68</v>
      </c>
      <c r="E58" s="20">
        <v>120</v>
      </c>
      <c r="F58" s="20" t="s">
        <v>88</v>
      </c>
      <c r="G58" s="21">
        <v>45301</v>
      </c>
      <c r="H58" s="49">
        <v>244860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240</v>
      </c>
      <c r="F59" s="20" t="s">
        <v>88</v>
      </c>
      <c r="G59" s="21">
        <v>45301</v>
      </c>
      <c r="H59" s="49">
        <v>244860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85</v>
      </c>
      <c r="D61" s="65" t="s">
        <v>92</v>
      </c>
      <c r="E61" s="20">
        <v>54</v>
      </c>
      <c r="F61" s="20" t="s">
        <v>88</v>
      </c>
      <c r="G61" s="21">
        <v>45301</v>
      </c>
      <c r="H61" s="49">
        <v>244860</v>
      </c>
      <c r="M61" s="3"/>
      <c r="N61" s="81"/>
      <c r="O61" s="3"/>
    </row>
    <row r="62" spans="1:15" s="4" customFormat="1" ht="12.75">
      <c r="A62" s="47"/>
      <c r="B62" s="48"/>
      <c r="C62" s="19" t="s">
        <v>85</v>
      </c>
      <c r="D62" s="20" t="s">
        <v>91</v>
      </c>
      <c r="E62" s="20">
        <v>54</v>
      </c>
      <c r="F62" s="20" t="s">
        <v>88</v>
      </c>
      <c r="G62" s="21">
        <v>45301</v>
      </c>
      <c r="H62" s="49">
        <v>244860</v>
      </c>
      <c r="M62" s="3"/>
      <c r="N62" s="81"/>
      <c r="O62" s="3"/>
    </row>
    <row r="63" spans="1:15" s="4" customFormat="1" ht="12.75">
      <c r="A63" s="47"/>
      <c r="B63" s="48"/>
      <c r="C63" s="19" t="s">
        <v>85</v>
      </c>
      <c r="D63" s="20" t="s">
        <v>91</v>
      </c>
      <c r="E63" s="20">
        <v>108</v>
      </c>
      <c r="F63" s="20"/>
      <c r="G63" s="21"/>
      <c r="H63" s="49"/>
    </row>
    <row r="64" spans="1:15" s="4" customFormat="1" ht="12.75">
      <c r="A64" s="47"/>
      <c r="B64" s="48"/>
      <c r="C64" s="94" t="s">
        <v>85</v>
      </c>
      <c r="D64" s="94" t="s">
        <v>104</v>
      </c>
      <c r="E64" s="94">
        <v>54</v>
      </c>
      <c r="F64" s="94" t="s">
        <v>88</v>
      </c>
      <c r="G64" s="95">
        <v>45301</v>
      </c>
      <c r="H64" s="102">
        <v>244860</v>
      </c>
    </row>
    <row r="65" spans="1:8" s="4" customFormat="1" ht="12.75">
      <c r="A65" s="47"/>
      <c r="B65" s="48"/>
      <c r="C65" s="94" t="s">
        <v>85</v>
      </c>
      <c r="D65" s="94" t="s">
        <v>104</v>
      </c>
      <c r="E65" s="94">
        <v>108</v>
      </c>
      <c r="F65" s="94"/>
      <c r="G65" s="95"/>
      <c r="H65" s="102"/>
    </row>
    <row r="66" spans="1:8" s="4" customFormat="1" ht="12.75">
      <c r="A66" s="47"/>
      <c r="B66" s="48"/>
      <c r="C66" s="10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1278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45301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 t="s">
        <v>56</v>
      </c>
      <c r="D71" s="20" t="s">
        <v>74</v>
      </c>
      <c r="E71" s="20">
        <v>192</v>
      </c>
      <c r="F71" s="20" t="s">
        <v>82</v>
      </c>
      <c r="G71" s="21">
        <v>45304</v>
      </c>
      <c r="H71" s="22">
        <v>1628754</v>
      </c>
    </row>
    <row r="72" spans="1:8" s="4" customFormat="1" ht="12.75">
      <c r="A72" s="47"/>
      <c r="B72" s="48"/>
      <c r="C72" s="19" t="s">
        <v>56</v>
      </c>
      <c r="D72" s="20" t="s">
        <v>81</v>
      </c>
      <c r="E72" s="20">
        <v>48</v>
      </c>
      <c r="F72" s="20" t="s">
        <v>82</v>
      </c>
      <c r="G72" s="21">
        <v>45304</v>
      </c>
      <c r="H72" s="22">
        <v>1628754</v>
      </c>
    </row>
    <row r="73" spans="1:8" s="4" customFormat="1" ht="12.75">
      <c r="A73" s="47"/>
      <c r="B73" s="48"/>
      <c r="C73" s="19" t="s">
        <v>56</v>
      </c>
      <c r="D73" s="20" t="s">
        <v>67</v>
      </c>
      <c r="E73" s="20">
        <v>192</v>
      </c>
      <c r="F73" s="20" t="s">
        <v>82</v>
      </c>
      <c r="G73" s="21">
        <v>45304</v>
      </c>
      <c r="H73" s="22">
        <v>1628754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22"/>
    </row>
    <row r="75" spans="1:8" s="4" customFormat="1" ht="12.75">
      <c r="A75" s="47"/>
      <c r="B75" s="48"/>
      <c r="C75" s="19" t="s">
        <v>60</v>
      </c>
      <c r="D75" s="65" t="s">
        <v>74</v>
      </c>
      <c r="E75" s="20">
        <v>288</v>
      </c>
      <c r="F75" s="20" t="s">
        <v>82</v>
      </c>
      <c r="G75" s="21">
        <v>45304</v>
      </c>
      <c r="H75" s="22">
        <v>1628754</v>
      </c>
    </row>
    <row r="76" spans="1:8" s="4" customFormat="1" ht="12.75">
      <c r="A76" s="47"/>
      <c r="B76" s="48"/>
      <c r="C76" s="19" t="s">
        <v>60</v>
      </c>
      <c r="D76" s="65" t="s">
        <v>63</v>
      </c>
      <c r="E76" s="20">
        <v>48</v>
      </c>
      <c r="F76" s="20" t="s">
        <v>82</v>
      </c>
      <c r="G76" s="21">
        <v>45304</v>
      </c>
      <c r="H76" s="22">
        <v>1628754</v>
      </c>
    </row>
    <row r="77" spans="1:8" s="4" customFormat="1" ht="12.75">
      <c r="A77" s="56"/>
      <c r="B77" s="57"/>
      <c r="C77" s="89" t="s">
        <v>60</v>
      </c>
      <c r="D77" s="90" t="s">
        <v>65</v>
      </c>
      <c r="E77" s="90">
        <v>432</v>
      </c>
      <c r="F77" s="90" t="s">
        <v>82</v>
      </c>
      <c r="G77" s="91">
        <v>45304</v>
      </c>
      <c r="H77" s="92">
        <v>1628754</v>
      </c>
    </row>
    <row r="78" spans="1:8" s="4" customFormat="1" ht="12.75">
      <c r="A78" s="56"/>
      <c r="B78" s="57"/>
      <c r="C78" s="89" t="s">
        <v>60</v>
      </c>
      <c r="D78" s="90" t="s">
        <v>103</v>
      </c>
      <c r="E78" s="90">
        <v>7</v>
      </c>
      <c r="F78" s="90" t="s">
        <v>82</v>
      </c>
      <c r="G78" s="91">
        <v>45304</v>
      </c>
      <c r="H78" s="92">
        <v>1628754</v>
      </c>
    </row>
    <row r="79" spans="1:8" s="4" customFormat="1" ht="12.75">
      <c r="A79" s="56"/>
      <c r="B79" s="57"/>
      <c r="C79" s="89" t="s">
        <v>75</v>
      </c>
      <c r="D79" s="90" t="s">
        <v>65</v>
      </c>
      <c r="E79" s="90">
        <v>144</v>
      </c>
      <c r="F79" s="90" t="s">
        <v>77</v>
      </c>
      <c r="G79" s="91">
        <v>45684</v>
      </c>
      <c r="H79" s="92">
        <v>40066392</v>
      </c>
    </row>
    <row r="80" spans="1:8" s="4" customFormat="1" ht="12.75">
      <c r="A80" s="56"/>
      <c r="B80" s="57"/>
      <c r="C80" s="89" t="s">
        <v>48</v>
      </c>
      <c r="D80" s="90" t="s">
        <v>65</v>
      </c>
      <c r="E80" s="90">
        <v>144</v>
      </c>
      <c r="F80" s="90" t="s">
        <v>70</v>
      </c>
      <c r="G80" s="91">
        <v>45311</v>
      </c>
      <c r="H80" s="93">
        <v>12463806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1495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6BA4-3C2D-4FC2-A33F-3B189EBE419E}">
  <dimension ref="A3:P98"/>
  <sheetViews>
    <sheetView topLeftCell="A48" workbookViewId="0">
      <selection activeCell="C72" sqref="C72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75</v>
      </c>
      <c r="D7" s="20" t="s">
        <v>63</v>
      </c>
      <c r="E7" s="20">
        <v>240</v>
      </c>
      <c r="F7" s="20" t="s">
        <v>77</v>
      </c>
      <c r="G7" s="21">
        <v>45307</v>
      </c>
      <c r="H7" s="22">
        <v>40064889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63</v>
      </c>
      <c r="E8" s="20">
        <v>192</v>
      </c>
      <c r="F8" s="20" t="s">
        <v>77</v>
      </c>
      <c r="G8" s="21">
        <v>45684</v>
      </c>
      <c r="H8" s="22">
        <v>40066392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74</v>
      </c>
      <c r="E9" s="20">
        <v>384</v>
      </c>
      <c r="F9" s="20" t="s">
        <v>77</v>
      </c>
      <c r="G9" s="21">
        <v>45307</v>
      </c>
      <c r="H9" s="22">
        <v>40064889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74</v>
      </c>
      <c r="E10" s="20">
        <v>144</v>
      </c>
      <c r="F10" s="20" t="s">
        <v>77</v>
      </c>
      <c r="G10" s="21">
        <v>45684</v>
      </c>
      <c r="H10" s="22">
        <v>40066392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65" t="s">
        <v>76</v>
      </c>
      <c r="E11" s="20">
        <v>240</v>
      </c>
      <c r="F11" s="20" t="s">
        <v>70</v>
      </c>
      <c r="G11" s="21">
        <v>45684</v>
      </c>
      <c r="H11" s="49">
        <v>12486313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45684</v>
      </c>
      <c r="H12" s="22">
        <v>40066392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22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105</v>
      </c>
      <c r="E17" s="20">
        <v>96</v>
      </c>
      <c r="F17" s="20" t="s">
        <v>77</v>
      </c>
      <c r="G17" s="21">
        <v>45307</v>
      </c>
      <c r="H17" s="22">
        <v>40064889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54</v>
      </c>
      <c r="F18" s="20" t="s">
        <v>88</v>
      </c>
      <c r="G18" s="21">
        <v>45674</v>
      </c>
      <c r="H18" s="49">
        <v>244966</v>
      </c>
      <c r="J18" s="25" t="s">
        <v>24</v>
      </c>
      <c r="K18" s="26" t="s">
        <v>14</v>
      </c>
      <c r="L18" s="29"/>
      <c r="M18" s="26"/>
    </row>
    <row r="19" spans="1:13">
      <c r="C19" s="89" t="s">
        <v>85</v>
      </c>
      <c r="D19" s="90" t="s">
        <v>93</v>
      </c>
      <c r="E19" s="90">
        <v>54</v>
      </c>
      <c r="F19" s="90" t="s">
        <v>88</v>
      </c>
      <c r="G19" s="91">
        <v>45674</v>
      </c>
      <c r="H19" s="93">
        <v>244966</v>
      </c>
      <c r="J19" s="33" t="s">
        <v>25</v>
      </c>
      <c r="K19" s="26"/>
      <c r="L19" s="29"/>
      <c r="M19" s="26"/>
    </row>
    <row r="20" spans="1:13">
      <c r="C20" s="89" t="s">
        <v>85</v>
      </c>
      <c r="D20" s="90" t="s">
        <v>93</v>
      </c>
      <c r="E20" s="90">
        <v>108</v>
      </c>
      <c r="F20" s="90"/>
      <c r="G20" s="91"/>
      <c r="H20" s="93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61</v>
      </c>
      <c r="E25" s="20">
        <v>192</v>
      </c>
      <c r="F25" s="20" t="s">
        <v>77</v>
      </c>
      <c r="G25" s="21">
        <v>45307</v>
      </c>
      <c r="H25" s="22">
        <v>40064889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61</v>
      </c>
      <c r="E26" s="20">
        <v>96</v>
      </c>
      <c r="F26" s="20" t="s">
        <v>77</v>
      </c>
      <c r="G26" s="21">
        <v>45684</v>
      </c>
      <c r="H26" s="22">
        <v>40066392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48</v>
      </c>
      <c r="D27" s="20" t="s">
        <v>61</v>
      </c>
      <c r="E27" s="20">
        <v>240</v>
      </c>
      <c r="F27" s="20" t="s">
        <v>70</v>
      </c>
      <c r="G27" s="21">
        <v>45311</v>
      </c>
      <c r="H27" s="49">
        <v>12463806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48</v>
      </c>
      <c r="D28" s="20" t="s">
        <v>61</v>
      </c>
      <c r="E28" s="20">
        <v>288</v>
      </c>
      <c r="F28" s="20" t="s">
        <v>70</v>
      </c>
      <c r="G28" s="21">
        <v>45684</v>
      </c>
      <c r="H28" s="49">
        <v>12486313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71</v>
      </c>
      <c r="E29" s="20">
        <v>96</v>
      </c>
      <c r="F29" s="20" t="s">
        <v>77</v>
      </c>
      <c r="G29" s="21">
        <v>45307</v>
      </c>
      <c r="H29" s="22">
        <v>40064889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75</v>
      </c>
      <c r="D30" s="20" t="s">
        <v>71</v>
      </c>
      <c r="E30" s="20">
        <v>96</v>
      </c>
      <c r="F30" s="20" t="s">
        <v>77</v>
      </c>
      <c r="G30" s="21">
        <v>45684</v>
      </c>
      <c r="H30" s="22">
        <v>40066392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 t="s">
        <v>48</v>
      </c>
      <c r="D31" s="65" t="s">
        <v>71</v>
      </c>
      <c r="E31" s="20">
        <v>240</v>
      </c>
      <c r="F31" s="20" t="s">
        <v>70</v>
      </c>
      <c r="G31" s="21">
        <v>45684</v>
      </c>
      <c r="H31" s="49">
        <v>12486313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20" t="s">
        <v>78</v>
      </c>
      <c r="E32" s="20">
        <v>144</v>
      </c>
      <c r="F32" s="20" t="s">
        <v>77</v>
      </c>
      <c r="G32" s="21">
        <v>45684</v>
      </c>
      <c r="H32" s="22">
        <v>40066392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03" t="s">
        <v>90</v>
      </c>
      <c r="D35" s="100" t="s">
        <v>96</v>
      </c>
      <c r="E35" s="100">
        <v>108</v>
      </c>
      <c r="F35" s="100" t="s">
        <v>95</v>
      </c>
      <c r="G35" s="101">
        <v>45313</v>
      </c>
      <c r="H35" s="104" t="s">
        <v>120</v>
      </c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1500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90</v>
      </c>
      <c r="D55" s="20" t="s">
        <v>97</v>
      </c>
      <c r="E55" s="20">
        <v>108</v>
      </c>
      <c r="F55" s="20" t="s">
        <v>95</v>
      </c>
      <c r="G55" s="21">
        <v>45313</v>
      </c>
      <c r="H55" s="49" t="s">
        <v>120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90</v>
      </c>
      <c r="D56" s="20" t="s">
        <v>100</v>
      </c>
      <c r="E56" s="20">
        <v>54</v>
      </c>
      <c r="F56" s="20" t="s">
        <v>95</v>
      </c>
      <c r="G56" s="21">
        <v>45313</v>
      </c>
      <c r="H56" s="49" t="s">
        <v>120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94</v>
      </c>
      <c r="D57" s="20" t="s">
        <v>107</v>
      </c>
      <c r="E57" s="20">
        <v>54</v>
      </c>
      <c r="F57" s="20" t="s">
        <v>88</v>
      </c>
      <c r="G57" s="21">
        <v>45674</v>
      </c>
      <c r="H57" s="49">
        <v>244966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81</v>
      </c>
      <c r="E59" s="20">
        <v>60</v>
      </c>
      <c r="F59" s="20" t="s">
        <v>88</v>
      </c>
      <c r="G59" s="21">
        <v>45674</v>
      </c>
      <c r="H59" s="49">
        <v>244966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67</v>
      </c>
      <c r="E60" s="20">
        <v>240</v>
      </c>
      <c r="F60" s="20" t="s">
        <v>88</v>
      </c>
      <c r="G60" s="21">
        <v>45674</v>
      </c>
      <c r="H60" s="49">
        <v>244966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65" t="s">
        <v>68</v>
      </c>
      <c r="E61" s="20">
        <v>120</v>
      </c>
      <c r="F61" s="20" t="s">
        <v>88</v>
      </c>
      <c r="G61" s="21">
        <v>45674</v>
      </c>
      <c r="H61" s="49">
        <v>244966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64</v>
      </c>
      <c r="E62" s="20">
        <v>240</v>
      </c>
      <c r="F62" s="20" t="s">
        <v>88</v>
      </c>
      <c r="G62" s="21">
        <v>45674</v>
      </c>
      <c r="H62" s="49">
        <v>245025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63</v>
      </c>
      <c r="E63" s="20">
        <v>240</v>
      </c>
      <c r="F63" s="20" t="s">
        <v>88</v>
      </c>
      <c r="G63" s="21">
        <v>45674</v>
      </c>
      <c r="H63" s="49">
        <v>245025</v>
      </c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60</v>
      </c>
      <c r="F64" s="90" t="s">
        <v>88</v>
      </c>
      <c r="G64" s="91">
        <v>45674</v>
      </c>
      <c r="H64" s="93">
        <v>245025</v>
      </c>
    </row>
    <row r="65" spans="1:8" s="4" customFormat="1" ht="12.75">
      <c r="A65" s="47"/>
      <c r="B65" s="48"/>
      <c r="C65" s="89" t="s">
        <v>66</v>
      </c>
      <c r="D65" s="90" t="s">
        <v>80</v>
      </c>
      <c r="E65" s="90">
        <v>120</v>
      </c>
      <c r="F65" s="90" t="s">
        <v>88</v>
      </c>
      <c r="G65" s="91">
        <v>45680</v>
      </c>
      <c r="H65" s="93">
        <v>245026</v>
      </c>
    </row>
    <row r="66" spans="1:8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1296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 t="s">
        <v>48</v>
      </c>
      <c r="D72" s="65" t="s">
        <v>76</v>
      </c>
      <c r="E72" s="20">
        <v>240</v>
      </c>
      <c r="F72" s="20" t="s">
        <v>70</v>
      </c>
      <c r="G72" s="21">
        <v>45311</v>
      </c>
      <c r="H72" s="49">
        <v>12463806</v>
      </c>
    </row>
    <row r="73" spans="1:8" s="4" customFormat="1" ht="12.75">
      <c r="A73" s="47"/>
      <c r="B73" s="48"/>
      <c r="C73" s="19" t="s">
        <v>48</v>
      </c>
      <c r="D73" s="65" t="s">
        <v>71</v>
      </c>
      <c r="E73" s="20">
        <v>144</v>
      </c>
      <c r="F73" s="20" t="s">
        <v>70</v>
      </c>
      <c r="G73" s="21">
        <v>45311</v>
      </c>
      <c r="H73" s="49">
        <v>12463806</v>
      </c>
    </row>
    <row r="74" spans="1:8" s="4" customFormat="1" ht="12.75">
      <c r="A74" s="47"/>
      <c r="B74" s="48"/>
      <c r="C74" s="19" t="s">
        <v>48</v>
      </c>
      <c r="D74" s="65" t="s">
        <v>72</v>
      </c>
      <c r="E74" s="20">
        <v>192</v>
      </c>
      <c r="F74" s="20" t="s">
        <v>70</v>
      </c>
      <c r="G74" s="21">
        <v>45311</v>
      </c>
      <c r="H74" s="49">
        <v>12463806</v>
      </c>
    </row>
    <row r="75" spans="1:8" s="4" customFormat="1" ht="12.75">
      <c r="A75" s="47"/>
      <c r="B75" s="48"/>
      <c r="C75" s="19" t="s">
        <v>48</v>
      </c>
      <c r="D75" s="65" t="s">
        <v>72</v>
      </c>
      <c r="E75" s="20">
        <v>144</v>
      </c>
      <c r="F75" s="20" t="s">
        <v>70</v>
      </c>
      <c r="G75" s="21">
        <v>45684</v>
      </c>
      <c r="H75" s="49">
        <v>12486313</v>
      </c>
    </row>
    <row r="76" spans="1:8" s="4" customFormat="1" ht="12.75">
      <c r="A76" s="47"/>
      <c r="B76" s="48"/>
      <c r="C76" s="89" t="s">
        <v>48</v>
      </c>
      <c r="D76" s="99" t="s">
        <v>114</v>
      </c>
      <c r="E76" s="90">
        <v>192</v>
      </c>
      <c r="F76" s="90" t="s">
        <v>70</v>
      </c>
      <c r="G76" s="91">
        <v>45311</v>
      </c>
      <c r="H76" s="93">
        <v>12463806</v>
      </c>
    </row>
    <row r="77" spans="1:8" s="4" customFormat="1" ht="12.75">
      <c r="A77" s="56"/>
      <c r="B77" s="57"/>
      <c r="C77" s="89" t="s">
        <v>48</v>
      </c>
      <c r="D77" s="99" t="s">
        <v>114</v>
      </c>
      <c r="E77" s="90">
        <v>192</v>
      </c>
      <c r="F77" s="90" t="s">
        <v>70</v>
      </c>
      <c r="G77" s="91">
        <v>45684</v>
      </c>
      <c r="H77" s="93">
        <v>12486313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48</v>
      </c>
      <c r="F78" s="90" t="s">
        <v>70</v>
      </c>
      <c r="G78" s="91">
        <v>45684</v>
      </c>
      <c r="H78" s="93">
        <v>12486313</v>
      </c>
    </row>
    <row r="79" spans="1:8" s="4" customFormat="1" ht="12.75">
      <c r="A79" s="56"/>
      <c r="B79" s="57"/>
      <c r="C79" s="89" t="s">
        <v>90</v>
      </c>
      <c r="D79" s="90" t="s">
        <v>121</v>
      </c>
      <c r="E79" s="90">
        <v>54</v>
      </c>
      <c r="F79" s="90" t="s">
        <v>95</v>
      </c>
      <c r="G79" s="91">
        <v>45313</v>
      </c>
      <c r="H79" s="93" t="s">
        <v>120</v>
      </c>
    </row>
    <row r="80" spans="1:8" s="4" customFormat="1" ht="12.75">
      <c r="A80" s="56"/>
      <c r="B80" s="57"/>
      <c r="C80" s="89" t="s">
        <v>53</v>
      </c>
      <c r="D80" s="99" t="s">
        <v>65</v>
      </c>
      <c r="E80" s="90">
        <v>96</v>
      </c>
      <c r="F80" s="90" t="s">
        <v>59</v>
      </c>
      <c r="G80" s="91">
        <v>45686</v>
      </c>
      <c r="H80" s="93">
        <v>318125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1302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45309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9B5B-E0C0-402D-A0E9-0B99B951E6D2}">
  <dimension ref="A3:P97"/>
  <sheetViews>
    <sheetView workbookViewId="0">
      <selection activeCell="E14" sqref="E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69</v>
      </c>
      <c r="E7" s="20">
        <v>60</v>
      </c>
      <c r="F7" s="20" t="s">
        <v>88</v>
      </c>
      <c r="G7" s="21">
        <v>45680</v>
      </c>
      <c r="H7" s="49">
        <v>245026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120</v>
      </c>
      <c r="F8" s="20" t="s">
        <v>88</v>
      </c>
      <c r="G8" s="21">
        <v>45680</v>
      </c>
      <c r="H8" s="49">
        <v>245026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63</v>
      </c>
      <c r="E9" s="20">
        <v>300</v>
      </c>
      <c r="F9" s="20" t="s">
        <v>88</v>
      </c>
      <c r="G9" s="21">
        <v>45680</v>
      </c>
      <c r="H9" s="49">
        <v>245026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300</v>
      </c>
      <c r="F10" s="20" t="s">
        <v>88</v>
      </c>
      <c r="G10" s="21">
        <v>45680</v>
      </c>
      <c r="H10" s="49">
        <v>245026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45680</v>
      </c>
      <c r="H11" s="49">
        <v>245026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64</v>
      </c>
      <c r="E12" s="20">
        <v>420</v>
      </c>
      <c r="F12" s="20" t="s">
        <v>88</v>
      </c>
      <c r="G12" s="21">
        <v>45680</v>
      </c>
      <c r="H12" s="49">
        <v>245026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240</v>
      </c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57</v>
      </c>
      <c r="D28" s="20" t="s">
        <v>58</v>
      </c>
      <c r="E28" s="20">
        <v>1632</v>
      </c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1632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5"/>
      <c r="K43" s="5"/>
      <c r="L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"/>
      <c r="K44" s="5"/>
      <c r="L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5"/>
      <c r="K45" s="5"/>
      <c r="L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68</v>
      </c>
      <c r="E58" s="20">
        <v>96</v>
      </c>
      <c r="F58" s="20" t="s">
        <v>59</v>
      </c>
      <c r="G58" s="21">
        <v>45685</v>
      </c>
      <c r="H58" s="49">
        <v>318124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63</v>
      </c>
      <c r="E59" s="20">
        <v>144</v>
      </c>
      <c r="F59" s="20" t="s">
        <v>59</v>
      </c>
      <c r="G59" s="21">
        <v>45686</v>
      </c>
      <c r="H59" s="49">
        <v>318125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60</v>
      </c>
      <c r="D61" s="20" t="s">
        <v>74</v>
      </c>
      <c r="E61" s="20">
        <v>672</v>
      </c>
      <c r="F61" s="20" t="s">
        <v>82</v>
      </c>
      <c r="G61" s="21">
        <v>45681</v>
      </c>
      <c r="H61" s="49">
        <v>1628784</v>
      </c>
      <c r="M61" s="3"/>
      <c r="N61" s="81"/>
      <c r="O61" s="3"/>
    </row>
    <row r="62" spans="1:15" s="4" customFormat="1" ht="12.75">
      <c r="A62" s="47"/>
      <c r="B62" s="48"/>
      <c r="C62" s="19" t="s">
        <v>60</v>
      </c>
      <c r="D62" s="20" t="s">
        <v>63</v>
      </c>
      <c r="E62" s="20">
        <v>350</v>
      </c>
      <c r="F62" s="20" t="s">
        <v>82</v>
      </c>
      <c r="G62" s="21">
        <v>45681</v>
      </c>
      <c r="H62" s="49">
        <v>1628784</v>
      </c>
      <c r="M62" s="3"/>
      <c r="N62" s="81"/>
      <c r="O62" s="3"/>
    </row>
    <row r="63" spans="1:15" s="4" customFormat="1" ht="12.75">
      <c r="A63" s="47"/>
      <c r="B63" s="48"/>
      <c r="C63" s="89" t="s">
        <v>60</v>
      </c>
      <c r="D63" s="90" t="s">
        <v>65</v>
      </c>
      <c r="E63" s="90">
        <v>192</v>
      </c>
      <c r="F63" s="90" t="s">
        <v>82</v>
      </c>
      <c r="G63" s="91">
        <v>45681</v>
      </c>
      <c r="H63" s="93">
        <v>1628784</v>
      </c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1454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56</v>
      </c>
      <c r="D70" s="20" t="s">
        <v>74</v>
      </c>
      <c r="E70" s="20">
        <v>384</v>
      </c>
      <c r="F70" s="20" t="s">
        <v>82</v>
      </c>
      <c r="G70" s="21">
        <v>45684</v>
      </c>
      <c r="H70" s="49">
        <v>1628801</v>
      </c>
    </row>
    <row r="71" spans="1:8" s="4" customFormat="1" ht="12.75">
      <c r="A71" s="47"/>
      <c r="B71" s="48"/>
      <c r="C71" s="19" t="s">
        <v>56</v>
      </c>
      <c r="D71" s="20" t="s">
        <v>67</v>
      </c>
      <c r="E71" s="20">
        <v>864</v>
      </c>
      <c r="F71" s="20" t="s">
        <v>82</v>
      </c>
      <c r="G71" s="21">
        <v>45684</v>
      </c>
      <c r="H71" s="49">
        <v>1628801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3</v>
      </c>
      <c r="D73" s="20" t="s">
        <v>86</v>
      </c>
      <c r="E73" s="20">
        <v>240</v>
      </c>
      <c r="F73" s="20"/>
      <c r="G73" s="21">
        <v>45691</v>
      </c>
      <c r="H73" s="49"/>
    </row>
    <row r="74" spans="1:8" s="4" customFormat="1" ht="12.75">
      <c r="A74" s="47"/>
      <c r="B74" s="48"/>
      <c r="C74" s="19" t="s">
        <v>3</v>
      </c>
      <c r="D74" s="20" t="s">
        <v>86</v>
      </c>
      <c r="E74" s="20">
        <v>240</v>
      </c>
      <c r="F74" s="20"/>
      <c r="G74" s="21">
        <v>45698</v>
      </c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65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1728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563-68A7-4923-A1D8-B2A6A97B331F}">
  <dimension ref="A3:P97"/>
  <sheetViews>
    <sheetView topLeftCell="A21" workbookViewId="0">
      <selection activeCell="E30" sqref="E3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62</v>
      </c>
      <c r="E7" s="20">
        <v>48</v>
      </c>
      <c r="F7" s="20" t="s">
        <v>59</v>
      </c>
      <c r="G7" s="21">
        <v>45686</v>
      </c>
      <c r="H7" s="49">
        <v>318125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288</v>
      </c>
      <c r="F8" s="20" t="s">
        <v>59</v>
      </c>
      <c r="G8" s="21">
        <v>45685</v>
      </c>
      <c r="H8" s="49">
        <v>318124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115</v>
      </c>
      <c r="E10" s="20">
        <v>288</v>
      </c>
      <c r="F10" s="20" t="s">
        <v>59</v>
      </c>
      <c r="G10" s="21">
        <v>45685</v>
      </c>
      <c r="H10" s="49">
        <v>318124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115</v>
      </c>
      <c r="E11" s="20">
        <v>240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10" t="s">
        <v>53</v>
      </c>
      <c r="D12" s="111" t="s">
        <v>79</v>
      </c>
      <c r="E12" s="112">
        <v>288</v>
      </c>
      <c r="F12" s="112" t="s">
        <v>59</v>
      </c>
      <c r="G12" s="113">
        <v>45685</v>
      </c>
      <c r="H12" s="114">
        <v>318124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10" t="s">
        <v>53</v>
      </c>
      <c r="D13" s="111" t="s">
        <v>79</v>
      </c>
      <c r="E13" s="112">
        <v>288</v>
      </c>
      <c r="F13" s="112"/>
      <c r="G13" s="113"/>
      <c r="H13" s="114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102</v>
      </c>
      <c r="E27" s="90">
        <v>378</v>
      </c>
      <c r="F27" s="90" t="s">
        <v>88</v>
      </c>
      <c r="G27" s="91">
        <v>45687</v>
      </c>
      <c r="H27" s="93">
        <v>245055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89" t="s">
        <v>94</v>
      </c>
      <c r="D28" s="90" t="s">
        <v>102</v>
      </c>
      <c r="E28" s="90">
        <v>264</v>
      </c>
      <c r="F28" s="90"/>
      <c r="G28" s="91"/>
      <c r="H28" s="93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89" t="s">
        <v>94</v>
      </c>
      <c r="D29" s="90" t="s">
        <v>101</v>
      </c>
      <c r="E29" s="90">
        <v>162</v>
      </c>
      <c r="F29" s="90" t="s">
        <v>88</v>
      </c>
      <c r="G29" s="91">
        <v>45687</v>
      </c>
      <c r="H29" s="93">
        <v>245055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94</v>
      </c>
      <c r="D30" s="90" t="s">
        <v>101</v>
      </c>
      <c r="E30" s="90">
        <v>162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94</v>
      </c>
      <c r="D31" s="90" t="s">
        <v>83</v>
      </c>
      <c r="E31" s="90">
        <v>216</v>
      </c>
      <c r="F31" s="90" t="s">
        <v>88</v>
      </c>
      <c r="G31" s="91">
        <v>45687</v>
      </c>
      <c r="H31" s="93">
        <v>245055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94</v>
      </c>
      <c r="D32" s="90" t="s">
        <v>83</v>
      </c>
      <c r="E32" s="90">
        <v>216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48</v>
      </c>
      <c r="D33" s="90" t="s">
        <v>106</v>
      </c>
      <c r="E33" s="90">
        <v>192</v>
      </c>
      <c r="F33" s="90" t="s">
        <v>70</v>
      </c>
      <c r="G33" s="91">
        <v>45691</v>
      </c>
      <c r="H33" s="93">
        <v>12506023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48</v>
      </c>
      <c r="D34" s="90" t="s">
        <v>106</v>
      </c>
      <c r="E34" s="90">
        <v>192</v>
      </c>
      <c r="F34" s="90"/>
      <c r="G34" s="91"/>
      <c r="H34" s="93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49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1782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45321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94</v>
      </c>
      <c r="D54" s="20" t="s">
        <v>107</v>
      </c>
      <c r="E54" s="20">
        <v>324</v>
      </c>
      <c r="F54" s="20" t="s">
        <v>88</v>
      </c>
      <c r="G54" s="21">
        <v>45687</v>
      </c>
      <c r="H54" s="49">
        <v>245055</v>
      </c>
      <c r="J54" s="3"/>
      <c r="K54" s="3"/>
      <c r="L54" s="3"/>
    </row>
    <row r="55" spans="1:15">
      <c r="A55" s="47"/>
      <c r="B55" s="48"/>
      <c r="C55" s="19" t="s">
        <v>94</v>
      </c>
      <c r="D55" s="20" t="s">
        <v>107</v>
      </c>
      <c r="E55" s="20">
        <v>324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45691</v>
      </c>
      <c r="H56" s="49">
        <v>12506023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65"/>
      <c r="E57" s="20"/>
      <c r="F57" s="20"/>
      <c r="G57" s="21"/>
      <c r="H57" s="22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127</v>
      </c>
      <c r="D58" s="65" t="s">
        <v>74</v>
      </c>
      <c r="E58" s="20">
        <v>30</v>
      </c>
      <c r="F58" s="20" t="s">
        <v>73</v>
      </c>
      <c r="G58" s="21">
        <v>45688</v>
      </c>
      <c r="H58" s="22">
        <v>11625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127</v>
      </c>
      <c r="D59" s="65" t="s">
        <v>63</v>
      </c>
      <c r="E59" s="20">
        <v>60</v>
      </c>
      <c r="F59" s="20" t="s">
        <v>73</v>
      </c>
      <c r="G59" s="21">
        <v>45688</v>
      </c>
      <c r="H59" s="22">
        <v>11625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127</v>
      </c>
      <c r="D60" s="65" t="s">
        <v>67</v>
      </c>
      <c r="E60" s="20">
        <v>30</v>
      </c>
      <c r="F60" s="20" t="s">
        <v>73</v>
      </c>
      <c r="G60" s="21">
        <v>45688</v>
      </c>
      <c r="H60" s="22">
        <v>11625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127</v>
      </c>
      <c r="D61" s="65" t="s">
        <v>64</v>
      </c>
      <c r="E61" s="20">
        <v>60</v>
      </c>
      <c r="F61" s="20" t="s">
        <v>73</v>
      </c>
      <c r="G61" s="21">
        <v>45688</v>
      </c>
      <c r="H61" s="22">
        <v>11625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05" t="s">
        <v>94</v>
      </c>
      <c r="D63" s="106" t="s">
        <v>89</v>
      </c>
      <c r="E63" s="106">
        <v>324</v>
      </c>
      <c r="F63" s="106"/>
      <c r="G63" s="107"/>
      <c r="H63" s="108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45322</v>
      </c>
      <c r="C68" s="96" t="s">
        <v>3</v>
      </c>
      <c r="D68" s="97" t="s">
        <v>4</v>
      </c>
      <c r="E68" s="97" t="s">
        <v>5</v>
      </c>
      <c r="F68" s="97" t="s">
        <v>6</v>
      </c>
      <c r="G68" s="97" t="s">
        <v>7</v>
      </c>
      <c r="H68" s="98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288</v>
      </c>
      <c r="F70" s="20" t="s">
        <v>70</v>
      </c>
      <c r="G70" s="21">
        <v>45691</v>
      </c>
      <c r="H70" s="49">
        <v>12506023</v>
      </c>
    </row>
    <row r="71" spans="1:8" s="4" customFormat="1" ht="12.75">
      <c r="A71" s="47"/>
      <c r="B71" s="48"/>
      <c r="C71" s="19" t="s">
        <v>75</v>
      </c>
      <c r="D71" s="65" t="s">
        <v>61</v>
      </c>
      <c r="E71" s="20">
        <v>48</v>
      </c>
      <c r="F71" s="20" t="s">
        <v>77</v>
      </c>
      <c r="G71" s="21">
        <v>45698</v>
      </c>
      <c r="H71" s="49">
        <v>40068384</v>
      </c>
    </row>
    <row r="72" spans="1:8" s="4" customFormat="1" ht="12.75">
      <c r="A72" s="47"/>
      <c r="B72" s="48"/>
      <c r="C72" s="19" t="s">
        <v>75</v>
      </c>
      <c r="D72" s="65" t="s">
        <v>61</v>
      </c>
      <c r="E72" s="20">
        <v>144</v>
      </c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192</v>
      </c>
      <c r="F73" s="20" t="s">
        <v>70</v>
      </c>
      <c r="G73" s="21">
        <v>45691</v>
      </c>
      <c r="H73" s="49">
        <v>12506023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144</v>
      </c>
      <c r="F74" s="20" t="s">
        <v>70</v>
      </c>
      <c r="G74" s="21">
        <v>45691</v>
      </c>
      <c r="H74" s="49">
        <v>12506023</v>
      </c>
    </row>
    <row r="75" spans="1:8" s="4" customFormat="1" ht="12.75">
      <c r="A75" s="47"/>
      <c r="B75" s="48"/>
      <c r="C75" s="19" t="s">
        <v>75</v>
      </c>
      <c r="D75" s="65" t="s">
        <v>128</v>
      </c>
      <c r="E75" s="20">
        <v>48</v>
      </c>
      <c r="F75" s="20" t="s">
        <v>77</v>
      </c>
      <c r="G75" s="21">
        <v>45698</v>
      </c>
      <c r="H75" s="49">
        <v>40068384</v>
      </c>
    </row>
    <row r="76" spans="1:8" s="4" customFormat="1" ht="12.75">
      <c r="A76" s="56"/>
      <c r="B76" s="57"/>
      <c r="C76" s="19" t="s">
        <v>75</v>
      </c>
      <c r="D76" s="65" t="s">
        <v>128</v>
      </c>
      <c r="E76" s="20">
        <v>144</v>
      </c>
      <c r="F76" s="20"/>
      <c r="G76" s="21"/>
      <c r="H76" s="49"/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45691</v>
      </c>
      <c r="H77" s="93">
        <v>12506023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240</v>
      </c>
      <c r="F78" s="90" t="s">
        <v>70</v>
      </c>
      <c r="G78" s="91">
        <v>45705</v>
      </c>
      <c r="H78" s="93">
        <v>12541567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E99-0B30-46D7-B8FC-383C0BCE3CC0}">
  <dimension ref="A3:P99"/>
  <sheetViews>
    <sheetView topLeftCell="A1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65" t="s">
        <v>61</v>
      </c>
      <c r="E7" s="20">
        <v>432</v>
      </c>
      <c r="F7" s="20" t="s">
        <v>70</v>
      </c>
      <c r="G7" s="21">
        <v>45698</v>
      </c>
      <c r="H7" s="22">
        <v>12523951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61</v>
      </c>
      <c r="E8" s="20">
        <v>240</v>
      </c>
      <c r="F8" s="20" t="s">
        <v>70</v>
      </c>
      <c r="G8" s="21">
        <v>45705</v>
      </c>
      <c r="H8" s="49">
        <v>12541567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384</v>
      </c>
      <c r="F9" s="20" t="s">
        <v>70</v>
      </c>
      <c r="G9" s="21">
        <v>45698</v>
      </c>
      <c r="H9" s="22">
        <v>12523951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62</v>
      </c>
      <c r="E10" s="20">
        <v>48</v>
      </c>
      <c r="F10" s="20" t="s">
        <v>70</v>
      </c>
      <c r="G10" s="21">
        <v>45698</v>
      </c>
      <c r="H10" s="49">
        <v>12523956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71</v>
      </c>
      <c r="E12" s="20">
        <v>336</v>
      </c>
      <c r="F12" s="20" t="s">
        <v>70</v>
      </c>
      <c r="G12" s="21">
        <v>45698</v>
      </c>
      <c r="H12" s="49">
        <v>12523956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71</v>
      </c>
      <c r="E13" s="20">
        <v>144</v>
      </c>
      <c r="F13" s="20" t="s">
        <v>70</v>
      </c>
      <c r="G13" s="21">
        <v>45705</v>
      </c>
      <c r="H13" s="49">
        <v>12541567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98</v>
      </c>
      <c r="D25" s="20" t="s">
        <v>61</v>
      </c>
      <c r="E25" s="20">
        <v>144</v>
      </c>
      <c r="F25" s="20" t="s">
        <v>99</v>
      </c>
      <c r="G25" s="21">
        <v>45698</v>
      </c>
      <c r="H25" s="49">
        <v>264948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64</v>
      </c>
      <c r="E26" s="20">
        <v>336</v>
      </c>
      <c r="F26" s="20" t="s">
        <v>77</v>
      </c>
      <c r="G26" s="21">
        <v>45698</v>
      </c>
      <c r="H26" s="49">
        <v>40068384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98</v>
      </c>
      <c r="D27" s="20" t="s">
        <v>64</v>
      </c>
      <c r="E27" s="20">
        <v>48</v>
      </c>
      <c r="F27" s="20" t="s">
        <v>99</v>
      </c>
      <c r="G27" s="21">
        <v>45698</v>
      </c>
      <c r="H27" s="49">
        <v>264948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75</v>
      </c>
      <c r="D28" s="20" t="s">
        <v>68</v>
      </c>
      <c r="E28" s="20">
        <v>192</v>
      </c>
      <c r="F28" s="20" t="s">
        <v>77</v>
      </c>
      <c r="G28" s="21">
        <v>45698</v>
      </c>
      <c r="H28" s="49">
        <v>40068384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68</v>
      </c>
      <c r="E29" s="20">
        <v>96</v>
      </c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98</v>
      </c>
      <c r="D30" s="90" t="s">
        <v>83</v>
      </c>
      <c r="E30" s="90">
        <v>96</v>
      </c>
      <c r="F30" s="90" t="s">
        <v>99</v>
      </c>
      <c r="G30" s="91">
        <v>45698</v>
      </c>
      <c r="H30" s="93">
        <v>264948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75</v>
      </c>
      <c r="D31" s="90" t="s">
        <v>83</v>
      </c>
      <c r="E31" s="90">
        <v>48</v>
      </c>
      <c r="F31" s="90" t="s">
        <v>77</v>
      </c>
      <c r="G31" s="91">
        <v>45698</v>
      </c>
      <c r="H31" s="93">
        <v>40068384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75</v>
      </c>
      <c r="D32" s="90" t="s">
        <v>83</v>
      </c>
      <c r="E32" s="90">
        <v>96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98</v>
      </c>
      <c r="D33" s="90" t="s">
        <v>65</v>
      </c>
      <c r="E33" s="90">
        <v>192</v>
      </c>
      <c r="F33" s="90" t="s">
        <v>99</v>
      </c>
      <c r="G33" s="91">
        <v>45698</v>
      </c>
      <c r="H33" s="93">
        <v>264948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75</v>
      </c>
      <c r="D34" s="90" t="s">
        <v>80</v>
      </c>
      <c r="E34" s="90">
        <v>96</v>
      </c>
      <c r="F34" s="90" t="s">
        <v>77</v>
      </c>
      <c r="G34" s="91">
        <v>45698</v>
      </c>
      <c r="H34" s="93">
        <v>40068384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89" t="s">
        <v>75</v>
      </c>
      <c r="D35" s="90" t="s">
        <v>80</v>
      </c>
      <c r="E35" s="90">
        <v>96</v>
      </c>
      <c r="F35" s="90"/>
      <c r="G35" s="91"/>
      <c r="H35" s="93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1440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20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20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63</v>
      </c>
      <c r="E54" s="20">
        <v>96</v>
      </c>
      <c r="F54" s="20" t="s">
        <v>77</v>
      </c>
      <c r="G54" s="21">
        <v>45698</v>
      </c>
      <c r="H54" s="49">
        <v>40068384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63</v>
      </c>
      <c r="E55" s="20">
        <v>144</v>
      </c>
      <c r="F55" s="20" t="s">
        <v>77</v>
      </c>
      <c r="G55" s="21">
        <v>45706</v>
      </c>
      <c r="H55" s="49">
        <v>40070693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76</v>
      </c>
      <c r="E56" s="20">
        <v>96</v>
      </c>
      <c r="F56" s="20" t="s">
        <v>77</v>
      </c>
      <c r="G56" s="21">
        <v>45698</v>
      </c>
      <c r="H56" s="49">
        <v>40068384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76</v>
      </c>
      <c r="E57" s="20">
        <v>144</v>
      </c>
      <c r="F57" s="20" t="s">
        <v>77</v>
      </c>
      <c r="G57" s="21">
        <v>45706</v>
      </c>
      <c r="H57" s="49">
        <v>40070693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62</v>
      </c>
      <c r="E58" s="20">
        <v>144</v>
      </c>
      <c r="F58" s="20" t="s">
        <v>70</v>
      </c>
      <c r="G58" s="21">
        <v>45705</v>
      </c>
      <c r="H58" s="49">
        <v>12541567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65" t="s">
        <v>84</v>
      </c>
      <c r="E60" s="20">
        <v>96</v>
      </c>
      <c r="F60" s="20" t="s">
        <v>77</v>
      </c>
      <c r="G60" s="21">
        <v>45698</v>
      </c>
      <c r="H60" s="49">
        <v>40068384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65" t="s">
        <v>84</v>
      </c>
      <c r="E61" s="20">
        <v>96</v>
      </c>
      <c r="F61" s="20" t="s">
        <v>77</v>
      </c>
      <c r="G61" s="21">
        <v>45706</v>
      </c>
      <c r="H61" s="49">
        <v>40070693</v>
      </c>
      <c r="M61" s="3"/>
      <c r="N61" s="81"/>
      <c r="O61" s="3"/>
    </row>
    <row r="62" spans="1:15" s="4" customFormat="1" ht="12.75">
      <c r="A62" s="47"/>
      <c r="B62" s="48"/>
      <c r="C62" s="20" t="s">
        <v>75</v>
      </c>
      <c r="D62" s="20" t="s">
        <v>87</v>
      </c>
      <c r="E62" s="20">
        <v>96</v>
      </c>
      <c r="F62" s="20" t="s">
        <v>77</v>
      </c>
      <c r="G62" s="21">
        <v>45698</v>
      </c>
      <c r="H62" s="49">
        <v>40068384</v>
      </c>
      <c r="M62" s="3"/>
      <c r="N62" s="81"/>
      <c r="O62" s="3"/>
    </row>
    <row r="63" spans="1:15" s="4" customFormat="1" ht="12.75">
      <c r="A63" s="47"/>
      <c r="B63" s="48"/>
      <c r="C63" s="20" t="s">
        <v>75</v>
      </c>
      <c r="D63" s="20" t="s">
        <v>87</v>
      </c>
      <c r="E63" s="20">
        <v>96</v>
      </c>
      <c r="F63" s="20"/>
      <c r="G63" s="21"/>
      <c r="H63" s="49"/>
    </row>
    <row r="64" spans="1:15" s="4" customFormat="1" ht="12.75">
      <c r="A64" s="47"/>
      <c r="B64" s="48"/>
      <c r="C64" s="19" t="s">
        <v>75</v>
      </c>
      <c r="D64" s="20" t="s">
        <v>78</v>
      </c>
      <c r="E64" s="20">
        <v>144</v>
      </c>
      <c r="F64" s="20" t="s">
        <v>77</v>
      </c>
      <c r="G64" s="21">
        <v>45698</v>
      </c>
      <c r="H64" s="49">
        <v>40068384</v>
      </c>
    </row>
    <row r="65" spans="1:8" s="4" customFormat="1" ht="12.75">
      <c r="A65" s="47"/>
      <c r="B65" s="48"/>
      <c r="C65" s="19" t="s">
        <v>75</v>
      </c>
      <c r="D65" s="20" t="s">
        <v>78</v>
      </c>
      <c r="E65" s="20">
        <v>144</v>
      </c>
      <c r="F65" s="20"/>
      <c r="G65" s="21"/>
      <c r="H65" s="49"/>
    </row>
    <row r="66" spans="1:8" s="4" customFormat="1" ht="12.75">
      <c r="A66" s="47"/>
      <c r="B66" s="48"/>
      <c r="C66" s="89" t="s">
        <v>75</v>
      </c>
      <c r="D66" s="90" t="s">
        <v>134</v>
      </c>
      <c r="E66" s="90">
        <v>48</v>
      </c>
      <c r="F66" s="90" t="s">
        <v>77</v>
      </c>
      <c r="G66" s="91">
        <v>45706</v>
      </c>
      <c r="H66" s="93">
        <v>40070693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20"/>
      <c r="E68" s="70">
        <f>SUM(E53:E67)</f>
        <v>1344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45695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7"/>
      <c r="B72" s="48"/>
      <c r="C72" s="20" t="s">
        <v>48</v>
      </c>
      <c r="D72" s="20" t="s">
        <v>72</v>
      </c>
      <c r="E72" s="20">
        <v>432</v>
      </c>
      <c r="F72" s="20" t="s">
        <v>70</v>
      </c>
      <c r="G72" s="21">
        <v>45698</v>
      </c>
      <c r="H72" s="49">
        <v>12523956</v>
      </c>
    </row>
    <row r="73" spans="1:8" s="4" customFormat="1" ht="12.75">
      <c r="A73" s="47"/>
      <c r="B73" s="48"/>
      <c r="C73" s="20" t="s">
        <v>48</v>
      </c>
      <c r="D73" s="20" t="s">
        <v>72</v>
      </c>
      <c r="E73" s="20">
        <v>288</v>
      </c>
      <c r="F73" s="20" t="s">
        <v>70</v>
      </c>
      <c r="G73" s="21">
        <v>45705</v>
      </c>
      <c r="H73" s="49">
        <v>12541567</v>
      </c>
    </row>
    <row r="74" spans="1:8" s="4" customFormat="1" ht="12.75">
      <c r="A74" s="47"/>
      <c r="B74" s="48"/>
      <c r="C74" s="90" t="s">
        <v>75</v>
      </c>
      <c r="D74" s="90" t="s">
        <v>65</v>
      </c>
      <c r="E74" s="90">
        <v>48</v>
      </c>
      <c r="F74" s="90" t="s">
        <v>77</v>
      </c>
      <c r="G74" s="91">
        <v>45706</v>
      </c>
      <c r="H74" s="93">
        <v>40070693</v>
      </c>
    </row>
    <row r="75" spans="1:8" s="4" customFormat="1" ht="12.75">
      <c r="A75" s="47"/>
      <c r="B75" s="48"/>
      <c r="C75" s="90" t="s">
        <v>48</v>
      </c>
      <c r="D75" s="90" t="s">
        <v>65</v>
      </c>
      <c r="E75" s="90">
        <v>336</v>
      </c>
      <c r="F75" s="90" t="s">
        <v>70</v>
      </c>
      <c r="G75" s="91">
        <v>45698</v>
      </c>
      <c r="H75" s="93">
        <v>12523951</v>
      </c>
    </row>
    <row r="76" spans="1:8" s="4" customFormat="1" ht="12.75">
      <c r="A76" s="47"/>
      <c r="B76" s="48"/>
      <c r="C76" s="90" t="s">
        <v>48</v>
      </c>
      <c r="D76" s="90" t="s">
        <v>83</v>
      </c>
      <c r="E76" s="90">
        <v>336</v>
      </c>
      <c r="F76" s="90" t="s">
        <v>70</v>
      </c>
      <c r="G76" s="91">
        <v>45698</v>
      </c>
      <c r="H76" s="93">
        <v>12523956</v>
      </c>
    </row>
    <row r="77" spans="1:8" s="4" customFormat="1" ht="12.75">
      <c r="A77" s="47"/>
      <c r="B77" s="48"/>
      <c r="C77" s="90"/>
      <c r="D77" s="90"/>
      <c r="E77" s="90"/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1440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45696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E6D-7354-48FC-B0D3-3DB1F702F7AE}">
  <dimension ref="A3:P99"/>
  <sheetViews>
    <sheetView topLeftCell="A39" workbookViewId="0">
      <selection activeCell="E54" sqref="E5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65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45708</v>
      </c>
      <c r="H8" s="49">
        <v>245308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63</v>
      </c>
      <c r="E9" s="20">
        <v>180</v>
      </c>
      <c r="F9" s="20" t="s">
        <v>88</v>
      </c>
      <c r="G9" s="21">
        <v>45708</v>
      </c>
      <c r="H9" s="49">
        <v>245308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63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180</v>
      </c>
      <c r="F11" s="20" t="s">
        <v>88</v>
      </c>
      <c r="G11" s="21">
        <v>45708</v>
      </c>
      <c r="H11" s="49">
        <v>245308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67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64</v>
      </c>
      <c r="E13" s="20">
        <v>240</v>
      </c>
      <c r="F13" s="20" t="s">
        <v>88</v>
      </c>
      <c r="G13" s="21">
        <v>45708</v>
      </c>
      <c r="H13" s="49">
        <v>245308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20" t="s">
        <v>92</v>
      </c>
      <c r="E14" s="20">
        <v>108</v>
      </c>
      <c r="F14" s="20" t="s">
        <v>88</v>
      </c>
      <c r="G14" s="21">
        <v>45708</v>
      </c>
      <c r="H14" s="49">
        <v>245308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20" t="s">
        <v>91</v>
      </c>
      <c r="E15" s="20">
        <v>108</v>
      </c>
      <c r="F15" s="20" t="s">
        <v>88</v>
      </c>
      <c r="G15" s="21">
        <v>45708</v>
      </c>
      <c r="H15" s="49">
        <v>245308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20" t="s">
        <v>91</v>
      </c>
      <c r="E16" s="20">
        <v>108</v>
      </c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45708</v>
      </c>
      <c r="H17" s="49">
        <v>245308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143</v>
      </c>
      <c r="E18" s="20">
        <v>30</v>
      </c>
      <c r="F18" s="20" t="s">
        <v>88</v>
      </c>
      <c r="G18" s="21">
        <v>45708</v>
      </c>
      <c r="H18" s="49">
        <v>245308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3</v>
      </c>
      <c r="D25" s="20" t="s">
        <v>135</v>
      </c>
      <c r="E25" s="20">
        <v>108</v>
      </c>
      <c r="F25" s="20"/>
      <c r="G25" s="21">
        <v>45705</v>
      </c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3</v>
      </c>
      <c r="D26" s="20" t="s">
        <v>86</v>
      </c>
      <c r="E26" s="20">
        <v>180</v>
      </c>
      <c r="F26" s="20"/>
      <c r="G26" s="21">
        <v>45705</v>
      </c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136</v>
      </c>
      <c r="D27" s="20" t="s">
        <v>86</v>
      </c>
      <c r="E27" s="20">
        <v>300</v>
      </c>
      <c r="F27" s="20"/>
      <c r="G27" s="21">
        <v>45712</v>
      </c>
      <c r="H27" s="22">
        <v>10071559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65" t="s">
        <v>61</v>
      </c>
      <c r="E29" s="20">
        <v>96</v>
      </c>
      <c r="F29" s="20" t="s">
        <v>77</v>
      </c>
      <c r="G29" s="21">
        <v>45706</v>
      </c>
      <c r="H29" s="49">
        <v>40070693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75</v>
      </c>
      <c r="D30" s="20" t="s">
        <v>64</v>
      </c>
      <c r="E30" s="20">
        <v>96</v>
      </c>
      <c r="F30" s="20" t="s">
        <v>77</v>
      </c>
      <c r="G30" s="21">
        <v>45706</v>
      </c>
      <c r="H30" s="49">
        <v>40070693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16" t="s">
        <v>75</v>
      </c>
      <c r="D31" s="94" t="s">
        <v>89</v>
      </c>
      <c r="E31" s="94">
        <v>144</v>
      </c>
      <c r="F31" s="94" t="s">
        <v>77</v>
      </c>
      <c r="G31" s="95">
        <v>45706</v>
      </c>
      <c r="H31" s="102">
        <v>40070693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924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 t="s">
        <v>138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20" t="s">
        <v>53</v>
      </c>
      <c r="D55" s="20" t="s">
        <v>61</v>
      </c>
      <c r="E55" s="20">
        <v>288</v>
      </c>
      <c r="F55" s="20" t="s">
        <v>59</v>
      </c>
      <c r="G55" s="21">
        <v>45706</v>
      </c>
      <c r="H55" s="49">
        <v>318826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20" t="s">
        <v>59</v>
      </c>
      <c r="G56" s="21">
        <v>45705</v>
      </c>
      <c r="H56" s="49">
        <v>318825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64</v>
      </c>
      <c r="E57" s="20">
        <v>384</v>
      </c>
      <c r="F57" s="20" t="s">
        <v>59</v>
      </c>
      <c r="G57" s="21">
        <v>45706</v>
      </c>
      <c r="H57" s="49">
        <v>318826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53</v>
      </c>
      <c r="D58" s="99" t="s">
        <v>65</v>
      </c>
      <c r="E58" s="90">
        <v>288</v>
      </c>
      <c r="F58" s="90" t="s">
        <v>59</v>
      </c>
      <c r="G58" s="91">
        <v>45714</v>
      </c>
      <c r="H58" s="93">
        <v>319138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1680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288</v>
      </c>
      <c r="F70" s="20" t="s">
        <v>59</v>
      </c>
      <c r="G70" s="21">
        <v>45705</v>
      </c>
      <c r="H70" s="49">
        <v>318825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384</v>
      </c>
      <c r="F71" s="20" t="s">
        <v>59</v>
      </c>
      <c r="G71" s="21">
        <v>45705</v>
      </c>
      <c r="H71" s="49">
        <v>318825</v>
      </c>
    </row>
    <row r="72" spans="1:8" s="4" customFormat="1" ht="12.75">
      <c r="A72" s="47"/>
      <c r="B72" s="48"/>
      <c r="C72" s="20" t="s">
        <v>53</v>
      </c>
      <c r="D72" s="20" t="s">
        <v>133</v>
      </c>
      <c r="E72" s="20">
        <v>54</v>
      </c>
      <c r="F72" s="20" t="s">
        <v>59</v>
      </c>
      <c r="G72" s="21">
        <v>45706</v>
      </c>
      <c r="H72" s="49">
        <v>318826</v>
      </c>
    </row>
    <row r="73" spans="1:8" s="4" customFormat="1" ht="12.75">
      <c r="A73" s="47"/>
      <c r="B73" s="48"/>
      <c r="C73" s="20" t="s">
        <v>53</v>
      </c>
      <c r="D73" s="20" t="s">
        <v>133</v>
      </c>
      <c r="E73" s="20">
        <v>288</v>
      </c>
      <c r="F73" s="20" t="s">
        <v>59</v>
      </c>
      <c r="G73" s="21">
        <v>45719</v>
      </c>
      <c r="H73" s="49">
        <v>319253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288</v>
      </c>
      <c r="F74" s="20" t="s">
        <v>59</v>
      </c>
      <c r="G74" s="21">
        <v>45706</v>
      </c>
      <c r="H74" s="49">
        <v>318826</v>
      </c>
    </row>
    <row r="75" spans="1:8" s="4" customFormat="1" ht="12.75">
      <c r="A75" s="47"/>
      <c r="B75" s="48"/>
      <c r="C75" s="20" t="s">
        <v>53</v>
      </c>
      <c r="D75" s="20" t="s">
        <v>134</v>
      </c>
      <c r="E75" s="20">
        <v>384</v>
      </c>
      <c r="F75" s="20" t="s">
        <v>59</v>
      </c>
      <c r="G75" s="21">
        <v>45719</v>
      </c>
      <c r="H75" s="49">
        <v>319253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1686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45703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4994-1B85-4B5C-B4BD-7178C461DD8F}">
  <dimension ref="A3:P97"/>
  <sheetViews>
    <sheetView workbookViewId="0">
      <selection activeCell="E62" sqref="E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45705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108</v>
      </c>
      <c r="E7" s="20">
        <v>105</v>
      </c>
      <c r="F7" s="20" t="s">
        <v>77</v>
      </c>
      <c r="G7" s="21">
        <v>45706</v>
      </c>
      <c r="H7" s="49">
        <v>40070693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108</v>
      </c>
      <c r="E8" s="20">
        <v>105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111</v>
      </c>
      <c r="E9" s="20">
        <v>105</v>
      </c>
      <c r="F9" s="20" t="s">
        <v>77</v>
      </c>
      <c r="G9" s="21">
        <v>45706</v>
      </c>
      <c r="H9" s="49">
        <v>40070693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111</v>
      </c>
      <c r="E10" s="20">
        <v>105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20" t="s">
        <v>75</v>
      </c>
      <c r="D11" s="20" t="s">
        <v>112</v>
      </c>
      <c r="E11" s="20">
        <v>105</v>
      </c>
      <c r="F11" s="20" t="s">
        <v>77</v>
      </c>
      <c r="G11" s="21">
        <v>45706</v>
      </c>
      <c r="H11" s="49">
        <v>40070693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75</v>
      </c>
      <c r="D12" s="20" t="s">
        <v>112</v>
      </c>
      <c r="E12" s="20">
        <v>105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20" t="s">
        <v>75</v>
      </c>
      <c r="D13" s="20" t="s">
        <v>113</v>
      </c>
      <c r="E13" s="20">
        <v>105</v>
      </c>
      <c r="F13" s="20" t="s">
        <v>77</v>
      </c>
      <c r="G13" s="21">
        <v>45706</v>
      </c>
      <c r="H13" s="49">
        <v>40070693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113</v>
      </c>
      <c r="E14" s="20">
        <v>105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 t="s">
        <v>75</v>
      </c>
      <c r="D15" s="65" t="s">
        <v>110</v>
      </c>
      <c r="E15" s="20">
        <v>105</v>
      </c>
      <c r="F15" s="20" t="s">
        <v>77</v>
      </c>
      <c r="G15" s="21">
        <v>45706</v>
      </c>
      <c r="H15" s="49">
        <v>40070693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 t="s">
        <v>75</v>
      </c>
      <c r="D16" s="65" t="s">
        <v>110</v>
      </c>
      <c r="E16" s="20">
        <v>105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 t="s">
        <v>75</v>
      </c>
      <c r="D17" s="20" t="s">
        <v>109</v>
      </c>
      <c r="E17" s="20">
        <v>105</v>
      </c>
      <c r="F17" s="20" t="s">
        <v>77</v>
      </c>
      <c r="G17" s="21">
        <v>45706</v>
      </c>
      <c r="H17" s="49">
        <v>40070693</v>
      </c>
      <c r="J17" s="25" t="s">
        <v>23</v>
      </c>
      <c r="K17" s="26" t="s">
        <v>14</v>
      </c>
      <c r="L17" s="29"/>
      <c r="M17" s="26"/>
    </row>
    <row r="18" spans="1:13">
      <c r="C18" s="20" t="s">
        <v>75</v>
      </c>
      <c r="D18" s="20" t="s">
        <v>109</v>
      </c>
      <c r="E18" s="20">
        <v>105</v>
      </c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89" t="s">
        <v>139</v>
      </c>
      <c r="D20" s="99" t="s">
        <v>101</v>
      </c>
      <c r="E20" s="90">
        <v>54</v>
      </c>
      <c r="F20" s="90" t="s">
        <v>88</v>
      </c>
      <c r="G20" s="91">
        <v>45707</v>
      </c>
      <c r="H20" s="93">
        <v>245279</v>
      </c>
      <c r="J20" s="34" t="s">
        <v>26</v>
      </c>
      <c r="K20" s="26"/>
      <c r="L20" s="26" t="s">
        <v>14</v>
      </c>
      <c r="M20" s="26"/>
    </row>
    <row r="21" spans="1:13">
      <c r="C21" s="89" t="s">
        <v>139</v>
      </c>
      <c r="D21" s="99" t="s">
        <v>101</v>
      </c>
      <c r="E21" s="90">
        <v>324</v>
      </c>
      <c r="F21" s="90"/>
      <c r="G21" s="91"/>
      <c r="H21" s="93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65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65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61</v>
      </c>
      <c r="E54" s="20">
        <v>288</v>
      </c>
      <c r="F54" s="20" t="s">
        <v>59</v>
      </c>
      <c r="G54" s="21">
        <v>45719</v>
      </c>
      <c r="H54" s="49">
        <v>319253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61</v>
      </c>
      <c r="E55" s="20">
        <v>288</v>
      </c>
      <c r="F55" s="20" t="s">
        <v>59</v>
      </c>
      <c r="G55" s="21">
        <v>45726</v>
      </c>
      <c r="H55" s="49">
        <v>319479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76</v>
      </c>
      <c r="E56" s="20">
        <v>288</v>
      </c>
      <c r="F56" s="20" t="s">
        <v>59</v>
      </c>
      <c r="G56" s="21">
        <v>45720</v>
      </c>
      <c r="H56" s="49">
        <v>319254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63</v>
      </c>
      <c r="E57" s="20">
        <v>384</v>
      </c>
      <c r="F57" s="20" t="s">
        <v>59</v>
      </c>
      <c r="G57" s="21">
        <v>45720</v>
      </c>
      <c r="H57" s="49">
        <v>319254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139</v>
      </c>
      <c r="D61" s="99" t="s">
        <v>101</v>
      </c>
      <c r="E61" s="90">
        <v>96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64</v>
      </c>
      <c r="E70" s="20">
        <v>288</v>
      </c>
      <c r="F70" s="20" t="s">
        <v>59</v>
      </c>
      <c r="G70" s="21">
        <v>45719</v>
      </c>
      <c r="H70" s="49">
        <v>319253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288</v>
      </c>
      <c r="F71" s="20" t="s">
        <v>59</v>
      </c>
      <c r="G71" s="21">
        <v>45720</v>
      </c>
      <c r="H71" s="49">
        <v>319254</v>
      </c>
    </row>
    <row r="72" spans="1:8" s="4" customFormat="1" ht="12.75">
      <c r="A72" s="47"/>
      <c r="B72" s="48"/>
      <c r="C72" s="20" t="s">
        <v>53</v>
      </c>
      <c r="D72" s="20" t="s">
        <v>64</v>
      </c>
      <c r="E72" s="20">
        <v>384</v>
      </c>
      <c r="F72" s="20" t="s">
        <v>59</v>
      </c>
      <c r="G72" s="21">
        <v>45726</v>
      </c>
      <c r="H72" s="49">
        <v>319479</v>
      </c>
    </row>
    <row r="73" spans="1:8" s="4" customFormat="1" ht="12.75">
      <c r="A73" s="47"/>
      <c r="B73" s="48"/>
      <c r="C73" s="19" t="s">
        <v>53</v>
      </c>
      <c r="D73" s="65" t="s">
        <v>68</v>
      </c>
      <c r="E73" s="20">
        <v>288</v>
      </c>
      <c r="F73" s="20" t="s">
        <v>59</v>
      </c>
      <c r="G73" s="21">
        <v>45720</v>
      </c>
      <c r="H73" s="49">
        <v>319254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192</v>
      </c>
      <c r="F74" s="20" t="s">
        <v>59</v>
      </c>
      <c r="G74" s="21">
        <v>45719</v>
      </c>
      <c r="H74" s="49">
        <v>319253</v>
      </c>
    </row>
    <row r="75" spans="1:8" s="4" customFormat="1" ht="12.75">
      <c r="A75" s="47"/>
      <c r="B75" s="48"/>
      <c r="C75" s="20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0D0B-6247-49F5-89AD-D02AF719A535}">
  <dimension ref="A3:P97"/>
  <sheetViews>
    <sheetView topLeftCell="A3" workbookViewId="0">
      <selection activeCell="F66" sqref="F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5" t="s">
        <v>137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11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90</v>
      </c>
      <c r="D13" s="20" t="s">
        <v>97</v>
      </c>
      <c r="E13" s="20">
        <v>108</v>
      </c>
      <c r="F13" s="20" t="s">
        <v>95</v>
      </c>
      <c r="G13" s="21">
        <v>45726</v>
      </c>
      <c r="H13" s="49">
        <v>757654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90</v>
      </c>
      <c r="D14" s="20" t="s">
        <v>100</v>
      </c>
      <c r="E14" s="20">
        <v>108</v>
      </c>
      <c r="F14" s="20" t="s">
        <v>95</v>
      </c>
      <c r="G14" s="21">
        <v>45726</v>
      </c>
      <c r="H14" s="49">
        <v>757654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03" t="s">
        <v>90</v>
      </c>
      <c r="D15" s="100" t="s">
        <v>96</v>
      </c>
      <c r="E15" s="100">
        <v>54</v>
      </c>
      <c r="F15" s="100" t="s">
        <v>95</v>
      </c>
      <c r="G15" s="101">
        <v>45726</v>
      </c>
      <c r="H15" s="104">
        <v>757654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270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11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53</v>
      </c>
      <c r="D57" s="20" t="s">
        <v>144</v>
      </c>
      <c r="E57" s="20">
        <v>288</v>
      </c>
      <c r="F57" s="20" t="s">
        <v>59</v>
      </c>
      <c r="G57" s="21">
        <v>45726</v>
      </c>
      <c r="H57" s="49">
        <v>319479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53</v>
      </c>
      <c r="D58" s="20" t="s">
        <v>144</v>
      </c>
      <c r="E58" s="20">
        <v>336</v>
      </c>
      <c r="F58" s="20" t="s">
        <v>59</v>
      </c>
      <c r="G58" s="21">
        <v>45733</v>
      </c>
      <c r="H58" s="49">
        <v>319698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53</v>
      </c>
      <c r="D59" s="20" t="s">
        <v>134</v>
      </c>
      <c r="E59" s="20">
        <v>288</v>
      </c>
      <c r="F59" s="20" t="s">
        <v>59</v>
      </c>
      <c r="G59" s="21">
        <v>45726</v>
      </c>
      <c r="H59" s="49">
        <v>319479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20" t="s">
        <v>53</v>
      </c>
      <c r="D60" s="20" t="s">
        <v>134</v>
      </c>
      <c r="E60" s="20">
        <v>288</v>
      </c>
      <c r="F60" s="20" t="s">
        <v>59</v>
      </c>
      <c r="G60" s="21">
        <v>45733</v>
      </c>
      <c r="H60" s="49">
        <v>319698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94</v>
      </c>
      <c r="D62" s="20" t="s">
        <v>146</v>
      </c>
      <c r="E62" s="20">
        <v>54</v>
      </c>
      <c r="F62" s="20" t="s">
        <v>147</v>
      </c>
      <c r="G62" s="21"/>
      <c r="H62" s="49">
        <v>58267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78</v>
      </c>
      <c r="E63" s="20">
        <v>48</v>
      </c>
      <c r="F63" s="20" t="s">
        <v>77</v>
      </c>
      <c r="G63" s="21">
        <v>45733</v>
      </c>
      <c r="H63" s="49">
        <v>40073170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1302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45716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60</v>
      </c>
      <c r="D70" s="20" t="s">
        <v>63</v>
      </c>
      <c r="E70" s="20">
        <v>48</v>
      </c>
      <c r="F70" s="20" t="s">
        <v>82</v>
      </c>
      <c r="G70" s="21">
        <v>45719</v>
      </c>
      <c r="H70" s="49">
        <v>1628894</v>
      </c>
    </row>
    <row r="71" spans="1:8" s="4" customFormat="1" ht="12.75">
      <c r="A71" s="47"/>
      <c r="B71" s="48"/>
      <c r="C71" s="20" t="s">
        <v>60</v>
      </c>
      <c r="D71" s="20" t="s">
        <v>74</v>
      </c>
      <c r="E71" s="20">
        <v>480</v>
      </c>
      <c r="F71" s="20" t="s">
        <v>82</v>
      </c>
      <c r="G71" s="21">
        <v>45719</v>
      </c>
      <c r="H71" s="49">
        <v>1628894</v>
      </c>
    </row>
    <row r="72" spans="1:8" s="4" customFormat="1" ht="12.75">
      <c r="A72" s="47"/>
      <c r="B72" s="48"/>
      <c r="C72" s="90" t="s">
        <v>60</v>
      </c>
      <c r="D72" s="90" t="s">
        <v>65</v>
      </c>
      <c r="E72" s="90">
        <v>720</v>
      </c>
      <c r="F72" s="90" t="s">
        <v>82</v>
      </c>
      <c r="G72" s="91">
        <v>45719</v>
      </c>
      <c r="H72" s="93">
        <v>1628894</v>
      </c>
    </row>
    <row r="73" spans="1:8" s="4" customFormat="1" ht="12.75">
      <c r="A73" s="47"/>
      <c r="B73" s="48"/>
      <c r="C73" s="20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90</v>
      </c>
      <c r="D74" s="90" t="s">
        <v>65</v>
      </c>
      <c r="E74" s="90">
        <v>54</v>
      </c>
      <c r="F74" s="90" t="s">
        <v>95</v>
      </c>
      <c r="G74" s="91">
        <v>45726</v>
      </c>
      <c r="H74" s="93">
        <v>757654</v>
      </c>
    </row>
    <row r="75" spans="1:8" s="4" customFormat="1" ht="12.75">
      <c r="A75" s="47"/>
      <c r="B75" s="48"/>
      <c r="C75" s="20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20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20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20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20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1302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3CA1-759F-4D27-97C0-B02752889C9D}">
  <dimension ref="A3:P97"/>
  <sheetViews>
    <sheetView workbookViewId="0">
      <selection activeCell="C70" sqref="C70:H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62</v>
      </c>
      <c r="E7" s="20">
        <v>192</v>
      </c>
      <c r="F7" s="20" t="s">
        <v>77</v>
      </c>
      <c r="G7" s="21">
        <v>45722</v>
      </c>
      <c r="H7" s="49">
        <v>40071791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63</v>
      </c>
      <c r="E8" s="20">
        <v>192</v>
      </c>
      <c r="F8" s="20" t="s">
        <v>77</v>
      </c>
      <c r="G8" s="21">
        <v>45722</v>
      </c>
      <c r="H8" s="49">
        <v>40071791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64</v>
      </c>
      <c r="E9" s="20">
        <v>192</v>
      </c>
      <c r="F9" s="20" t="s">
        <v>77</v>
      </c>
      <c r="G9" s="21">
        <v>45722</v>
      </c>
      <c r="H9" s="49">
        <v>40071791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68</v>
      </c>
      <c r="E10" s="20">
        <v>192</v>
      </c>
      <c r="F10" s="20" t="s">
        <v>77</v>
      </c>
      <c r="G10" s="21">
        <v>45722</v>
      </c>
      <c r="H10" s="49">
        <v>40071791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90" t="s">
        <v>75</v>
      </c>
      <c r="D11" s="99" t="s">
        <v>83</v>
      </c>
      <c r="E11" s="90">
        <v>48</v>
      </c>
      <c r="F11" s="90" t="s">
        <v>77</v>
      </c>
      <c r="G11" s="91">
        <v>45722</v>
      </c>
      <c r="H11" s="93">
        <v>40071791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90" t="s">
        <v>75</v>
      </c>
      <c r="D12" s="99" t="s">
        <v>83</v>
      </c>
      <c r="E12" s="90">
        <v>96</v>
      </c>
      <c r="F12" s="90" t="s">
        <v>77</v>
      </c>
      <c r="G12" s="91">
        <v>45733</v>
      </c>
      <c r="H12" s="93">
        <v>40073170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90" t="s">
        <v>75</v>
      </c>
      <c r="D13" s="90" t="s">
        <v>80</v>
      </c>
      <c r="E13" s="90">
        <v>144</v>
      </c>
      <c r="F13" s="90" t="s">
        <v>77</v>
      </c>
      <c r="G13" s="91">
        <v>45722</v>
      </c>
      <c r="H13" s="93">
        <v>40071791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90" t="s">
        <v>75</v>
      </c>
      <c r="D14" s="90" t="s">
        <v>80</v>
      </c>
      <c r="E14" s="90">
        <v>144</v>
      </c>
      <c r="F14" s="90" t="s">
        <v>77</v>
      </c>
      <c r="G14" s="91">
        <v>45733</v>
      </c>
      <c r="H14" s="93">
        <v>40073170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90" t="s">
        <v>75</v>
      </c>
      <c r="D15" s="90" t="s">
        <v>134</v>
      </c>
      <c r="E15" s="90">
        <v>96</v>
      </c>
      <c r="F15" s="90" t="s">
        <v>77</v>
      </c>
      <c r="G15" s="91">
        <v>45722</v>
      </c>
      <c r="H15" s="93">
        <v>40071791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0" t="s">
        <v>134</v>
      </c>
      <c r="E16" s="90">
        <v>144</v>
      </c>
      <c r="F16" s="90" t="s">
        <v>77</v>
      </c>
      <c r="G16" s="91">
        <v>45733</v>
      </c>
      <c r="H16" s="93">
        <v>40073170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140</v>
      </c>
      <c r="D54" s="65" t="s">
        <v>61</v>
      </c>
      <c r="E54" s="20">
        <v>144</v>
      </c>
      <c r="F54" s="20" t="s">
        <v>140</v>
      </c>
      <c r="G54" s="21">
        <v>45723</v>
      </c>
      <c r="H54" s="49">
        <v>125020030</v>
      </c>
      <c r="J54" s="3"/>
      <c r="K54" s="3"/>
      <c r="L54" s="3"/>
    </row>
    <row r="55" spans="1:15">
      <c r="A55" s="47"/>
      <c r="B55" s="48"/>
      <c r="C55" s="19" t="s">
        <v>140</v>
      </c>
      <c r="D55" s="65" t="s">
        <v>141</v>
      </c>
      <c r="E55" s="20">
        <v>192</v>
      </c>
      <c r="F55" s="20" t="s">
        <v>140</v>
      </c>
      <c r="G55" s="21">
        <v>45723</v>
      </c>
      <c r="H55" s="49">
        <v>125020030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64</v>
      </c>
      <c r="E56" s="20">
        <v>432</v>
      </c>
      <c r="F56" s="20" t="s">
        <v>140</v>
      </c>
      <c r="G56" s="21">
        <v>45723</v>
      </c>
      <c r="H56" s="49">
        <v>125020030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192</v>
      </c>
      <c r="F57" s="20" t="s">
        <v>140</v>
      </c>
      <c r="G57" s="21">
        <v>45723</v>
      </c>
      <c r="H57" s="49">
        <v>125020030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68</v>
      </c>
      <c r="E58" s="20">
        <v>192</v>
      </c>
      <c r="F58" s="20" t="s">
        <v>140</v>
      </c>
      <c r="G58" s="21">
        <v>45723</v>
      </c>
      <c r="H58" s="49">
        <v>125020030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45723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240</v>
      </c>
      <c r="F70" s="20" t="s">
        <v>70</v>
      </c>
      <c r="G70" s="21">
        <v>45726</v>
      </c>
      <c r="H70" s="49">
        <v>12593077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45726</v>
      </c>
      <c r="H71" s="49">
        <v>12593077</v>
      </c>
    </row>
    <row r="72" spans="1:8" s="4" customFormat="1" ht="12.75">
      <c r="A72" s="47"/>
      <c r="B72" s="48"/>
      <c r="C72" s="19" t="s">
        <v>75</v>
      </c>
      <c r="D72" s="20" t="s">
        <v>76</v>
      </c>
      <c r="E72" s="20">
        <v>48</v>
      </c>
      <c r="F72" s="20" t="s">
        <v>77</v>
      </c>
      <c r="G72" s="21">
        <v>45733</v>
      </c>
      <c r="H72" s="49">
        <v>40073170</v>
      </c>
    </row>
    <row r="73" spans="1:8" s="4" customFormat="1" ht="12.75">
      <c r="A73" s="47"/>
      <c r="B73" s="48"/>
      <c r="C73" s="19" t="s">
        <v>48</v>
      </c>
      <c r="D73" s="20" t="s">
        <v>71</v>
      </c>
      <c r="E73" s="20">
        <v>96</v>
      </c>
      <c r="F73" s="20" t="s">
        <v>70</v>
      </c>
      <c r="G73" s="21">
        <v>45726</v>
      </c>
      <c r="H73" s="49">
        <v>12593077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96</v>
      </c>
      <c r="F74" s="20" t="s">
        <v>77</v>
      </c>
      <c r="G74" s="21">
        <v>45733</v>
      </c>
      <c r="H74" s="49">
        <v>40073170</v>
      </c>
    </row>
    <row r="75" spans="1:8" s="4" customFormat="1" ht="12.75">
      <c r="A75" s="47"/>
      <c r="B75" s="48"/>
      <c r="C75" s="19" t="s">
        <v>75</v>
      </c>
      <c r="D75" s="20" t="s">
        <v>58</v>
      </c>
      <c r="E75" s="20">
        <v>144</v>
      </c>
      <c r="F75" s="20" t="s">
        <v>77</v>
      </c>
      <c r="G75" s="21">
        <v>45733</v>
      </c>
      <c r="H75" s="49">
        <v>40073170</v>
      </c>
    </row>
    <row r="76" spans="1:8" s="4" customFormat="1" ht="12.75">
      <c r="A76" s="56"/>
      <c r="B76" s="57"/>
      <c r="C76" s="19" t="s">
        <v>48</v>
      </c>
      <c r="D76" s="20" t="s">
        <v>64</v>
      </c>
      <c r="E76" s="20">
        <v>240</v>
      </c>
      <c r="F76" s="20" t="s">
        <v>70</v>
      </c>
      <c r="G76" s="21">
        <v>45726</v>
      </c>
      <c r="H76" s="49">
        <v>12593077</v>
      </c>
    </row>
    <row r="77" spans="1:8" s="4" customFormat="1" ht="12.75">
      <c r="A77" s="56"/>
      <c r="B77" s="57"/>
      <c r="C77" s="19" t="s">
        <v>75</v>
      </c>
      <c r="D77" s="20" t="s">
        <v>68</v>
      </c>
      <c r="E77" s="20">
        <v>96</v>
      </c>
      <c r="F77" s="20" t="s">
        <v>77</v>
      </c>
      <c r="G77" s="21">
        <v>45733</v>
      </c>
      <c r="H77" s="49">
        <v>40073170</v>
      </c>
    </row>
    <row r="78" spans="1:8" s="4" customFormat="1" ht="12.75">
      <c r="A78" s="56"/>
      <c r="B78" s="57"/>
      <c r="C78" s="89" t="s">
        <v>48</v>
      </c>
      <c r="D78" s="99" t="s">
        <v>65</v>
      </c>
      <c r="E78" s="90">
        <v>96</v>
      </c>
      <c r="F78" s="90" t="s">
        <v>70</v>
      </c>
      <c r="G78" s="91">
        <v>45726</v>
      </c>
      <c r="H78" s="93">
        <v>12593077</v>
      </c>
    </row>
    <row r="79" spans="1:8" s="4" customFormat="1" ht="12.75">
      <c r="A79" s="56"/>
      <c r="B79" s="57"/>
      <c r="C79" s="89" t="s">
        <v>75</v>
      </c>
      <c r="D79" s="99" t="s">
        <v>65</v>
      </c>
      <c r="E79" s="90">
        <v>96</v>
      </c>
      <c r="F79" s="90" t="s">
        <v>77</v>
      </c>
      <c r="G79" s="91">
        <v>45733</v>
      </c>
      <c r="H79" s="93">
        <v>40073170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45724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0489-33EC-487E-886C-836585CB4374}">
  <dimension ref="A3:P97"/>
  <sheetViews>
    <sheetView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45726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 t="s">
        <v>88</v>
      </c>
      <c r="G7" s="21">
        <v>45729</v>
      </c>
      <c r="H7" s="49">
        <v>245528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 t="s">
        <v>88</v>
      </c>
      <c r="G8" s="21">
        <v>45729</v>
      </c>
      <c r="H8" s="49">
        <v>245528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 t="s">
        <v>88</v>
      </c>
      <c r="G9" s="21">
        <v>45729</v>
      </c>
      <c r="H9" s="49">
        <v>245528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 t="s">
        <v>88</v>
      </c>
      <c r="G10" s="21">
        <v>45729</v>
      </c>
      <c r="H10" s="49">
        <v>245528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 t="s">
        <v>88</v>
      </c>
      <c r="G11" s="21">
        <v>45729</v>
      </c>
      <c r="H11" s="49">
        <v>245528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 t="s">
        <v>88</v>
      </c>
      <c r="G12" s="21">
        <v>45729</v>
      </c>
      <c r="H12" s="49">
        <v>245528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76</v>
      </c>
      <c r="E15" s="20">
        <v>240</v>
      </c>
      <c r="F15" s="20" t="s">
        <v>59</v>
      </c>
      <c r="G15" s="21">
        <v>45740</v>
      </c>
      <c r="H15" s="49">
        <v>319934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145</v>
      </c>
      <c r="D54" s="20" t="s">
        <v>74</v>
      </c>
      <c r="E54" s="20">
        <v>72</v>
      </c>
      <c r="F54" s="20" t="s">
        <v>145</v>
      </c>
      <c r="G54" s="21">
        <v>45733</v>
      </c>
      <c r="H54" s="49">
        <v>15631699</v>
      </c>
      <c r="J54" s="3"/>
      <c r="K54" s="3"/>
      <c r="L54" s="3"/>
    </row>
    <row r="55" spans="1:15">
      <c r="A55" s="47"/>
      <c r="B55" s="48"/>
      <c r="C55" s="20" t="s">
        <v>145</v>
      </c>
      <c r="D55" s="20" t="s">
        <v>63</v>
      </c>
      <c r="E55" s="20">
        <v>864</v>
      </c>
      <c r="F55" s="20" t="s">
        <v>145</v>
      </c>
      <c r="G55" s="21">
        <v>45733</v>
      </c>
      <c r="H55" s="49">
        <v>15631699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63</v>
      </c>
      <c r="E57" s="20">
        <v>96</v>
      </c>
      <c r="F57" s="20" t="s">
        <v>77</v>
      </c>
      <c r="G57" s="21">
        <v>45733</v>
      </c>
      <c r="H57" s="49">
        <v>40073170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20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136</v>
      </c>
      <c r="D70" s="20" t="s">
        <v>86</v>
      </c>
      <c r="E70" s="20">
        <v>240</v>
      </c>
      <c r="F70" s="20" t="s">
        <v>148</v>
      </c>
      <c r="G70" s="21">
        <v>45733</v>
      </c>
      <c r="H70" s="49">
        <v>10071897</v>
      </c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20" t="s">
        <v>53</v>
      </c>
      <c r="D72" s="65" t="s">
        <v>64</v>
      </c>
      <c r="E72" s="20">
        <v>288</v>
      </c>
      <c r="F72" s="20" t="s">
        <v>59</v>
      </c>
      <c r="G72" s="21">
        <v>45733</v>
      </c>
      <c r="H72" s="49">
        <v>319698</v>
      </c>
    </row>
    <row r="73" spans="1:8" s="4" customFormat="1" ht="12.75">
      <c r="A73" s="47"/>
      <c r="B73" s="48"/>
      <c r="C73" s="19" t="s">
        <v>53</v>
      </c>
      <c r="D73" s="20" t="s">
        <v>76</v>
      </c>
      <c r="E73" s="20">
        <v>336</v>
      </c>
      <c r="F73" s="20" t="s">
        <v>59</v>
      </c>
      <c r="G73" s="21">
        <v>45733</v>
      </c>
      <c r="H73" s="49">
        <v>319698</v>
      </c>
    </row>
    <row r="74" spans="1:8" s="4" customFormat="1" ht="12.75">
      <c r="A74" s="47"/>
      <c r="B74" s="48"/>
      <c r="C74" s="19" t="s">
        <v>53</v>
      </c>
      <c r="D74" s="20" t="s">
        <v>76</v>
      </c>
      <c r="E74" s="20">
        <v>48</v>
      </c>
      <c r="F74" s="20" t="s">
        <v>59</v>
      </c>
      <c r="G74" s="21">
        <v>45740</v>
      </c>
      <c r="H74" s="49">
        <v>319934</v>
      </c>
    </row>
    <row r="75" spans="1:8" s="4" customFormat="1" ht="12.75">
      <c r="A75" s="47"/>
      <c r="B75" s="48"/>
      <c r="C75" s="19" t="s">
        <v>53</v>
      </c>
      <c r="D75" s="20" t="s">
        <v>134</v>
      </c>
      <c r="E75" s="20">
        <v>288</v>
      </c>
      <c r="F75" s="20" t="s">
        <v>59</v>
      </c>
      <c r="G75" s="21">
        <v>45740</v>
      </c>
      <c r="H75" s="49">
        <v>319934</v>
      </c>
    </row>
    <row r="76" spans="1:8" s="4" customFormat="1" ht="12.75">
      <c r="A76" s="56"/>
      <c r="B76" s="57"/>
      <c r="C76" s="19" t="s">
        <v>53</v>
      </c>
      <c r="D76" s="20" t="s">
        <v>134</v>
      </c>
      <c r="E76" s="20">
        <v>60</v>
      </c>
      <c r="F76" s="20"/>
      <c r="G76" s="21"/>
      <c r="H76" s="22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1260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74B-1DF7-4E8F-8394-88395EE3341D}">
  <dimension ref="A3:P97"/>
  <sheetViews>
    <sheetView topLeftCell="A47" workbookViewId="0">
      <selection activeCell="C70" sqref="C70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45733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150</v>
      </c>
      <c r="D7" s="20" t="s">
        <v>74</v>
      </c>
      <c r="E7" s="20">
        <v>20</v>
      </c>
      <c r="F7" s="20" t="s">
        <v>151</v>
      </c>
      <c r="G7" s="21">
        <v>45734</v>
      </c>
      <c r="H7" s="49">
        <v>2262025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150</v>
      </c>
      <c r="D8" s="65" t="s">
        <v>63</v>
      </c>
      <c r="E8" s="20">
        <v>55</v>
      </c>
      <c r="F8" s="20" t="s">
        <v>151</v>
      </c>
      <c r="G8" s="21">
        <v>45734</v>
      </c>
      <c r="H8" s="49">
        <v>2262025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81</v>
      </c>
      <c r="E9" s="20">
        <v>30</v>
      </c>
      <c r="F9" s="20" t="s">
        <v>151</v>
      </c>
      <c r="G9" s="21">
        <v>45734</v>
      </c>
      <c r="H9" s="49">
        <v>2262025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20" t="s">
        <v>67</v>
      </c>
      <c r="E10" s="20">
        <v>45</v>
      </c>
      <c r="F10" s="20" t="s">
        <v>151</v>
      </c>
      <c r="G10" s="21">
        <v>45734</v>
      </c>
      <c r="H10" s="49">
        <v>2262025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20" t="s">
        <v>64</v>
      </c>
      <c r="E11" s="20">
        <v>80</v>
      </c>
      <c r="F11" s="20" t="s">
        <v>151</v>
      </c>
      <c r="G11" s="21">
        <v>45734</v>
      </c>
      <c r="H11" s="49">
        <v>2262025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68</v>
      </c>
      <c r="E13" s="20">
        <v>384</v>
      </c>
      <c r="F13" s="20" t="s">
        <v>59</v>
      </c>
      <c r="G13" s="21">
        <v>45740</v>
      </c>
      <c r="H13" s="49">
        <v>319934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53</v>
      </c>
      <c r="D14" s="20" t="s">
        <v>63</v>
      </c>
      <c r="E14" s="20">
        <v>288</v>
      </c>
      <c r="F14" s="20" t="s">
        <v>59</v>
      </c>
      <c r="G14" s="21">
        <v>45740</v>
      </c>
      <c r="H14" s="49">
        <v>319934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61</v>
      </c>
      <c r="E15" s="20">
        <v>288</v>
      </c>
      <c r="F15" s="20" t="s">
        <v>59</v>
      </c>
      <c r="G15" s="21">
        <v>45741</v>
      </c>
      <c r="H15" s="22">
        <v>319935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05" t="s">
        <v>153</v>
      </c>
      <c r="D18" s="106" t="s">
        <v>89</v>
      </c>
      <c r="E18" s="106">
        <v>108</v>
      </c>
      <c r="F18" s="106" t="s">
        <v>149</v>
      </c>
      <c r="G18" s="107">
        <v>45741</v>
      </c>
      <c r="H18" s="117">
        <v>686488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45734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45735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45736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133</v>
      </c>
      <c r="E54" s="20">
        <v>288</v>
      </c>
      <c r="F54" s="20" t="s">
        <v>59</v>
      </c>
      <c r="G54" s="21">
        <v>45741</v>
      </c>
      <c r="H54" s="22">
        <v>319935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133</v>
      </c>
      <c r="E55" s="20">
        <v>288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53</v>
      </c>
      <c r="D56" s="90" t="s">
        <v>65</v>
      </c>
      <c r="E56" s="90">
        <v>288</v>
      </c>
      <c r="F56" s="90" t="s">
        <v>59</v>
      </c>
      <c r="G56" s="91">
        <v>45741</v>
      </c>
      <c r="H56" s="92">
        <v>319935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53</v>
      </c>
      <c r="D57" s="90" t="s">
        <v>65</v>
      </c>
      <c r="E57" s="90">
        <v>288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384</v>
      </c>
      <c r="F70" s="20" t="s">
        <v>70</v>
      </c>
      <c r="G70" s="21">
        <v>45740</v>
      </c>
      <c r="H70" s="49">
        <v>12628191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45740</v>
      </c>
      <c r="H71" s="49">
        <v>12628191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192</v>
      </c>
      <c r="F72" s="20" t="s">
        <v>70</v>
      </c>
      <c r="G72" s="21">
        <v>45740</v>
      </c>
      <c r="H72" s="49">
        <v>12628191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96</v>
      </c>
      <c r="F73" s="20" t="s">
        <v>70</v>
      </c>
      <c r="G73" s="21">
        <v>45740</v>
      </c>
      <c r="H73" s="49">
        <v>12628191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192</v>
      </c>
      <c r="F74" s="90" t="s">
        <v>70</v>
      </c>
      <c r="G74" s="91">
        <v>45740</v>
      </c>
      <c r="H74" s="93">
        <v>12628191</v>
      </c>
    </row>
    <row r="75" spans="1:8" s="4" customFormat="1" ht="12.75">
      <c r="A75" s="47"/>
      <c r="B75" s="48"/>
      <c r="C75" s="89" t="s">
        <v>48</v>
      </c>
      <c r="D75" s="90" t="s">
        <v>166</v>
      </c>
      <c r="E75" s="90">
        <v>192</v>
      </c>
      <c r="F75" s="90" t="s">
        <v>70</v>
      </c>
      <c r="G75" s="91">
        <v>45754</v>
      </c>
      <c r="H75" s="93">
        <v>12661519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96</v>
      </c>
      <c r="F76" s="90" t="s">
        <v>70</v>
      </c>
      <c r="G76" s="91">
        <v>45740</v>
      </c>
      <c r="H76" s="93">
        <v>12628191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45754</v>
      </c>
      <c r="H77" s="93">
        <v>12661519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8151-E472-4D79-BAAE-EB8010D1703B}">
  <dimension ref="A3:P100"/>
  <sheetViews>
    <sheetView topLeftCell="A54" workbookViewId="0">
      <selection activeCell="C7" sqref="C7: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149</v>
      </c>
      <c r="D14" s="20" t="s">
        <v>156</v>
      </c>
      <c r="E14" s="20">
        <v>120</v>
      </c>
      <c r="F14" s="20" t="s">
        <v>149</v>
      </c>
      <c r="G14" s="21">
        <v>45741</v>
      </c>
      <c r="H14" s="49">
        <v>686488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45743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149</v>
      </c>
      <c r="D54" s="20" t="s">
        <v>154</v>
      </c>
      <c r="E54" s="20">
        <v>120</v>
      </c>
      <c r="F54" s="20" t="s">
        <v>149</v>
      </c>
      <c r="G54" s="21">
        <v>45741</v>
      </c>
      <c r="H54" s="49">
        <v>686488</v>
      </c>
      <c r="J54" s="3"/>
      <c r="K54" s="3"/>
      <c r="L54" s="3"/>
    </row>
    <row r="55" spans="1:15">
      <c r="A55" s="47"/>
      <c r="B55" s="48"/>
      <c r="C55" s="19" t="s">
        <v>149</v>
      </c>
      <c r="D55" s="65" t="s">
        <v>155</v>
      </c>
      <c r="E55" s="20">
        <v>120</v>
      </c>
      <c r="F55" s="20" t="s">
        <v>149</v>
      </c>
      <c r="G55" s="21">
        <v>45741</v>
      </c>
      <c r="H55" s="49">
        <v>686488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149</v>
      </c>
      <c r="D56" s="65" t="s">
        <v>157</v>
      </c>
      <c r="E56" s="20">
        <v>120</v>
      </c>
      <c r="F56" s="20" t="s">
        <v>149</v>
      </c>
      <c r="G56" s="21">
        <v>45741</v>
      </c>
      <c r="H56" s="49">
        <v>686488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158</v>
      </c>
      <c r="E58" s="20">
        <v>96</v>
      </c>
      <c r="F58" s="20" t="s">
        <v>149</v>
      </c>
      <c r="G58" s="21">
        <v>45741</v>
      </c>
      <c r="H58" s="49">
        <v>686488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159</v>
      </c>
      <c r="E59" s="20">
        <v>96</v>
      </c>
      <c r="F59" s="20" t="s">
        <v>149</v>
      </c>
      <c r="G59" s="21">
        <v>45741</v>
      </c>
      <c r="H59" s="49">
        <v>686488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20" t="s">
        <v>161</v>
      </c>
      <c r="E60" s="20">
        <v>96</v>
      </c>
      <c r="F60" s="20" t="s">
        <v>149</v>
      </c>
      <c r="G60" s="21">
        <v>45741</v>
      </c>
      <c r="H60" s="49">
        <v>686488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153</v>
      </c>
      <c r="D61" s="20" t="s">
        <v>163</v>
      </c>
      <c r="E61" s="20">
        <v>108</v>
      </c>
      <c r="F61" s="20" t="s">
        <v>149</v>
      </c>
      <c r="G61" s="21">
        <v>45741</v>
      </c>
      <c r="H61" s="49">
        <v>686488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153</v>
      </c>
      <c r="D62" s="20" t="s">
        <v>162</v>
      </c>
      <c r="E62" s="20">
        <v>108</v>
      </c>
      <c r="F62" s="20" t="s">
        <v>149</v>
      </c>
      <c r="G62" s="21">
        <v>45741</v>
      </c>
      <c r="H62" s="49">
        <v>686488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94</v>
      </c>
      <c r="D63" s="20" t="s">
        <v>162</v>
      </c>
      <c r="E63" s="20">
        <v>54</v>
      </c>
      <c r="F63" s="20" t="s">
        <v>165</v>
      </c>
      <c r="G63" s="21">
        <v>45749</v>
      </c>
      <c r="H63" s="49">
        <v>112023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94</v>
      </c>
      <c r="D64" s="20" t="s">
        <v>162</v>
      </c>
      <c r="E64" s="20">
        <v>108</v>
      </c>
      <c r="F64" s="20"/>
      <c r="G64" s="21"/>
      <c r="H64" s="49"/>
      <c r="M64" s="3"/>
      <c r="N64" s="81"/>
      <c r="O64" s="3"/>
    </row>
    <row r="65" spans="1:15" s="4" customFormat="1" ht="12.75">
      <c r="A65" s="47"/>
      <c r="B65" s="48"/>
      <c r="C65" s="89" t="s">
        <v>153</v>
      </c>
      <c r="D65" s="90" t="s">
        <v>83</v>
      </c>
      <c r="E65" s="90">
        <v>108</v>
      </c>
      <c r="F65" s="90" t="s">
        <v>149</v>
      </c>
      <c r="G65" s="91">
        <v>45741</v>
      </c>
      <c r="H65" s="93">
        <v>686488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70">
        <f>SUM(E53:E68)</f>
        <v>1134</v>
      </c>
      <c r="F69" s="20"/>
      <c r="G69" s="21"/>
      <c r="H69" s="22"/>
    </row>
    <row r="70" spans="1:15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15" s="4" customFormat="1" ht="13.5" thickBot="1">
      <c r="A71" s="7" t="s">
        <v>54</v>
      </c>
      <c r="B71" s="8">
        <f>B52+1</f>
        <v>45744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15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15" s="4" customFormat="1" ht="12.75">
      <c r="A73" s="47"/>
      <c r="B73" s="48"/>
      <c r="C73" s="20" t="s">
        <v>53</v>
      </c>
      <c r="D73" s="20" t="s">
        <v>164</v>
      </c>
      <c r="E73" s="20">
        <v>144</v>
      </c>
      <c r="F73" s="20" t="s">
        <v>59</v>
      </c>
      <c r="G73" s="21">
        <v>45750</v>
      </c>
      <c r="H73" s="49">
        <v>320319</v>
      </c>
    </row>
    <row r="74" spans="1:15" s="4" customFormat="1" ht="12.75">
      <c r="A74" s="47"/>
      <c r="B74" s="48"/>
      <c r="C74" s="19" t="s">
        <v>53</v>
      </c>
      <c r="D74" s="65" t="s">
        <v>67</v>
      </c>
      <c r="E74" s="20">
        <v>144</v>
      </c>
      <c r="F74" s="20" t="s">
        <v>59</v>
      </c>
      <c r="G74" s="21">
        <v>45750</v>
      </c>
      <c r="H74" s="49">
        <v>320319</v>
      </c>
    </row>
    <row r="75" spans="1:15" s="4" customFormat="1" ht="12.75">
      <c r="A75" s="47"/>
      <c r="B75" s="48"/>
      <c r="C75" s="19" t="s">
        <v>53</v>
      </c>
      <c r="D75" s="65" t="s">
        <v>64</v>
      </c>
      <c r="E75" s="20">
        <v>576</v>
      </c>
      <c r="F75" s="20" t="s">
        <v>59</v>
      </c>
      <c r="G75" s="21">
        <v>45750</v>
      </c>
      <c r="H75" s="49">
        <v>320319</v>
      </c>
    </row>
    <row r="76" spans="1:15" s="4" customFormat="1" ht="12.75">
      <c r="A76" s="47"/>
      <c r="B76" s="48"/>
      <c r="C76" s="19" t="s">
        <v>53</v>
      </c>
      <c r="D76" s="20" t="s">
        <v>63</v>
      </c>
      <c r="E76" s="20">
        <v>384</v>
      </c>
      <c r="F76" s="20" t="s">
        <v>59</v>
      </c>
      <c r="G76" s="21">
        <v>45750</v>
      </c>
      <c r="H76" s="49">
        <v>320319</v>
      </c>
    </row>
    <row r="77" spans="1:15" s="4" customFormat="1" ht="12.75">
      <c r="A77" s="47"/>
      <c r="B77" s="48"/>
      <c r="C77" s="19" t="s">
        <v>53</v>
      </c>
      <c r="D77" s="20" t="s">
        <v>63</v>
      </c>
      <c r="E77" s="20">
        <v>192</v>
      </c>
      <c r="F77" s="20"/>
      <c r="G77" s="21"/>
      <c r="H77" s="49"/>
    </row>
    <row r="78" spans="1:15" s="4" customFormat="1" ht="12.75">
      <c r="A78" s="47"/>
      <c r="B78" s="48"/>
      <c r="C78" s="20"/>
      <c r="D78" s="20"/>
      <c r="E78" s="20"/>
      <c r="F78" s="20"/>
      <c r="G78" s="21"/>
      <c r="H78" s="49"/>
    </row>
    <row r="79" spans="1:15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15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3.5" thickBot="1">
      <c r="A83" s="56"/>
      <c r="B83" s="57"/>
      <c r="C83" s="19"/>
      <c r="D83" s="20"/>
      <c r="E83" s="20"/>
      <c r="F83" s="20"/>
      <c r="G83" s="20"/>
      <c r="H83" s="22"/>
    </row>
    <row r="84" spans="1:8" s="4" customFormat="1" ht="13.5" thickBot="1">
      <c r="A84" s="39"/>
      <c r="B84" s="40"/>
      <c r="C84" s="35"/>
      <c r="D84" s="36"/>
      <c r="E84" s="58">
        <f>SUM(E72:E83)</f>
        <v>1440</v>
      </c>
      <c r="F84" s="36"/>
      <c r="G84" s="36"/>
      <c r="H84" s="38"/>
    </row>
    <row r="85" spans="1:8" s="4" customFormat="1" ht="13.5" thickBot="1">
      <c r="A85" s="7" t="s">
        <v>55</v>
      </c>
      <c r="B85" s="8">
        <f>B71+1</f>
        <v>45745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2ED2-44B7-45D7-8982-F95E8F527060}">
  <dimension ref="A3:P98"/>
  <sheetViews>
    <sheetView topLeftCell="A36" workbookViewId="0">
      <selection activeCell="F55" sqref="F5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85</v>
      </c>
      <c r="D7" s="20" t="s">
        <v>91</v>
      </c>
      <c r="E7" s="20">
        <v>108</v>
      </c>
      <c r="F7" s="20" t="s">
        <v>88</v>
      </c>
      <c r="G7" s="21">
        <v>45750</v>
      </c>
      <c r="H7" s="49">
        <v>245782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85</v>
      </c>
      <c r="D8" s="20" t="s">
        <v>91</v>
      </c>
      <c r="E8" s="20">
        <v>108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85</v>
      </c>
      <c r="D9" s="65" t="s">
        <v>92</v>
      </c>
      <c r="E9" s="20">
        <v>108</v>
      </c>
      <c r="F9" s="20" t="s">
        <v>88</v>
      </c>
      <c r="G9" s="21">
        <v>45750</v>
      </c>
      <c r="H9" s="49">
        <v>245782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65" t="s">
        <v>92</v>
      </c>
      <c r="E10" s="20">
        <v>108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20" t="s">
        <v>143</v>
      </c>
      <c r="E11" s="20">
        <v>54</v>
      </c>
      <c r="F11" s="20" t="s">
        <v>88</v>
      </c>
      <c r="G11" s="21">
        <v>45750</v>
      </c>
      <c r="H11" s="49">
        <v>245782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85</v>
      </c>
      <c r="D12" s="20" t="s">
        <v>143</v>
      </c>
      <c r="E12" s="20">
        <v>108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85</v>
      </c>
      <c r="D13" s="65" t="s">
        <v>142</v>
      </c>
      <c r="E13" s="20">
        <v>54</v>
      </c>
      <c r="F13" s="20" t="s">
        <v>88</v>
      </c>
      <c r="G13" s="21">
        <v>45750</v>
      </c>
      <c r="H13" s="49">
        <v>245782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142</v>
      </c>
      <c r="E14" s="20">
        <v>108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62</v>
      </c>
      <c r="E15" s="20">
        <v>192</v>
      </c>
      <c r="F15" s="20" t="s">
        <v>70</v>
      </c>
      <c r="G15" s="21">
        <v>45754</v>
      </c>
      <c r="H15" s="49">
        <v>12661519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71</v>
      </c>
      <c r="E16" s="20">
        <v>192</v>
      </c>
      <c r="F16" s="20" t="s">
        <v>70</v>
      </c>
      <c r="G16" s="21">
        <v>45754</v>
      </c>
      <c r="H16" s="49">
        <v>12661519</v>
      </c>
      <c r="J16" s="25" t="s">
        <v>22</v>
      </c>
      <c r="K16" s="26" t="s">
        <v>14</v>
      </c>
      <c r="L16" s="29"/>
      <c r="M16" s="31"/>
    </row>
    <row r="17" spans="1:13">
      <c r="C17" s="19" t="s">
        <v>48</v>
      </c>
      <c r="D17" s="65" t="s">
        <v>71</v>
      </c>
      <c r="E17" s="20">
        <v>192</v>
      </c>
      <c r="F17" s="20" t="s">
        <v>70</v>
      </c>
      <c r="G17" s="21">
        <v>45761</v>
      </c>
      <c r="H17" s="49">
        <v>12678643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0" t="s">
        <v>166</v>
      </c>
      <c r="E19" s="90">
        <v>192</v>
      </c>
      <c r="F19" s="90" t="s">
        <v>70</v>
      </c>
      <c r="G19" s="91">
        <v>45761</v>
      </c>
      <c r="H19" s="93">
        <v>12678643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89" t="s">
        <v>153</v>
      </c>
      <c r="D53" s="90" t="s">
        <v>102</v>
      </c>
      <c r="E53" s="90">
        <v>108</v>
      </c>
      <c r="F53" s="90" t="s">
        <v>149</v>
      </c>
      <c r="G53" s="91">
        <v>45741</v>
      </c>
      <c r="H53" s="93">
        <v>686488</v>
      </c>
      <c r="J53" s="3"/>
      <c r="K53" s="3"/>
      <c r="L53" s="3"/>
    </row>
    <row r="54" spans="1:15">
      <c r="A54" s="44"/>
      <c r="B54" s="45"/>
      <c r="C54" s="89" t="s">
        <v>85</v>
      </c>
      <c r="D54" s="90" t="s">
        <v>80</v>
      </c>
      <c r="E54" s="90">
        <v>54</v>
      </c>
      <c r="F54" s="90" t="s">
        <v>88</v>
      </c>
      <c r="G54" s="91">
        <v>45750</v>
      </c>
      <c r="H54" s="93">
        <v>245782</v>
      </c>
      <c r="J54" s="3"/>
      <c r="K54" s="3"/>
      <c r="L54" s="3"/>
    </row>
    <row r="55" spans="1:15">
      <c r="A55" s="47"/>
      <c r="B55" s="48"/>
      <c r="C55" s="89" t="s">
        <v>94</v>
      </c>
      <c r="D55" s="90" t="s">
        <v>80</v>
      </c>
      <c r="E55" s="90">
        <v>162</v>
      </c>
      <c r="F55" s="90" t="s">
        <v>165</v>
      </c>
      <c r="G55" s="91">
        <v>45763</v>
      </c>
      <c r="H55" s="93">
        <v>112132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66</v>
      </c>
      <c r="D56" s="90" t="s">
        <v>80</v>
      </c>
      <c r="E56" s="90">
        <v>120</v>
      </c>
      <c r="F56" s="90" t="s">
        <v>88</v>
      </c>
      <c r="G56" s="91">
        <v>45750</v>
      </c>
      <c r="H56" s="93">
        <v>245782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66</v>
      </c>
      <c r="D57" s="90" t="s">
        <v>80</v>
      </c>
      <c r="E57" s="90">
        <v>120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152</v>
      </c>
      <c r="D58" s="20" t="s">
        <v>92</v>
      </c>
      <c r="E58" s="20">
        <v>1056</v>
      </c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1620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75</v>
      </c>
      <c r="D70" s="20" t="s">
        <v>63</v>
      </c>
      <c r="E70" s="20">
        <v>144</v>
      </c>
      <c r="F70" s="20" t="s">
        <v>77</v>
      </c>
      <c r="G70" s="21">
        <v>45764</v>
      </c>
      <c r="H70" s="49">
        <v>40077944</v>
      </c>
    </row>
    <row r="71" spans="1:8" s="4" customFormat="1" ht="12.75">
      <c r="A71" s="47"/>
      <c r="B71" s="48"/>
      <c r="C71" s="19" t="s">
        <v>75</v>
      </c>
      <c r="D71" s="20" t="s">
        <v>84</v>
      </c>
      <c r="E71" s="20">
        <v>96</v>
      </c>
      <c r="F71" s="20" t="s">
        <v>77</v>
      </c>
      <c r="G71" s="21">
        <v>45764</v>
      </c>
      <c r="H71" s="49">
        <v>40077944</v>
      </c>
    </row>
    <row r="72" spans="1:8" s="4" customFormat="1" ht="12.75">
      <c r="A72" s="47"/>
      <c r="B72" s="48"/>
      <c r="C72" s="19" t="s">
        <v>75</v>
      </c>
      <c r="D72" s="20" t="s">
        <v>87</v>
      </c>
      <c r="E72" s="20">
        <v>144</v>
      </c>
      <c r="F72" s="20" t="s">
        <v>77</v>
      </c>
      <c r="G72" s="21">
        <v>45764</v>
      </c>
      <c r="H72" s="49">
        <v>40077944</v>
      </c>
    </row>
    <row r="73" spans="1:8" s="4" customFormat="1" ht="12.75">
      <c r="A73" s="47"/>
      <c r="B73" s="48"/>
      <c r="C73" s="19" t="s">
        <v>75</v>
      </c>
      <c r="D73" s="20" t="s">
        <v>71</v>
      </c>
      <c r="E73" s="20">
        <v>96</v>
      </c>
      <c r="F73" s="20" t="s">
        <v>77</v>
      </c>
      <c r="G73" s="21">
        <v>45764</v>
      </c>
      <c r="H73" s="49">
        <v>40077944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192</v>
      </c>
      <c r="F74" s="20" t="s">
        <v>70</v>
      </c>
      <c r="G74" s="21">
        <v>45754</v>
      </c>
      <c r="H74" s="49">
        <v>12661519</v>
      </c>
    </row>
    <row r="75" spans="1:8" s="4" customFormat="1" ht="12.75">
      <c r="A75" s="47"/>
      <c r="B75" s="48"/>
      <c r="C75" s="19" t="s">
        <v>48</v>
      </c>
      <c r="D75" s="65" t="s">
        <v>71</v>
      </c>
      <c r="E75" s="20">
        <v>192</v>
      </c>
      <c r="F75" s="20" t="s">
        <v>70</v>
      </c>
      <c r="G75" s="21">
        <v>45761</v>
      </c>
      <c r="H75" s="49">
        <v>12678643</v>
      </c>
    </row>
    <row r="76" spans="1:8" s="4" customFormat="1" ht="12.75">
      <c r="A76" s="47"/>
      <c r="B76" s="48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 t="s">
        <v>98</v>
      </c>
      <c r="D77" s="20" t="s">
        <v>58</v>
      </c>
      <c r="E77" s="20">
        <v>144</v>
      </c>
      <c r="F77" s="20" t="s">
        <v>99</v>
      </c>
      <c r="G77" s="21">
        <v>45770</v>
      </c>
      <c r="H77" s="49">
        <v>377981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 t="s">
        <v>48</v>
      </c>
      <c r="D79" s="20" t="s">
        <v>72</v>
      </c>
      <c r="E79" s="20">
        <v>96</v>
      </c>
      <c r="F79" s="20" t="s">
        <v>70</v>
      </c>
      <c r="G79" s="21">
        <v>45754</v>
      </c>
      <c r="H79" s="49">
        <v>12661519</v>
      </c>
    </row>
    <row r="80" spans="1:8" s="4" customFormat="1" ht="12.75">
      <c r="A80" s="56"/>
      <c r="B80" s="57"/>
      <c r="C80" s="19" t="s">
        <v>48</v>
      </c>
      <c r="D80" s="20" t="s">
        <v>72</v>
      </c>
      <c r="E80" s="20">
        <v>144</v>
      </c>
      <c r="F80" s="20" t="s">
        <v>70</v>
      </c>
      <c r="G80" s="21">
        <v>45761</v>
      </c>
      <c r="H80" s="49">
        <v>12678643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1248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45752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E7B0-39E6-4A13-9CF0-95377EA9B331}">
  <dimension ref="A3:P97"/>
  <sheetViews>
    <sheetView workbookViewId="0">
      <selection activeCell="F78" sqref="F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45754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45761</v>
      </c>
      <c r="H7" s="49">
        <v>70062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3</v>
      </c>
      <c r="D8" s="20" t="s">
        <v>86</v>
      </c>
      <c r="E8" s="20">
        <v>240</v>
      </c>
      <c r="F8" s="20" t="s">
        <v>148</v>
      </c>
      <c r="G8" s="21">
        <v>45768</v>
      </c>
      <c r="H8" s="49">
        <v>70130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127</v>
      </c>
      <c r="D10" s="20" t="s">
        <v>64</v>
      </c>
      <c r="E10" s="20">
        <v>180</v>
      </c>
      <c r="F10" s="20" t="s">
        <v>73</v>
      </c>
      <c r="G10" s="21">
        <v>45755</v>
      </c>
      <c r="H10" s="49">
        <v>331.2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127</v>
      </c>
      <c r="D11" s="20" t="s">
        <v>67</v>
      </c>
      <c r="E11" s="20">
        <v>30</v>
      </c>
      <c r="F11" s="20" t="s">
        <v>73</v>
      </c>
      <c r="G11" s="21">
        <v>45755</v>
      </c>
      <c r="H11" s="49">
        <v>331.2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127</v>
      </c>
      <c r="D12" s="20" t="s">
        <v>63</v>
      </c>
      <c r="E12" s="20">
        <v>60</v>
      </c>
      <c r="F12" s="20" t="s">
        <v>73</v>
      </c>
      <c r="G12" s="21">
        <v>45755</v>
      </c>
      <c r="H12" s="49">
        <v>331.2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127</v>
      </c>
      <c r="D13" s="20" t="s">
        <v>74</v>
      </c>
      <c r="E13" s="20">
        <v>60</v>
      </c>
      <c r="F13" s="20" t="s">
        <v>73</v>
      </c>
      <c r="G13" s="21">
        <v>45755</v>
      </c>
      <c r="H13" s="49">
        <v>331.2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45770</v>
      </c>
      <c r="H16" s="49">
        <v>320806</v>
      </c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1194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45755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45756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65" t="s">
        <v>71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48</v>
      </c>
      <c r="D55" s="20" t="s">
        <v>175</v>
      </c>
      <c r="E55" s="20">
        <v>288</v>
      </c>
      <c r="F55" s="20" t="s">
        <v>70</v>
      </c>
      <c r="G55" s="21">
        <v>45761</v>
      </c>
      <c r="H55" s="49">
        <v>12678643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98</v>
      </c>
      <c r="D58" s="65" t="s">
        <v>61</v>
      </c>
      <c r="E58" s="20">
        <v>96</v>
      </c>
      <c r="F58" s="20" t="s">
        <v>99</v>
      </c>
      <c r="G58" s="21">
        <v>45770</v>
      </c>
      <c r="H58" s="49">
        <v>377981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98</v>
      </c>
      <c r="D60" s="90" t="s">
        <v>166</v>
      </c>
      <c r="E60" s="90">
        <v>144</v>
      </c>
      <c r="F60" s="90" t="s">
        <v>99</v>
      </c>
      <c r="G60" s="91">
        <v>45770</v>
      </c>
      <c r="H60" s="93">
        <v>377981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96</v>
      </c>
      <c r="F61" s="90" t="s">
        <v>77</v>
      </c>
      <c r="G61" s="91">
        <v>45764</v>
      </c>
      <c r="H61" s="93">
        <v>40077944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0" t="s">
        <v>166</v>
      </c>
      <c r="E63" s="90">
        <v>432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45775</v>
      </c>
      <c r="H71" s="49">
        <v>12712526</v>
      </c>
    </row>
    <row r="72" spans="1:8" s="4" customFormat="1" ht="12.75">
      <c r="A72" s="47"/>
      <c r="B72" s="48"/>
      <c r="C72" s="19" t="s">
        <v>48</v>
      </c>
      <c r="D72" s="20" t="s">
        <v>76</v>
      </c>
      <c r="E72" s="20">
        <v>192</v>
      </c>
      <c r="F72" s="20" t="s">
        <v>70</v>
      </c>
      <c r="G72" s="21">
        <v>45761</v>
      </c>
      <c r="H72" s="49">
        <v>12678643</v>
      </c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/>
      <c r="G73" s="21"/>
      <c r="H73" s="49"/>
    </row>
    <row r="74" spans="1:8" s="4" customFormat="1" ht="12.75">
      <c r="A74" s="47"/>
      <c r="B74" s="48"/>
      <c r="C74" s="19" t="s">
        <v>75</v>
      </c>
      <c r="D74" s="65" t="s">
        <v>107</v>
      </c>
      <c r="E74" s="20">
        <v>96</v>
      </c>
      <c r="F74" s="20" t="s">
        <v>77</v>
      </c>
      <c r="G74" s="21">
        <v>45764</v>
      </c>
      <c r="H74" s="49">
        <v>40077944</v>
      </c>
    </row>
    <row r="75" spans="1:8" s="4" customFormat="1" ht="12.75">
      <c r="A75" s="47"/>
      <c r="B75" s="48"/>
      <c r="C75" s="89" t="s">
        <v>98</v>
      </c>
      <c r="D75" s="90" t="s">
        <v>65</v>
      </c>
      <c r="E75" s="90">
        <v>96</v>
      </c>
      <c r="F75" s="90" t="s">
        <v>99</v>
      </c>
      <c r="G75" s="91">
        <v>45770</v>
      </c>
      <c r="H75" s="93">
        <v>377981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144</v>
      </c>
      <c r="F76" s="90" t="s">
        <v>70</v>
      </c>
      <c r="G76" s="91">
        <v>45761</v>
      </c>
      <c r="H76" s="93">
        <v>12678643</v>
      </c>
    </row>
    <row r="77" spans="1:8" s="4" customFormat="1" ht="12.75">
      <c r="A77" s="56"/>
      <c r="B77" s="57"/>
      <c r="C77" s="89" t="s">
        <v>75</v>
      </c>
      <c r="D77" s="90" t="s">
        <v>65</v>
      </c>
      <c r="E77" s="90">
        <v>192</v>
      </c>
      <c r="F77" s="90" t="s">
        <v>77</v>
      </c>
      <c r="G77" s="91">
        <v>45764</v>
      </c>
      <c r="H77" s="93">
        <v>40077944</v>
      </c>
    </row>
    <row r="78" spans="1:8" s="4" customFormat="1" ht="12.75">
      <c r="A78" s="56"/>
      <c r="B78" s="57"/>
      <c r="C78" s="89" t="s">
        <v>75</v>
      </c>
      <c r="D78" s="90" t="s">
        <v>65</v>
      </c>
      <c r="E78" s="90">
        <v>144</v>
      </c>
      <c r="F78" s="90"/>
      <c r="G78" s="91"/>
      <c r="H78" s="93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1"/>
      <c r="H80" s="49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45759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A1E-FAAF-43C2-B47D-9B401523E476}">
  <dimension ref="A3:P97"/>
  <sheetViews>
    <sheetView workbookViewId="0">
      <selection activeCell="J70" sqref="J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63</v>
      </c>
      <c r="E12" s="20">
        <v>192</v>
      </c>
      <c r="F12" s="20" t="s">
        <v>59</v>
      </c>
      <c r="G12" s="21">
        <v>45768</v>
      </c>
      <c r="H12" s="49">
        <v>320804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60</v>
      </c>
      <c r="D14" s="20" t="s">
        <v>74</v>
      </c>
      <c r="E14" s="20">
        <v>576</v>
      </c>
      <c r="F14" s="20" t="s">
        <v>82</v>
      </c>
      <c r="G14" s="21">
        <v>45765</v>
      </c>
      <c r="H14" s="49">
        <v>1628998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60</v>
      </c>
      <c r="D15" s="20" t="s">
        <v>63</v>
      </c>
      <c r="E15" s="20">
        <v>144</v>
      </c>
      <c r="F15" s="20" t="s">
        <v>82</v>
      </c>
      <c r="G15" s="21">
        <v>45765</v>
      </c>
      <c r="H15" s="49">
        <v>1628998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60</v>
      </c>
      <c r="D16" s="90" t="s">
        <v>65</v>
      </c>
      <c r="E16" s="90">
        <v>480</v>
      </c>
      <c r="F16" s="90" t="s">
        <v>82</v>
      </c>
      <c r="G16" s="91">
        <v>45765</v>
      </c>
      <c r="H16" s="93">
        <v>1628998</v>
      </c>
      <c r="J16" s="25" t="s">
        <v>22</v>
      </c>
      <c r="K16" s="26" t="s">
        <v>14</v>
      </c>
      <c r="L16" s="29"/>
      <c r="M16" s="31"/>
    </row>
    <row r="17" spans="1:13">
      <c r="C17" s="89" t="s">
        <v>60</v>
      </c>
      <c r="D17" s="90" t="s">
        <v>103</v>
      </c>
      <c r="E17" s="90">
        <v>48</v>
      </c>
      <c r="F17" s="90" t="s">
        <v>82</v>
      </c>
      <c r="G17" s="91">
        <v>45765</v>
      </c>
      <c r="H17" s="93">
        <v>1628998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45763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45764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65" t="s">
        <v>64</v>
      </c>
      <c r="E54" s="20">
        <v>288</v>
      </c>
      <c r="F54" s="20" t="s">
        <v>59</v>
      </c>
      <c r="G54" s="21">
        <v>45770</v>
      </c>
      <c r="H54" s="49">
        <v>320806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576</v>
      </c>
      <c r="F55" s="20" t="s">
        <v>59</v>
      </c>
      <c r="G55" s="21">
        <v>45768</v>
      </c>
      <c r="H55" s="49">
        <v>320804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20" t="s">
        <v>59</v>
      </c>
      <c r="G56" s="21">
        <v>45768</v>
      </c>
      <c r="H56" s="49">
        <v>320804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68</v>
      </c>
      <c r="E57" s="20">
        <v>288</v>
      </c>
      <c r="F57" s="20" t="s">
        <v>59</v>
      </c>
      <c r="G57" s="21">
        <v>45770</v>
      </c>
      <c r="H57" s="49">
        <v>320806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05" t="s">
        <v>75</v>
      </c>
      <c r="D59" s="106" t="s">
        <v>89</v>
      </c>
      <c r="E59" s="106">
        <v>48</v>
      </c>
      <c r="F59" s="106" t="s">
        <v>77</v>
      </c>
      <c r="G59" s="107">
        <v>45775</v>
      </c>
      <c r="H59" s="108">
        <v>40079918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45765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240</v>
      </c>
      <c r="F70" s="20" t="s">
        <v>70</v>
      </c>
      <c r="G70" s="21">
        <v>45769</v>
      </c>
      <c r="H70" s="49">
        <v>12695585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45769</v>
      </c>
      <c r="H71" s="49">
        <v>12695585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144</v>
      </c>
      <c r="F72" s="20" t="s">
        <v>70</v>
      </c>
      <c r="G72" s="21">
        <v>45769</v>
      </c>
      <c r="H72" s="49">
        <v>12695585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144</v>
      </c>
      <c r="F73" s="20" t="s">
        <v>70</v>
      </c>
      <c r="G73" s="21">
        <v>45769</v>
      </c>
      <c r="H73" s="49">
        <v>12695585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240</v>
      </c>
      <c r="F74" s="90" t="s">
        <v>70</v>
      </c>
      <c r="G74" s="91">
        <v>45769</v>
      </c>
      <c r="H74" s="93">
        <v>12695585</v>
      </c>
    </row>
    <row r="75" spans="1:8" s="4" customFormat="1" ht="12.75">
      <c r="A75" s="47"/>
      <c r="B75" s="48"/>
      <c r="C75" s="89" t="s">
        <v>48</v>
      </c>
      <c r="D75" s="99" t="s">
        <v>114</v>
      </c>
      <c r="E75" s="90">
        <v>144</v>
      </c>
      <c r="F75" s="90" t="s">
        <v>70</v>
      </c>
      <c r="G75" s="91">
        <v>45775</v>
      </c>
      <c r="H75" s="93">
        <v>12712526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192</v>
      </c>
      <c r="F76" s="90" t="s">
        <v>70</v>
      </c>
      <c r="G76" s="91">
        <v>45769</v>
      </c>
      <c r="H76" s="93">
        <v>12695585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45775</v>
      </c>
      <c r="H77" s="93">
        <v>12712526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45766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2DE-BF38-44D4-A0F4-4EDC562F36FB}">
  <sheetPr>
    <pageSetUpPr fitToPage="1"/>
  </sheetPr>
  <dimension ref="A3:P97"/>
  <sheetViews>
    <sheetView topLeftCell="A18" workbookViewId="0">
      <selection activeCell="D65" sqref="D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45769</v>
      </c>
      <c r="H7" s="49">
        <v>320805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45769</v>
      </c>
      <c r="H8" s="49">
        <v>320805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79</v>
      </c>
      <c r="E9" s="20">
        <v>240</v>
      </c>
      <c r="F9" s="20" t="s">
        <v>59</v>
      </c>
      <c r="G9" s="21">
        <v>45769</v>
      </c>
      <c r="H9" s="49">
        <v>320805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20" t="s">
        <v>88</v>
      </c>
      <c r="G11" s="21">
        <v>45771</v>
      </c>
      <c r="H11" s="49">
        <v>246019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66</v>
      </c>
      <c r="D12" s="20" t="s">
        <v>81</v>
      </c>
      <c r="E12" s="20">
        <v>60</v>
      </c>
      <c r="F12" s="20" t="s">
        <v>88</v>
      </c>
      <c r="G12" s="21">
        <v>45771</v>
      </c>
      <c r="H12" s="49">
        <v>246019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120</v>
      </c>
      <c r="F13" s="20" t="s">
        <v>88</v>
      </c>
      <c r="G13" s="21">
        <v>45771</v>
      </c>
      <c r="H13" s="49">
        <v>246019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60</v>
      </c>
      <c r="F14" s="20" t="s">
        <v>88</v>
      </c>
      <c r="G14" s="21">
        <v>45771</v>
      </c>
      <c r="H14" s="49">
        <v>246019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94</v>
      </c>
      <c r="D16" s="20" t="s">
        <v>163</v>
      </c>
      <c r="E16" s="20">
        <v>54</v>
      </c>
      <c r="F16" s="20" t="s">
        <v>88</v>
      </c>
      <c r="G16" s="21">
        <v>45771</v>
      </c>
      <c r="H16" s="49">
        <v>246019</v>
      </c>
      <c r="J16" s="25" t="s">
        <v>22</v>
      </c>
      <c r="K16" s="26" t="s">
        <v>14</v>
      </c>
      <c r="L16" s="29"/>
      <c r="M16" s="31"/>
    </row>
    <row r="17" spans="1:13">
      <c r="C17" s="19" t="s">
        <v>94</v>
      </c>
      <c r="D17" s="20" t="s">
        <v>163</v>
      </c>
      <c r="E17" s="20">
        <v>162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03" t="s">
        <v>90</v>
      </c>
      <c r="D19" s="100" t="s">
        <v>96</v>
      </c>
      <c r="E19" s="100">
        <v>108</v>
      </c>
      <c r="F19" s="100" t="s">
        <v>95</v>
      </c>
      <c r="G19" s="101">
        <v>45772</v>
      </c>
      <c r="H19" s="104">
        <v>579629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3</v>
      </c>
      <c r="D54" s="20" t="s">
        <v>86</v>
      </c>
      <c r="E54" s="20">
        <v>240</v>
      </c>
      <c r="F54" s="20" t="s">
        <v>148</v>
      </c>
      <c r="G54" s="21">
        <v>45775</v>
      </c>
      <c r="H54" s="49">
        <v>70255</v>
      </c>
      <c r="J54" s="3"/>
      <c r="K54" s="3"/>
      <c r="L54" s="3"/>
    </row>
    <row r="55" spans="1:15">
      <c r="A55" s="47"/>
      <c r="B55" s="48"/>
      <c r="C55" s="3" t="s">
        <v>3</v>
      </c>
      <c r="D55" s="20" t="s">
        <v>86</v>
      </c>
      <c r="E55" s="20">
        <v>240</v>
      </c>
      <c r="F55" s="20" t="s">
        <v>182</v>
      </c>
      <c r="G55" s="21">
        <v>45789</v>
      </c>
      <c r="H55" s="20">
        <v>70521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45775</v>
      </c>
      <c r="H56" s="49">
        <v>70255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71</v>
      </c>
      <c r="E58" s="20">
        <v>192</v>
      </c>
      <c r="F58" s="20" t="s">
        <v>70</v>
      </c>
      <c r="G58" s="21">
        <v>45775</v>
      </c>
      <c r="H58" s="49">
        <v>12712526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71</v>
      </c>
      <c r="E59" s="20">
        <v>144</v>
      </c>
      <c r="F59" s="20" t="s">
        <v>70</v>
      </c>
      <c r="G59" s="21">
        <v>45782</v>
      </c>
      <c r="H59" s="49">
        <v>12728472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240</v>
      </c>
      <c r="F60" s="20" t="s">
        <v>70</v>
      </c>
      <c r="G60" s="21">
        <v>45775</v>
      </c>
      <c r="H60" s="49">
        <v>12712526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90</v>
      </c>
      <c r="D61" s="65" t="s">
        <v>97</v>
      </c>
      <c r="E61" s="20">
        <v>108</v>
      </c>
      <c r="F61" s="20" t="s">
        <v>95</v>
      </c>
      <c r="G61" s="21">
        <v>45772</v>
      </c>
      <c r="H61" s="49">
        <v>579629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90</v>
      </c>
      <c r="D63" s="90" t="s">
        <v>121</v>
      </c>
      <c r="E63" s="90">
        <v>108</v>
      </c>
      <c r="F63" s="90" t="s">
        <v>95</v>
      </c>
      <c r="G63" s="91">
        <v>45772</v>
      </c>
      <c r="H63" s="93">
        <v>579629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75</v>
      </c>
      <c r="D70" s="20" t="s">
        <v>78</v>
      </c>
      <c r="E70" s="20">
        <v>96</v>
      </c>
      <c r="F70" s="20" t="s">
        <v>77</v>
      </c>
      <c r="G70" s="21">
        <v>45775</v>
      </c>
      <c r="H70" s="49">
        <v>40079918</v>
      </c>
    </row>
    <row r="71" spans="1:8" s="4" customFormat="1" ht="12.75">
      <c r="A71" s="47"/>
      <c r="B71" s="48"/>
      <c r="C71" s="19" t="s">
        <v>75</v>
      </c>
      <c r="D71" s="20" t="s">
        <v>76</v>
      </c>
      <c r="E71" s="20">
        <v>144</v>
      </c>
      <c r="F71" s="20" t="s">
        <v>77</v>
      </c>
      <c r="G71" s="21">
        <v>45775</v>
      </c>
      <c r="H71" s="49">
        <v>40079918</v>
      </c>
    </row>
    <row r="72" spans="1:8" s="4" customFormat="1" ht="12.75">
      <c r="A72" s="47"/>
      <c r="B72" s="48"/>
      <c r="C72" s="19" t="s">
        <v>48</v>
      </c>
      <c r="D72" s="20" t="s">
        <v>178</v>
      </c>
      <c r="E72" s="20">
        <v>192</v>
      </c>
      <c r="F72" s="20" t="s">
        <v>70</v>
      </c>
      <c r="G72" s="21">
        <v>45782</v>
      </c>
      <c r="H72" s="49">
        <v>12728472</v>
      </c>
    </row>
    <row r="73" spans="1:8" s="4" customFormat="1" ht="12.75">
      <c r="A73" s="47"/>
      <c r="B73" s="48"/>
      <c r="C73" s="19" t="s">
        <v>75</v>
      </c>
      <c r="D73" s="20" t="s">
        <v>84</v>
      </c>
      <c r="E73" s="20">
        <v>96</v>
      </c>
      <c r="F73" s="20" t="s">
        <v>77</v>
      </c>
      <c r="G73" s="21">
        <v>45775</v>
      </c>
      <c r="H73" s="49">
        <v>40079918</v>
      </c>
    </row>
    <row r="74" spans="1:8" s="4" customFormat="1" ht="12.75">
      <c r="A74" s="47"/>
      <c r="B74" s="48"/>
      <c r="C74" s="19" t="s">
        <v>75</v>
      </c>
      <c r="D74" s="20" t="s">
        <v>176</v>
      </c>
      <c r="E74" s="20">
        <v>48</v>
      </c>
      <c r="F74" s="20" t="s">
        <v>77</v>
      </c>
      <c r="G74" s="21">
        <v>45775</v>
      </c>
      <c r="H74" s="49">
        <v>40079918</v>
      </c>
    </row>
    <row r="75" spans="1:8" s="4" customFormat="1" ht="12.75">
      <c r="A75" s="47"/>
      <c r="B75" s="48"/>
      <c r="C75" s="19" t="s">
        <v>75</v>
      </c>
      <c r="D75" s="65" t="s">
        <v>63</v>
      </c>
      <c r="E75" s="20">
        <v>144</v>
      </c>
      <c r="F75" s="20" t="s">
        <v>77</v>
      </c>
      <c r="G75" s="21">
        <v>45775</v>
      </c>
      <c r="H75" s="49">
        <v>40079918</v>
      </c>
    </row>
    <row r="76" spans="1:8" s="4" customFormat="1" ht="12.75">
      <c r="A76" s="56"/>
      <c r="B76" s="57"/>
      <c r="C76" s="19" t="s">
        <v>75</v>
      </c>
      <c r="D76" s="65" t="s">
        <v>61</v>
      </c>
      <c r="E76" s="20">
        <v>96</v>
      </c>
      <c r="F76" s="20" t="s">
        <v>77</v>
      </c>
      <c r="G76" s="21">
        <v>45775</v>
      </c>
      <c r="H76" s="49">
        <v>40079918</v>
      </c>
    </row>
    <row r="77" spans="1:8" s="4" customFormat="1" ht="12.75">
      <c r="A77" s="56"/>
      <c r="B77" s="57"/>
      <c r="C77" s="20" t="s">
        <v>48</v>
      </c>
      <c r="D77" s="20" t="s">
        <v>61</v>
      </c>
      <c r="E77" s="20">
        <v>240</v>
      </c>
      <c r="F77" s="20" t="s">
        <v>70</v>
      </c>
      <c r="G77" s="21">
        <v>45775</v>
      </c>
      <c r="H77" s="49">
        <v>12712526</v>
      </c>
    </row>
    <row r="78" spans="1:8" s="4" customFormat="1" ht="12.75">
      <c r="A78" s="56"/>
      <c r="B78" s="57"/>
      <c r="C78" s="20" t="s">
        <v>48</v>
      </c>
      <c r="D78" s="20" t="s">
        <v>61</v>
      </c>
      <c r="E78" s="20">
        <v>336</v>
      </c>
      <c r="F78" s="20" t="s">
        <v>70</v>
      </c>
      <c r="G78" s="21">
        <v>45782</v>
      </c>
      <c r="H78" s="49">
        <v>12728472</v>
      </c>
    </row>
    <row r="79" spans="1:8" s="4" customFormat="1" ht="12.75">
      <c r="A79" s="56"/>
      <c r="B79" s="57"/>
      <c r="C79" s="89" t="s">
        <v>75</v>
      </c>
      <c r="D79" s="90" t="s">
        <v>134</v>
      </c>
      <c r="E79" s="90">
        <v>96</v>
      </c>
      <c r="F79" s="90" t="s">
        <v>77</v>
      </c>
      <c r="G79" s="91">
        <v>45775</v>
      </c>
      <c r="H79" s="93">
        <v>40079918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45773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636-9BFD-4302-9C1C-0F826E040616}">
  <sheetPr>
    <pageSetUpPr fitToPage="1"/>
  </sheetPr>
  <dimension ref="A3:P97"/>
  <sheetViews>
    <sheetView topLeftCell="A44" workbookViewId="0">
      <selection activeCell="H19" sqref="H1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45775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192</v>
      </c>
      <c r="D7" s="20" t="s">
        <v>105</v>
      </c>
      <c r="E7" s="20">
        <v>120</v>
      </c>
      <c r="F7" s="20" t="s">
        <v>192</v>
      </c>
      <c r="G7" s="21" t="s">
        <v>193</v>
      </c>
      <c r="H7" s="49">
        <v>424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181</v>
      </c>
      <c r="E9" s="20">
        <v>153</v>
      </c>
      <c r="F9" s="20" t="s">
        <v>77</v>
      </c>
      <c r="G9" s="21">
        <v>45776</v>
      </c>
      <c r="H9" s="49">
        <v>40079918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110</v>
      </c>
      <c r="E10" s="20">
        <v>169</v>
      </c>
      <c r="F10" s="20" t="s">
        <v>77</v>
      </c>
      <c r="G10" s="21">
        <v>45776</v>
      </c>
      <c r="H10" s="49">
        <v>40079918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111</v>
      </c>
      <c r="E11" s="20">
        <v>182</v>
      </c>
      <c r="F11" s="20" t="s">
        <v>77</v>
      </c>
      <c r="G11" s="21">
        <v>45776</v>
      </c>
      <c r="H11" s="49">
        <v>40079918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112</v>
      </c>
      <c r="E12" s="20">
        <v>180</v>
      </c>
      <c r="F12" s="20" t="s">
        <v>77</v>
      </c>
      <c r="G12" s="21">
        <v>45776</v>
      </c>
      <c r="H12" s="49">
        <v>40079918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113</v>
      </c>
      <c r="E13" s="20">
        <v>175</v>
      </c>
      <c r="F13" s="20" t="s">
        <v>77</v>
      </c>
      <c r="G13" s="21">
        <v>45776</v>
      </c>
      <c r="H13" s="49">
        <v>40079918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109</v>
      </c>
      <c r="E14" s="20">
        <v>164</v>
      </c>
      <c r="F14" s="20" t="s">
        <v>77</v>
      </c>
      <c r="G14" s="21">
        <v>45776</v>
      </c>
      <c r="H14" s="49">
        <v>40079918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0"/>
      <c r="H16" s="22"/>
      <c r="J16" s="25" t="s">
        <v>22</v>
      </c>
      <c r="K16" s="26" t="s">
        <v>14</v>
      </c>
      <c r="L16" s="29"/>
      <c r="M16" s="31"/>
    </row>
    <row r="17" spans="1:13">
      <c r="C17" s="89" t="s">
        <v>183</v>
      </c>
      <c r="D17" s="90" t="s">
        <v>184</v>
      </c>
      <c r="E17" s="90">
        <v>110</v>
      </c>
      <c r="F17" s="90" t="s">
        <v>88</v>
      </c>
      <c r="G17" s="91">
        <v>45783</v>
      </c>
      <c r="H17" s="93">
        <v>246118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 t="s">
        <v>149</v>
      </c>
      <c r="D21" s="20" t="s">
        <v>160</v>
      </c>
      <c r="E21" s="20">
        <v>96</v>
      </c>
      <c r="F21" s="20" t="s">
        <v>149</v>
      </c>
      <c r="G21" s="21">
        <v>45772</v>
      </c>
      <c r="H21" s="22">
        <v>20100690412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SUM(E8:E21)</f>
        <v>1229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45776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 ht="27">
      <c r="A26" s="47"/>
      <c r="B26" s="48"/>
      <c r="C26" s="19"/>
      <c r="D26" s="120" t="s">
        <v>201</v>
      </c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179</v>
      </c>
      <c r="D54" s="20" t="s">
        <v>63</v>
      </c>
      <c r="E54" s="20">
        <v>36</v>
      </c>
      <c r="F54" s="20" t="s">
        <v>180</v>
      </c>
      <c r="G54" s="21">
        <v>45782</v>
      </c>
      <c r="H54" s="49">
        <v>15756107</v>
      </c>
      <c r="J54" s="3"/>
      <c r="K54" s="3"/>
      <c r="L54" s="3"/>
    </row>
    <row r="55" spans="1:15">
      <c r="A55" s="47"/>
      <c r="B55" s="48"/>
      <c r="C55" s="19" t="s">
        <v>179</v>
      </c>
      <c r="D55" s="20" t="s">
        <v>74</v>
      </c>
      <c r="E55" s="20">
        <v>216</v>
      </c>
      <c r="F55" s="20" t="s">
        <v>180</v>
      </c>
      <c r="G55" s="21">
        <v>45782</v>
      </c>
      <c r="H55" s="49">
        <v>15756107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190</v>
      </c>
      <c r="D57" s="20" t="s">
        <v>61</v>
      </c>
      <c r="E57" s="20">
        <v>192</v>
      </c>
      <c r="F57" s="20" t="s">
        <v>48</v>
      </c>
      <c r="G57" s="21">
        <v>45790</v>
      </c>
      <c r="H57" s="20">
        <v>12747435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190</v>
      </c>
      <c r="D58" s="65" t="s">
        <v>62</v>
      </c>
      <c r="E58" s="20">
        <v>192</v>
      </c>
      <c r="F58" s="20" t="s">
        <v>48</v>
      </c>
      <c r="G58" s="21">
        <v>45790</v>
      </c>
      <c r="H58" s="20">
        <v>12747435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190</v>
      </c>
      <c r="D59" s="20" t="s">
        <v>72</v>
      </c>
      <c r="E59" s="20">
        <v>192</v>
      </c>
      <c r="F59" s="20" t="s">
        <v>48</v>
      </c>
      <c r="G59" s="21">
        <v>45790</v>
      </c>
      <c r="H59" s="20">
        <v>12747435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144</v>
      </c>
      <c r="F60" s="20" t="s">
        <v>70</v>
      </c>
      <c r="G60" s="21">
        <v>45782</v>
      </c>
      <c r="H60" s="49">
        <v>12728472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166</v>
      </c>
      <c r="E61" s="90">
        <v>192</v>
      </c>
      <c r="F61" s="90" t="s">
        <v>70</v>
      </c>
      <c r="G61" s="91">
        <v>45782</v>
      </c>
      <c r="H61" s="93">
        <v>12728472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144</v>
      </c>
      <c r="F62" s="90" t="s">
        <v>70</v>
      </c>
      <c r="G62" s="91">
        <v>45782</v>
      </c>
      <c r="H62" s="93">
        <v>12728472</v>
      </c>
      <c r="M62" s="3"/>
      <c r="N62" s="81"/>
      <c r="O62" s="3"/>
    </row>
    <row r="63" spans="1:15" s="4" customFormat="1" ht="12.75">
      <c r="A63" s="47"/>
      <c r="B63" s="48"/>
      <c r="C63" s="90" t="s">
        <v>190</v>
      </c>
      <c r="D63" s="90" t="s">
        <v>191</v>
      </c>
      <c r="E63" s="90">
        <v>192</v>
      </c>
      <c r="F63" s="90" t="s">
        <v>48</v>
      </c>
      <c r="G63" s="91">
        <v>45790</v>
      </c>
      <c r="H63" s="90">
        <v>12747435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61</v>
      </c>
      <c r="E70" s="20">
        <v>384</v>
      </c>
      <c r="F70" s="20" t="s">
        <v>59</v>
      </c>
      <c r="G70" s="21">
        <v>45782</v>
      </c>
      <c r="H70" s="49">
        <v>321259</v>
      </c>
    </row>
    <row r="71" spans="1:8" s="4" customFormat="1" ht="12.75">
      <c r="A71" s="47"/>
      <c r="B71" s="48"/>
      <c r="C71" s="19" t="s">
        <v>53</v>
      </c>
      <c r="D71" s="20" t="s">
        <v>177</v>
      </c>
      <c r="E71" s="20">
        <v>192</v>
      </c>
      <c r="F71" s="20" t="s">
        <v>59</v>
      </c>
      <c r="G71" s="21">
        <v>45782</v>
      </c>
      <c r="H71" s="49">
        <v>321259</v>
      </c>
    </row>
    <row r="72" spans="1:8" s="4" customFormat="1" ht="12.75">
      <c r="A72" s="47"/>
      <c r="B72" s="48"/>
      <c r="C72" s="19" t="s">
        <v>53</v>
      </c>
      <c r="D72" s="20" t="s">
        <v>164</v>
      </c>
      <c r="E72" s="20">
        <v>192</v>
      </c>
      <c r="F72" s="20" t="s">
        <v>59</v>
      </c>
      <c r="G72" s="21">
        <v>45782</v>
      </c>
      <c r="H72" s="49">
        <v>321259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20" t="s">
        <v>59</v>
      </c>
      <c r="G73" s="21">
        <v>45782</v>
      </c>
      <c r="H73" s="49">
        <v>321259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05" t="s">
        <v>198</v>
      </c>
      <c r="D75" s="106" t="s">
        <v>89</v>
      </c>
      <c r="E75" s="106">
        <v>54</v>
      </c>
      <c r="F75" s="106" t="s">
        <v>149</v>
      </c>
      <c r="G75" s="107">
        <v>45791</v>
      </c>
      <c r="H75" s="108" t="s">
        <v>194</v>
      </c>
    </row>
    <row r="76" spans="1:8" s="4" customFormat="1" ht="12.75">
      <c r="A76" s="56"/>
      <c r="B76" s="57"/>
      <c r="C76" s="105" t="s">
        <v>187</v>
      </c>
      <c r="D76" s="118" t="s">
        <v>89</v>
      </c>
      <c r="E76" s="106">
        <v>54</v>
      </c>
      <c r="F76" s="106" t="s">
        <v>88</v>
      </c>
      <c r="G76" s="107">
        <v>45783</v>
      </c>
      <c r="H76" s="108">
        <v>246118</v>
      </c>
    </row>
    <row r="77" spans="1:8" s="4" customFormat="1" ht="12.75">
      <c r="A77" s="56"/>
      <c r="B77" s="57"/>
      <c r="C77" s="105" t="s">
        <v>187</v>
      </c>
      <c r="D77" s="118" t="s">
        <v>89</v>
      </c>
      <c r="E77" s="106">
        <v>144</v>
      </c>
      <c r="F77" s="106" t="s">
        <v>88</v>
      </c>
      <c r="G77" s="107"/>
      <c r="H77" s="108" t="s">
        <v>189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1404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62C7-DC1E-41DA-ACF8-31069BC78651}">
  <sheetPr>
    <pageSetUpPr fitToPage="1"/>
  </sheetPr>
  <dimension ref="A3:P97"/>
  <sheetViews>
    <sheetView topLeftCell="A45" workbookViewId="0">
      <selection activeCell="C7" sqref="C7:H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89" t="s">
        <v>183</v>
      </c>
      <c r="D7" s="90" t="s">
        <v>185</v>
      </c>
      <c r="E7" s="90">
        <v>210</v>
      </c>
      <c r="F7" s="90" t="s">
        <v>88</v>
      </c>
      <c r="G7" s="91">
        <v>45783</v>
      </c>
      <c r="H7" s="93">
        <v>246118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89" t="s">
        <v>183</v>
      </c>
      <c r="D8" s="90" t="s">
        <v>186</v>
      </c>
      <c r="E8" s="90">
        <v>214</v>
      </c>
      <c r="F8" s="90" t="s">
        <v>88</v>
      </c>
      <c r="G8" s="91">
        <v>45783</v>
      </c>
      <c r="H8" s="93">
        <v>246118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187</v>
      </c>
      <c r="D10" s="90" t="s">
        <v>188</v>
      </c>
      <c r="E10" s="90">
        <v>216</v>
      </c>
      <c r="F10" s="90" t="s">
        <v>88</v>
      </c>
      <c r="G10" s="91">
        <v>45783</v>
      </c>
      <c r="H10" s="93">
        <v>246118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187</v>
      </c>
      <c r="D11" s="90" t="s">
        <v>188</v>
      </c>
      <c r="E11" s="90">
        <v>144</v>
      </c>
      <c r="F11" s="90" t="s">
        <v>88</v>
      </c>
      <c r="G11" s="91"/>
      <c r="H11" s="93" t="s">
        <v>189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187</v>
      </c>
      <c r="D12" s="90" t="s">
        <v>102</v>
      </c>
      <c r="E12" s="90">
        <v>108</v>
      </c>
      <c r="F12" s="90" t="s">
        <v>88</v>
      </c>
      <c r="G12" s="91">
        <v>45783</v>
      </c>
      <c r="H12" s="93">
        <v>246118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187</v>
      </c>
      <c r="D13" s="90" t="s">
        <v>102</v>
      </c>
      <c r="E13" s="90">
        <v>108</v>
      </c>
      <c r="F13" s="90" t="s">
        <v>88</v>
      </c>
      <c r="G13" s="91"/>
      <c r="H13" s="93" t="s">
        <v>189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198</v>
      </c>
      <c r="D16" s="90" t="s">
        <v>83</v>
      </c>
      <c r="E16" s="90">
        <v>54</v>
      </c>
      <c r="F16" s="90" t="s">
        <v>149</v>
      </c>
      <c r="G16" s="91">
        <v>45791</v>
      </c>
      <c r="H16" s="93" t="s">
        <v>194</v>
      </c>
      <c r="J16" s="25" t="s">
        <v>22</v>
      </c>
      <c r="K16" s="26" t="s">
        <v>14</v>
      </c>
      <c r="L16" s="29"/>
      <c r="M16" s="31"/>
    </row>
    <row r="17" spans="1:13">
      <c r="C17" s="89" t="s">
        <v>198</v>
      </c>
      <c r="D17" s="90" t="s">
        <v>199</v>
      </c>
      <c r="E17" s="90">
        <v>54</v>
      </c>
      <c r="F17" s="90" t="s">
        <v>149</v>
      </c>
      <c r="G17" s="91">
        <v>45791</v>
      </c>
      <c r="H17" s="93" t="s">
        <v>194</v>
      </c>
      <c r="J17" s="25" t="s">
        <v>23</v>
      </c>
      <c r="K17" s="26" t="s">
        <v>14</v>
      </c>
      <c r="L17" s="29"/>
      <c r="M17" s="26"/>
    </row>
    <row r="18" spans="1:13">
      <c r="C18" s="89" t="s">
        <v>48</v>
      </c>
      <c r="D18" s="99" t="s">
        <v>202</v>
      </c>
      <c r="E18" s="90">
        <v>240</v>
      </c>
      <c r="F18" s="90" t="s">
        <v>70</v>
      </c>
      <c r="G18" s="91">
        <v>45793</v>
      </c>
      <c r="H18" s="93">
        <v>12747435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202</v>
      </c>
      <c r="E19" s="90">
        <v>240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45783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45784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45785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66</v>
      </c>
      <c r="D54" s="20" t="s">
        <v>63</v>
      </c>
      <c r="E54" s="20">
        <v>120</v>
      </c>
      <c r="F54" s="20" t="s">
        <v>88</v>
      </c>
      <c r="G54" s="21">
        <v>45792</v>
      </c>
      <c r="H54" s="49">
        <v>246230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69</v>
      </c>
      <c r="E55" s="20">
        <v>60</v>
      </c>
      <c r="F55" s="20" t="s">
        <v>88</v>
      </c>
      <c r="G55" s="21">
        <v>45792</v>
      </c>
      <c r="H55" s="49">
        <v>246230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60</v>
      </c>
      <c r="D56" s="20" t="s">
        <v>74</v>
      </c>
      <c r="E56" s="20">
        <v>528</v>
      </c>
      <c r="F56" s="20" t="s">
        <v>82</v>
      </c>
      <c r="G56" s="21">
        <v>45786</v>
      </c>
      <c r="H56" s="49">
        <v>1629046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60</v>
      </c>
      <c r="D57" s="20" t="s">
        <v>63</v>
      </c>
      <c r="E57" s="20">
        <v>192</v>
      </c>
      <c r="F57" s="20" t="s">
        <v>82</v>
      </c>
      <c r="G57" s="21">
        <v>45786</v>
      </c>
      <c r="H57" s="49">
        <v>1629046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60</v>
      </c>
      <c r="D58" s="90" t="s">
        <v>65</v>
      </c>
      <c r="E58" s="90">
        <v>480</v>
      </c>
      <c r="F58" s="90" t="s">
        <v>82</v>
      </c>
      <c r="G58" s="91">
        <v>45786</v>
      </c>
      <c r="H58" s="93">
        <v>1629046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60</v>
      </c>
      <c r="D59" s="90" t="s">
        <v>103</v>
      </c>
      <c r="E59" s="90">
        <v>48</v>
      </c>
      <c r="F59" s="90" t="s">
        <v>82</v>
      </c>
      <c r="G59" s="91">
        <v>45786</v>
      </c>
      <c r="H59" s="93">
        <v>1629046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60</v>
      </c>
      <c r="D60" s="90" t="s">
        <v>103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1524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45786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45789</v>
      </c>
      <c r="H70" s="49">
        <v>321262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45789</v>
      </c>
      <c r="H71" s="49">
        <v>321262</v>
      </c>
    </row>
    <row r="72" spans="1:8" s="4" customFormat="1" ht="12.75">
      <c r="A72" s="47"/>
      <c r="B72" s="48"/>
      <c r="C72" s="19" t="s">
        <v>53</v>
      </c>
      <c r="D72" s="20" t="s">
        <v>134</v>
      </c>
      <c r="E72" s="20">
        <v>384</v>
      </c>
      <c r="F72" s="20" t="s">
        <v>59</v>
      </c>
      <c r="G72" s="21">
        <v>45789</v>
      </c>
      <c r="H72" s="49">
        <v>321262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45804</v>
      </c>
      <c r="H73" s="49">
        <v>321881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4FAD-DE2D-4ADB-8F5D-FA63BFF02026}">
  <sheetPr>
    <pageSetUpPr fitToPage="1"/>
  </sheetPr>
  <dimension ref="A3:P102"/>
  <sheetViews>
    <sheetView workbookViewId="0">
      <selection activeCell="G82" sqref="G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21"/>
    </row>
    <row r="7" spans="1:13">
      <c r="A7" s="12"/>
      <c r="B7" s="13"/>
      <c r="C7" s="19" t="s">
        <v>66</v>
      </c>
      <c r="D7" s="20" t="s">
        <v>81</v>
      </c>
      <c r="E7" s="20">
        <v>60</v>
      </c>
      <c r="F7" s="20" t="s">
        <v>88</v>
      </c>
      <c r="G7" s="21">
        <v>45792</v>
      </c>
      <c r="H7" s="49">
        <v>246230</v>
      </c>
    </row>
    <row r="8" spans="1:13">
      <c r="A8" s="12"/>
      <c r="B8" s="13"/>
      <c r="C8" s="19" t="s">
        <v>66</v>
      </c>
      <c r="D8" s="20" t="s">
        <v>67</v>
      </c>
      <c r="E8" s="20">
        <v>180</v>
      </c>
      <c r="F8" s="20" t="s">
        <v>88</v>
      </c>
      <c r="G8" s="21">
        <v>45792</v>
      </c>
      <c r="H8" s="49">
        <v>246230</v>
      </c>
    </row>
    <row r="9" spans="1:13">
      <c r="A9" s="12"/>
      <c r="B9" s="13"/>
      <c r="C9" s="19" t="s">
        <v>66</v>
      </c>
      <c r="D9" s="20" t="s">
        <v>64</v>
      </c>
      <c r="E9" s="20">
        <v>360</v>
      </c>
      <c r="F9" s="20" t="s">
        <v>88</v>
      </c>
      <c r="G9" s="21">
        <v>45792</v>
      </c>
      <c r="H9" s="49">
        <v>246230</v>
      </c>
    </row>
    <row r="10" spans="1:13">
      <c r="A10" s="12"/>
      <c r="B10" s="18"/>
      <c r="C10" s="19" t="s">
        <v>66</v>
      </c>
      <c r="D10" s="20" t="s">
        <v>68</v>
      </c>
      <c r="E10" s="20">
        <v>120</v>
      </c>
      <c r="F10" s="20" t="s">
        <v>88</v>
      </c>
      <c r="G10" s="21">
        <v>45792</v>
      </c>
      <c r="H10" s="49">
        <v>246230</v>
      </c>
      <c r="J10" s="23" t="s">
        <v>9</v>
      </c>
      <c r="K10" s="24" t="s">
        <v>10</v>
      </c>
      <c r="L10" s="24" t="s">
        <v>11</v>
      </c>
      <c r="M10" s="24" t="s">
        <v>12</v>
      </c>
    </row>
    <row r="11" spans="1:13" ht="15.75" customHeight="1">
      <c r="A11" s="12"/>
      <c r="B11" s="18"/>
      <c r="C11" s="19"/>
      <c r="D11" s="20"/>
      <c r="E11" s="20"/>
      <c r="F11" s="20"/>
      <c r="G11" s="21"/>
      <c r="H11" s="22"/>
      <c r="J11" s="25" t="s">
        <v>13</v>
      </c>
      <c r="K11" s="26" t="s">
        <v>14</v>
      </c>
      <c r="L11" s="27"/>
      <c r="M11" s="26"/>
    </row>
    <row r="12" spans="1:13" ht="15.75" customHeight="1">
      <c r="A12" s="12"/>
      <c r="B12" s="18"/>
      <c r="C12" s="19" t="s">
        <v>149</v>
      </c>
      <c r="D12" s="65" t="s">
        <v>68</v>
      </c>
      <c r="E12" s="20">
        <v>60</v>
      </c>
      <c r="F12" s="20" t="s">
        <v>149</v>
      </c>
      <c r="G12" s="21">
        <v>45791</v>
      </c>
      <c r="H12" s="22" t="s">
        <v>194</v>
      </c>
      <c r="J12" s="28" t="s">
        <v>15</v>
      </c>
      <c r="K12" s="26" t="s">
        <v>14</v>
      </c>
      <c r="L12" s="29" t="s">
        <v>14</v>
      </c>
      <c r="M12" s="26"/>
    </row>
    <row r="13" spans="1:13" ht="15.75" customHeight="1">
      <c r="A13" s="12"/>
      <c r="B13" s="18"/>
      <c r="C13" s="19" t="s">
        <v>149</v>
      </c>
      <c r="D13" s="20" t="s">
        <v>63</v>
      </c>
      <c r="E13" s="20">
        <v>60</v>
      </c>
      <c r="F13" s="20" t="s">
        <v>149</v>
      </c>
      <c r="G13" s="21">
        <v>45791</v>
      </c>
      <c r="H13" s="49" t="s">
        <v>194</v>
      </c>
      <c r="J13" s="28" t="s">
        <v>16</v>
      </c>
      <c r="K13" s="26" t="s">
        <v>14</v>
      </c>
      <c r="L13" s="29" t="s">
        <v>14</v>
      </c>
      <c r="M13" s="26"/>
    </row>
    <row r="14" spans="1:13">
      <c r="A14" s="12"/>
      <c r="B14" s="18"/>
      <c r="C14" s="19" t="s">
        <v>149</v>
      </c>
      <c r="D14" s="20" t="s">
        <v>67</v>
      </c>
      <c r="E14" s="20">
        <v>60</v>
      </c>
      <c r="F14" s="20" t="s">
        <v>149</v>
      </c>
      <c r="G14" s="21">
        <v>45791</v>
      </c>
      <c r="H14" s="49" t="s">
        <v>194</v>
      </c>
      <c r="J14" s="25" t="s">
        <v>17</v>
      </c>
      <c r="K14" s="26" t="s">
        <v>14</v>
      </c>
      <c r="L14" s="29"/>
      <c r="M14" s="30"/>
    </row>
    <row r="15" spans="1:13">
      <c r="A15" s="12"/>
      <c r="B15" s="18"/>
      <c r="C15" s="19" t="s">
        <v>149</v>
      </c>
      <c r="D15" s="65" t="s">
        <v>74</v>
      </c>
      <c r="E15" s="20">
        <v>60</v>
      </c>
      <c r="F15" s="20" t="s">
        <v>149</v>
      </c>
      <c r="G15" s="21">
        <v>45791</v>
      </c>
      <c r="H15" s="22" t="s">
        <v>194</v>
      </c>
      <c r="J15" s="25" t="s">
        <v>18</v>
      </c>
      <c r="K15" s="26" t="s">
        <v>14</v>
      </c>
      <c r="L15" s="29"/>
      <c r="M15" s="30"/>
    </row>
    <row r="16" spans="1:13">
      <c r="A16" s="12"/>
      <c r="B16" s="18"/>
      <c r="C16" s="19"/>
      <c r="D16" s="20"/>
      <c r="E16" s="20"/>
      <c r="F16" s="20"/>
      <c r="G16" s="21"/>
      <c r="H16" s="49"/>
      <c r="J16" s="25" t="s">
        <v>19</v>
      </c>
      <c r="K16" s="26" t="s">
        <v>14</v>
      </c>
      <c r="L16" s="29"/>
      <c r="M16" s="30"/>
    </row>
    <row r="17" spans="1:13">
      <c r="A17" s="12"/>
      <c r="B17" s="18"/>
      <c r="C17" s="19" t="s">
        <v>149</v>
      </c>
      <c r="D17" s="20" t="s">
        <v>195</v>
      </c>
      <c r="E17" s="20">
        <v>96</v>
      </c>
      <c r="F17" s="20" t="s">
        <v>149</v>
      </c>
      <c r="G17" s="21">
        <v>45791</v>
      </c>
      <c r="H17" s="49" t="s">
        <v>194</v>
      </c>
      <c r="J17" s="25" t="s">
        <v>20</v>
      </c>
      <c r="K17" s="26" t="s">
        <v>14</v>
      </c>
      <c r="L17" s="29"/>
      <c r="M17" s="30"/>
    </row>
    <row r="18" spans="1:13">
      <c r="A18" s="12"/>
      <c r="B18" s="18"/>
      <c r="C18" s="19" t="s">
        <v>149</v>
      </c>
      <c r="D18" s="20" t="s">
        <v>196</v>
      </c>
      <c r="E18" s="20">
        <v>96</v>
      </c>
      <c r="F18" s="20" t="s">
        <v>149</v>
      </c>
      <c r="G18" s="21">
        <v>45791</v>
      </c>
      <c r="H18" s="22" t="s">
        <v>194</v>
      </c>
      <c r="J18" s="25" t="s">
        <v>21</v>
      </c>
      <c r="K18" s="26" t="s">
        <v>14</v>
      </c>
      <c r="L18" s="29"/>
      <c r="M18" s="31"/>
    </row>
    <row r="19" spans="1:13">
      <c r="A19" s="12"/>
      <c r="B19" s="32"/>
      <c r="C19" s="19" t="s">
        <v>149</v>
      </c>
      <c r="D19" s="65" t="s">
        <v>197</v>
      </c>
      <c r="E19" s="20">
        <v>48</v>
      </c>
      <c r="F19" s="20" t="s">
        <v>149</v>
      </c>
      <c r="G19" s="21">
        <v>45791</v>
      </c>
      <c r="H19" s="49" t="s">
        <v>194</v>
      </c>
      <c r="J19" s="25" t="s">
        <v>22</v>
      </c>
      <c r="K19" s="26" t="s">
        <v>14</v>
      </c>
      <c r="L19" s="29"/>
      <c r="M19" s="31"/>
    </row>
    <row r="20" spans="1:13">
      <c r="C20" s="19" t="s">
        <v>149</v>
      </c>
      <c r="D20" s="20" t="s">
        <v>61</v>
      </c>
      <c r="E20" s="20">
        <v>96</v>
      </c>
      <c r="F20" s="20" t="s">
        <v>149</v>
      </c>
      <c r="G20" s="21">
        <v>45791</v>
      </c>
      <c r="H20" s="22" t="s">
        <v>194</v>
      </c>
      <c r="J20" s="25" t="s">
        <v>23</v>
      </c>
      <c r="K20" s="26" t="s">
        <v>14</v>
      </c>
      <c r="L20" s="29"/>
      <c r="M20" s="26"/>
    </row>
    <row r="21" spans="1:13">
      <c r="C21" s="19"/>
      <c r="D21" s="20"/>
      <c r="E21" s="20"/>
      <c r="F21" s="20"/>
      <c r="G21" s="21"/>
      <c r="H21" s="49"/>
      <c r="J21" s="25" t="s">
        <v>24</v>
      </c>
      <c r="K21" s="26" t="s">
        <v>14</v>
      </c>
      <c r="L21" s="29"/>
      <c r="M21" s="26"/>
    </row>
    <row r="22" spans="1:13">
      <c r="C22" s="19" t="s">
        <v>198</v>
      </c>
      <c r="D22" s="20" t="s">
        <v>163</v>
      </c>
      <c r="E22" s="20">
        <v>54</v>
      </c>
      <c r="F22" s="20" t="s">
        <v>149</v>
      </c>
      <c r="G22" s="21">
        <v>45791</v>
      </c>
      <c r="H22" s="49" t="s">
        <v>194</v>
      </c>
      <c r="J22" s="33" t="s">
        <v>25</v>
      </c>
      <c r="K22" s="26"/>
      <c r="L22" s="29"/>
      <c r="M22" s="26"/>
    </row>
    <row r="23" spans="1:13">
      <c r="C23" s="19" t="s">
        <v>198</v>
      </c>
      <c r="D23" s="20" t="s">
        <v>162</v>
      </c>
      <c r="E23" s="20">
        <v>54</v>
      </c>
      <c r="F23" s="20" t="s">
        <v>149</v>
      </c>
      <c r="G23" s="21">
        <v>45791</v>
      </c>
      <c r="H23" s="49" t="s">
        <v>194</v>
      </c>
      <c r="J23" s="34" t="s">
        <v>26</v>
      </c>
      <c r="K23" s="26"/>
      <c r="L23" s="26" t="s">
        <v>14</v>
      </c>
      <c r="M23" s="26"/>
    </row>
    <row r="24" spans="1:13">
      <c r="C24" s="19"/>
      <c r="D24" s="20"/>
      <c r="E24" s="20"/>
      <c r="F24" s="20"/>
      <c r="G24" s="21"/>
      <c r="H24" s="49"/>
      <c r="J24" s="34" t="s">
        <v>27</v>
      </c>
      <c r="K24" s="26"/>
      <c r="L24" s="26" t="s">
        <v>14</v>
      </c>
      <c r="M24" s="26"/>
    </row>
    <row r="25" spans="1:13" ht="15.75" thickBot="1">
      <c r="C25" s="35"/>
      <c r="D25" s="36"/>
      <c r="E25" s="37">
        <f>SUM(E6:E24)</f>
        <v>1404</v>
      </c>
      <c r="F25" s="36"/>
      <c r="G25" s="36"/>
      <c r="H25" s="38"/>
      <c r="J25" s="34" t="s">
        <v>28</v>
      </c>
      <c r="K25" s="26"/>
      <c r="L25" s="26" t="s">
        <v>14</v>
      </c>
      <c r="M25" s="26"/>
    </row>
    <row r="26" spans="1:13" ht="15.75" thickBot="1">
      <c r="A26" s="39" t="s">
        <v>29</v>
      </c>
      <c r="B26" s="40">
        <f>B5+1</f>
        <v>45790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25" t="s">
        <v>30</v>
      </c>
      <c r="K26" s="26" t="s">
        <v>14</v>
      </c>
      <c r="L26" s="26"/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31</v>
      </c>
      <c r="K27" s="46"/>
      <c r="L27" s="46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32</v>
      </c>
      <c r="K28" s="50"/>
      <c r="L28" s="4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33</v>
      </c>
      <c r="K29" s="26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34</v>
      </c>
      <c r="K30" s="51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33" t="s">
        <v>35</v>
      </c>
      <c r="K31" s="53"/>
      <c r="L31" s="52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4" t="s">
        <v>36</v>
      </c>
      <c r="K32" s="53"/>
      <c r="L32" s="52"/>
      <c r="M32" s="26" t="s">
        <v>14</v>
      </c>
    </row>
    <row r="33" spans="1:16">
      <c r="A33" s="47"/>
      <c r="B33" s="48"/>
      <c r="C33" s="19"/>
      <c r="D33" s="20"/>
      <c r="E33" s="20"/>
      <c r="F33" s="20"/>
      <c r="G33" s="21"/>
      <c r="H33" s="49"/>
      <c r="J33" s="33" t="s">
        <v>37</v>
      </c>
      <c r="K33" s="53"/>
      <c r="L33" s="52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55" t="s">
        <v>38</v>
      </c>
      <c r="K34" s="26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55" t="s">
        <v>39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22"/>
      <c r="J36" s="34" t="s">
        <v>40</v>
      </c>
      <c r="K36" s="29"/>
      <c r="L36" s="26" t="s">
        <v>14</v>
      </c>
      <c r="M36" s="26"/>
    </row>
    <row r="37" spans="1:16">
      <c r="A37" s="47"/>
      <c r="B37" s="48"/>
      <c r="C37" s="19"/>
      <c r="D37" s="20"/>
      <c r="E37" s="20"/>
      <c r="F37" s="20"/>
      <c r="G37" s="21"/>
      <c r="H37" s="22"/>
      <c r="J37" s="25" t="s">
        <v>41</v>
      </c>
      <c r="K37" s="26" t="s">
        <v>14</v>
      </c>
      <c r="L37" s="26"/>
      <c r="M37" s="26"/>
    </row>
    <row r="38" spans="1:16">
      <c r="A38" s="47"/>
      <c r="B38" s="48"/>
      <c r="C38" s="19"/>
      <c r="D38" s="20"/>
      <c r="E38" s="20"/>
      <c r="F38" s="20"/>
      <c r="G38" s="21"/>
      <c r="H38" s="22"/>
      <c r="J38" s="34" t="s">
        <v>42</v>
      </c>
      <c r="K38" s="26"/>
      <c r="L38" s="26" t="s">
        <v>14</v>
      </c>
      <c r="M38" s="26"/>
    </row>
    <row r="39" spans="1:16">
      <c r="A39" s="47"/>
      <c r="B39" s="48"/>
      <c r="C39" s="19"/>
      <c r="D39" s="20"/>
      <c r="E39" s="20"/>
      <c r="F39" s="20"/>
      <c r="G39" s="21"/>
      <c r="H39" s="22"/>
      <c r="J39" s="34" t="s">
        <v>43</v>
      </c>
      <c r="K39" s="26"/>
      <c r="L39" s="26" t="s">
        <v>14</v>
      </c>
      <c r="M39" s="26"/>
    </row>
    <row r="40" spans="1:16">
      <c r="A40" s="47"/>
      <c r="B40" s="48"/>
      <c r="C40" s="19"/>
      <c r="D40" s="20"/>
      <c r="E40" s="20"/>
      <c r="F40" s="20"/>
      <c r="G40" s="21"/>
      <c r="H40" s="22"/>
      <c r="J40" s="34" t="s">
        <v>45</v>
      </c>
      <c r="K40" s="63"/>
      <c r="L40" s="26" t="s">
        <v>14</v>
      </c>
      <c r="M40" s="26"/>
    </row>
    <row r="41" spans="1:16" ht="15.75" thickBot="1">
      <c r="A41" s="56"/>
      <c r="B41" s="57"/>
      <c r="C41" s="35"/>
      <c r="D41" s="36"/>
      <c r="E41" s="58">
        <f>SUM(E27:E40)</f>
        <v>0</v>
      </c>
      <c r="F41" s="36"/>
      <c r="G41" s="59"/>
      <c r="H41" s="38"/>
      <c r="J41" s="34" t="s">
        <v>46</v>
      </c>
      <c r="K41" s="26"/>
      <c r="L41" s="26" t="s">
        <v>14</v>
      </c>
      <c r="M41" s="26"/>
    </row>
    <row r="42" spans="1:16" ht="15.75" thickBot="1">
      <c r="A42" s="39" t="s">
        <v>44</v>
      </c>
      <c r="B42" s="40">
        <f>B26+1</f>
        <v>45791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3" t="s">
        <v>47</v>
      </c>
      <c r="K42" s="46"/>
      <c r="L42" s="46" t="s">
        <v>14</v>
      </c>
      <c r="M42" s="26"/>
    </row>
    <row r="43" spans="1:16">
      <c r="A43" s="44"/>
      <c r="B43" s="45"/>
      <c r="C43" s="14"/>
      <c r="D43" s="15"/>
      <c r="E43" s="15"/>
      <c r="F43" s="15"/>
      <c r="G43" s="16"/>
      <c r="H43" s="17"/>
      <c r="J43" s="34" t="s">
        <v>49</v>
      </c>
      <c r="K43" s="26"/>
      <c r="L43" s="26" t="s">
        <v>14</v>
      </c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4" t="s">
        <v>50</v>
      </c>
      <c r="K44" s="26"/>
      <c r="L44" s="26"/>
      <c r="M44" s="26" t="s">
        <v>14</v>
      </c>
      <c r="P44" s="64"/>
    </row>
    <row r="45" spans="1:16" ht="13.5" customHeight="1">
      <c r="A45" s="47"/>
      <c r="B45" s="48"/>
      <c r="C45" s="19"/>
      <c r="D45" s="20"/>
      <c r="E45" s="20"/>
      <c r="F45" s="20"/>
      <c r="G45" s="21"/>
      <c r="H45" s="49"/>
      <c r="J45" s="34" t="s">
        <v>51</v>
      </c>
      <c r="K45" s="26"/>
      <c r="L45" s="26" t="s">
        <v>14</v>
      </c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66" t="s">
        <v>49</v>
      </c>
      <c r="K46" s="67"/>
      <c r="L46" s="67" t="s">
        <v>14</v>
      </c>
      <c r="M46" s="67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J47" s="68" t="s">
        <v>50</v>
      </c>
      <c r="K47" s="67"/>
      <c r="L47" s="67"/>
      <c r="M47" s="67" t="s">
        <v>14</v>
      </c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  <c r="J48" s="66" t="s">
        <v>51</v>
      </c>
      <c r="K48" s="67"/>
      <c r="L48" s="67" t="s">
        <v>14</v>
      </c>
      <c r="M48" s="67"/>
      <c r="P48" s="64"/>
    </row>
    <row r="49" spans="1:16">
      <c r="A49" s="47"/>
      <c r="B49" s="48"/>
      <c r="C49" s="19"/>
      <c r="D49" s="20"/>
      <c r="E49" s="20"/>
      <c r="F49" s="20"/>
      <c r="G49" s="21"/>
      <c r="H49" s="49"/>
      <c r="J49" s="5"/>
      <c r="K49" s="5"/>
      <c r="L49" s="5"/>
      <c r="P49" s="64"/>
    </row>
    <row r="50" spans="1:16">
      <c r="A50" s="47"/>
      <c r="B50" s="48"/>
      <c r="C50" s="19"/>
      <c r="D50" s="20"/>
      <c r="E50" s="20"/>
      <c r="F50" s="20"/>
      <c r="G50" s="21"/>
      <c r="H50" s="49"/>
      <c r="J50" s="5"/>
      <c r="K50" s="5"/>
      <c r="L50" s="5"/>
      <c r="P50" s="64"/>
    </row>
    <row r="51" spans="1:16">
      <c r="A51" s="47"/>
      <c r="B51" s="48"/>
      <c r="C51" s="19"/>
      <c r="D51" s="20"/>
      <c r="E51" s="20"/>
      <c r="F51" s="20"/>
      <c r="G51" s="21"/>
      <c r="H51" s="49"/>
      <c r="M51" s="69"/>
      <c r="P51" s="64"/>
    </row>
    <row r="52" spans="1:16">
      <c r="A52" s="47"/>
      <c r="B52" s="48"/>
      <c r="C52" s="19"/>
      <c r="D52" s="20"/>
      <c r="E52" s="20"/>
      <c r="F52" s="20"/>
      <c r="G52" s="21"/>
      <c r="H52" s="49"/>
      <c r="M52" s="69"/>
      <c r="P52" s="64"/>
    </row>
    <row r="53" spans="1:16">
      <c r="A53" s="47"/>
      <c r="B53" s="48"/>
      <c r="C53" s="19"/>
      <c r="D53" s="20"/>
      <c r="E53" s="20"/>
      <c r="F53" s="20"/>
      <c r="G53" s="21"/>
      <c r="H53" s="22"/>
    </row>
    <row r="54" spans="1:16">
      <c r="A54" s="47"/>
      <c r="B54" s="48"/>
      <c r="C54" s="19"/>
      <c r="D54" s="20"/>
      <c r="E54" s="20"/>
      <c r="F54" s="20"/>
      <c r="G54" s="21"/>
      <c r="H54" s="22"/>
    </row>
    <row r="55" spans="1:16">
      <c r="A55" s="47"/>
      <c r="B55" s="48"/>
      <c r="C55" s="19"/>
      <c r="D55" s="20"/>
      <c r="E55" s="70">
        <f>SUM(E43:E54)</f>
        <v>0</v>
      </c>
      <c r="F55" s="20"/>
      <c r="G55" s="21"/>
      <c r="H55" s="22"/>
    </row>
    <row r="56" spans="1:16" ht="15.75" thickBot="1">
      <c r="A56" s="56"/>
      <c r="B56" s="57"/>
      <c r="C56" s="71"/>
      <c r="D56" s="72"/>
      <c r="E56" s="36"/>
      <c r="F56" s="36"/>
      <c r="G56" s="36"/>
      <c r="H56" s="38"/>
      <c r="J56" s="73"/>
      <c r="K56" s="74"/>
      <c r="L56" s="75"/>
    </row>
    <row r="57" spans="1:16" ht="15.75" thickBot="1">
      <c r="A57" s="39" t="s">
        <v>52</v>
      </c>
      <c r="B57" s="40">
        <f>B42+1</f>
        <v>45792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</row>
    <row r="58" spans="1:16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</row>
    <row r="59" spans="1:16">
      <c r="A59" s="44"/>
      <c r="B59" s="45"/>
      <c r="C59" s="19" t="s">
        <v>3</v>
      </c>
      <c r="D59" s="20" t="s">
        <v>86</v>
      </c>
      <c r="E59" s="20">
        <v>240</v>
      </c>
      <c r="F59" s="20" t="s">
        <v>148</v>
      </c>
      <c r="G59" s="21">
        <v>45796</v>
      </c>
      <c r="H59" s="49">
        <v>70639</v>
      </c>
      <c r="J59" s="3"/>
      <c r="K59" s="3"/>
      <c r="L59" s="3"/>
    </row>
    <row r="60" spans="1:16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6">
      <c r="A61" s="47"/>
      <c r="B61" s="48"/>
      <c r="C61" s="19"/>
      <c r="D61" s="20"/>
      <c r="E61" s="20"/>
      <c r="F61" s="20"/>
      <c r="G61" s="21"/>
      <c r="H61" s="49"/>
      <c r="J61" s="3"/>
      <c r="K61" s="3"/>
      <c r="L61" s="3"/>
      <c r="M61" s="3"/>
      <c r="N61" s="81"/>
      <c r="O61" s="3"/>
    </row>
    <row r="62" spans="1:16">
      <c r="A62" s="47"/>
      <c r="B62" s="48"/>
      <c r="C62" s="89" t="s">
        <v>183</v>
      </c>
      <c r="D62" s="90" t="s">
        <v>185</v>
      </c>
      <c r="E62" s="90">
        <v>210</v>
      </c>
      <c r="F62" s="90" t="s">
        <v>88</v>
      </c>
      <c r="G62" s="91">
        <v>45792</v>
      </c>
      <c r="H62" s="93">
        <v>246230</v>
      </c>
      <c r="J62" s="3"/>
      <c r="K62" s="3"/>
      <c r="L62" s="3"/>
      <c r="M62" s="3"/>
      <c r="N62" s="81"/>
      <c r="O62" s="3"/>
    </row>
    <row r="63" spans="1:16">
      <c r="A63" s="47"/>
      <c r="B63" s="48"/>
      <c r="C63" s="89" t="s">
        <v>183</v>
      </c>
      <c r="D63" s="90" t="s">
        <v>186</v>
      </c>
      <c r="E63" s="90">
        <v>210</v>
      </c>
      <c r="F63" s="90" t="s">
        <v>88</v>
      </c>
      <c r="G63" s="91">
        <v>45792</v>
      </c>
      <c r="H63" s="93">
        <v>246230</v>
      </c>
      <c r="J63" s="3"/>
      <c r="K63" s="3"/>
      <c r="L63" s="3"/>
      <c r="M63" s="3"/>
      <c r="N63" s="81"/>
      <c r="O63" s="3"/>
    </row>
    <row r="64" spans="1:16">
      <c r="A64" s="47"/>
      <c r="B64" s="48"/>
      <c r="C64" s="19"/>
      <c r="D64" s="65"/>
      <c r="E64" s="20"/>
      <c r="F64" s="20"/>
      <c r="G64" s="21"/>
      <c r="H64" s="49"/>
      <c r="J64" s="3"/>
      <c r="K64" s="3"/>
      <c r="L64" s="3"/>
      <c r="M64" s="3"/>
      <c r="N64" s="81"/>
      <c r="O64" s="3"/>
    </row>
    <row r="65" spans="1:15">
      <c r="A65" s="47"/>
      <c r="B65" s="48"/>
      <c r="C65" s="19"/>
      <c r="D65" s="20"/>
      <c r="E65" s="20"/>
      <c r="F65" s="20"/>
      <c r="G65" s="21"/>
      <c r="H65" s="49"/>
      <c r="J65" s="3"/>
      <c r="K65" s="3"/>
      <c r="L65" s="3"/>
      <c r="M65" s="3"/>
      <c r="N65" s="81"/>
      <c r="O65" s="3"/>
    </row>
    <row r="66" spans="1:15">
      <c r="A66" s="47"/>
      <c r="B66" s="48"/>
      <c r="C66" s="19"/>
      <c r="D66" s="20"/>
      <c r="E66" s="20"/>
      <c r="F66" s="20"/>
      <c r="G66" s="21"/>
      <c r="H66" s="49"/>
      <c r="M66" s="3"/>
      <c r="N66" s="81"/>
      <c r="O66" s="3"/>
    </row>
    <row r="67" spans="1:15" s="4" customFormat="1" ht="12.75">
      <c r="A67" s="47"/>
      <c r="B67" s="48"/>
      <c r="C67" s="89" t="s">
        <v>48</v>
      </c>
      <c r="D67" s="90" t="s">
        <v>65</v>
      </c>
      <c r="E67" s="90">
        <v>240</v>
      </c>
      <c r="F67" s="90" t="s">
        <v>70</v>
      </c>
      <c r="G67" s="91">
        <v>45800</v>
      </c>
      <c r="H67" s="93">
        <v>12784171</v>
      </c>
      <c r="M67" s="3"/>
      <c r="N67" s="81"/>
      <c r="O67" s="3"/>
    </row>
    <row r="68" spans="1:15" s="4" customFormat="1" ht="12.75">
      <c r="A68" s="47"/>
      <c r="B68" s="48"/>
      <c r="C68" s="89" t="s">
        <v>48</v>
      </c>
      <c r="D68" s="99" t="s">
        <v>166</v>
      </c>
      <c r="E68" s="90">
        <v>336</v>
      </c>
      <c r="F68" s="90" t="s">
        <v>70</v>
      </c>
      <c r="G68" s="91">
        <v>45800</v>
      </c>
      <c r="H68" s="93">
        <v>12784147</v>
      </c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15" s="4" customFormat="1" ht="12.75">
      <c r="A71" s="47"/>
      <c r="B71" s="48"/>
      <c r="C71" s="19"/>
      <c r="D71" s="20"/>
      <c r="E71" s="70">
        <f>SUM(E58:E70)</f>
        <v>1236</v>
      </c>
      <c r="F71" s="20"/>
      <c r="G71" s="21"/>
      <c r="H71" s="22"/>
    </row>
    <row r="72" spans="1:15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15" s="4" customFormat="1" ht="13.5" thickBot="1">
      <c r="A73" s="7" t="s">
        <v>54</v>
      </c>
      <c r="B73" s="8">
        <f>B57+1</f>
        <v>45793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15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15" s="4" customFormat="1" ht="12.75">
      <c r="A75" s="47"/>
      <c r="B75" s="48"/>
      <c r="C75" s="19" t="s">
        <v>53</v>
      </c>
      <c r="D75" s="20" t="s">
        <v>62</v>
      </c>
      <c r="E75" s="20">
        <v>384</v>
      </c>
      <c r="F75" s="20" t="s">
        <v>59</v>
      </c>
      <c r="G75" s="21">
        <v>45796</v>
      </c>
      <c r="H75" s="49">
        <v>321263</v>
      </c>
    </row>
    <row r="76" spans="1:15" s="4" customFormat="1" ht="12.75">
      <c r="A76" s="47"/>
      <c r="B76" s="48"/>
      <c r="C76" s="19" t="s">
        <v>53</v>
      </c>
      <c r="D76" s="20" t="s">
        <v>68</v>
      </c>
      <c r="E76" s="20">
        <v>480</v>
      </c>
      <c r="F76" s="20" t="s">
        <v>59</v>
      </c>
      <c r="G76" s="21">
        <v>45796</v>
      </c>
      <c r="H76" s="49">
        <v>321263</v>
      </c>
    </row>
    <row r="77" spans="1:15" s="4" customFormat="1" ht="12.75">
      <c r="A77" s="47"/>
      <c r="B77" s="48"/>
      <c r="C77" s="19" t="s">
        <v>53</v>
      </c>
      <c r="D77" s="20" t="s">
        <v>68</v>
      </c>
      <c r="E77" s="20">
        <v>384</v>
      </c>
      <c r="F77" s="20" t="s">
        <v>59</v>
      </c>
      <c r="G77" s="21">
        <v>45804</v>
      </c>
      <c r="H77" s="49">
        <v>321881</v>
      </c>
    </row>
    <row r="78" spans="1:15" s="4" customFormat="1" ht="12.75">
      <c r="A78" s="47"/>
      <c r="B78" s="48"/>
      <c r="C78" s="89" t="s">
        <v>53</v>
      </c>
      <c r="D78" s="90" t="s">
        <v>65</v>
      </c>
      <c r="E78" s="90">
        <v>384</v>
      </c>
      <c r="F78" s="90" t="s">
        <v>59</v>
      </c>
      <c r="G78" s="91">
        <v>45796</v>
      </c>
      <c r="H78" s="93">
        <v>321263</v>
      </c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1632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45794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16B-2FB9-413C-BC50-BF9B6243A6C3}">
  <dimension ref="A3:P96"/>
  <sheetViews>
    <sheetView topLeftCell="A9" workbookViewId="0">
      <selection activeCell="E73" sqref="E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45796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20" t="s">
        <v>61</v>
      </c>
      <c r="E7" s="20">
        <v>576</v>
      </c>
      <c r="F7" s="20" t="s">
        <v>70</v>
      </c>
      <c r="G7" s="21">
        <v>45800</v>
      </c>
      <c r="H7" s="49">
        <v>12784147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76</v>
      </c>
      <c r="E8" s="20">
        <v>432</v>
      </c>
      <c r="F8" s="20" t="s">
        <v>99</v>
      </c>
      <c r="G8" s="21">
        <v>45803</v>
      </c>
      <c r="H8" s="49">
        <v>451483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192</v>
      </c>
      <c r="F9" s="20" t="s">
        <v>70</v>
      </c>
      <c r="G9" s="21">
        <v>45800</v>
      </c>
      <c r="H9" s="49">
        <v>12784147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71</v>
      </c>
      <c r="E10" s="20">
        <v>192</v>
      </c>
      <c r="F10" s="20" t="s">
        <v>70</v>
      </c>
      <c r="G10" s="21">
        <v>45810</v>
      </c>
      <c r="H10" s="49">
        <v>12801690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72</v>
      </c>
      <c r="E11" s="20">
        <v>288</v>
      </c>
      <c r="F11" s="20" t="s">
        <v>70</v>
      </c>
      <c r="G11" s="21">
        <v>45800</v>
      </c>
      <c r="H11" s="49">
        <v>12784171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45797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45798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45799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20" t="s">
        <v>63</v>
      </c>
      <c r="E54" s="20">
        <v>192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71</v>
      </c>
      <c r="E55" s="20">
        <v>96</v>
      </c>
      <c r="F55" s="20" t="s">
        <v>77</v>
      </c>
      <c r="G55" s="21">
        <v>45806</v>
      </c>
      <c r="H55" s="49">
        <v>40084146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432</v>
      </c>
      <c r="F58" s="20" t="s">
        <v>99</v>
      </c>
      <c r="G58" s="21">
        <v>45803</v>
      </c>
      <c r="H58" s="49">
        <v>451483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384</v>
      </c>
      <c r="F60" s="20" t="s">
        <v>99</v>
      </c>
      <c r="G60" s="21">
        <v>45811</v>
      </c>
      <c r="H60" s="49">
        <v>449861</v>
      </c>
      <c r="J60" s="3"/>
      <c r="K60" s="3"/>
      <c r="L60" s="3"/>
      <c r="M60" s="3"/>
      <c r="N60" s="81"/>
      <c r="O60" s="3"/>
    </row>
    <row r="61" spans="1:15" ht="15" customHeight="1">
      <c r="A61" s="47"/>
      <c r="B61" s="48"/>
      <c r="C61" s="19" t="s">
        <v>75</v>
      </c>
      <c r="D61" s="20" t="s">
        <v>68</v>
      </c>
      <c r="E61" s="20">
        <v>96</v>
      </c>
      <c r="F61" s="20" t="s">
        <v>77</v>
      </c>
      <c r="G61" s="21">
        <v>45806</v>
      </c>
      <c r="H61" s="49">
        <v>40084146</v>
      </c>
      <c r="J61" s="3"/>
      <c r="K61" s="3"/>
      <c r="L61" s="3"/>
      <c r="M61" s="3"/>
      <c r="N61" s="81"/>
      <c r="O61" s="3"/>
    </row>
    <row r="62" spans="1:15" ht="15" customHeight="1">
      <c r="A62" s="47"/>
      <c r="B62" s="48"/>
      <c r="C62" s="19" t="s">
        <v>94</v>
      </c>
      <c r="D62" s="20" t="s">
        <v>107</v>
      </c>
      <c r="E62" s="20">
        <v>54</v>
      </c>
      <c r="F62" s="20" t="s">
        <v>165</v>
      </c>
      <c r="G62" s="21">
        <v>45800</v>
      </c>
      <c r="H62" s="49">
        <v>112347</v>
      </c>
      <c r="M62" s="3"/>
      <c r="N62" s="81"/>
      <c r="O62" s="3"/>
    </row>
    <row r="63" spans="1:15" s="4" customFormat="1" ht="15" customHeight="1">
      <c r="A63" s="47"/>
      <c r="B63" s="48"/>
      <c r="C63" s="19" t="s">
        <v>75</v>
      </c>
      <c r="D63" s="65" t="s">
        <v>107</v>
      </c>
      <c r="E63" s="20">
        <v>48</v>
      </c>
      <c r="F63" s="20" t="s">
        <v>77</v>
      </c>
      <c r="G63" s="21">
        <v>45806</v>
      </c>
      <c r="H63" s="49">
        <v>40084146</v>
      </c>
      <c r="M63" s="3"/>
      <c r="N63" s="81"/>
      <c r="O63" s="3"/>
    </row>
    <row r="64" spans="1:15" s="4" customFormat="1" ht="12.75">
      <c r="A64" s="47"/>
      <c r="B64" s="48"/>
      <c r="C64" s="116" t="s">
        <v>75</v>
      </c>
      <c r="D64" s="127" t="s">
        <v>212</v>
      </c>
      <c r="E64" s="94">
        <v>96</v>
      </c>
      <c r="F64" s="94" t="s">
        <v>77</v>
      </c>
      <c r="G64" s="95">
        <v>45806</v>
      </c>
      <c r="H64" s="102">
        <v>40084146</v>
      </c>
    </row>
    <row r="65" spans="1:8" s="4" customFormat="1" ht="12.75">
      <c r="A65" s="47"/>
      <c r="B65" s="48"/>
      <c r="C65" s="19"/>
      <c r="D65" s="20"/>
      <c r="E65" s="70">
        <f>SUM(E53:E63)</f>
        <v>1590</v>
      </c>
      <c r="F65" s="20"/>
      <c r="G65" s="21"/>
      <c r="H65" s="22"/>
    </row>
    <row r="66" spans="1:8" s="4" customFormat="1" ht="13.5" thickBot="1">
      <c r="A66" s="56"/>
      <c r="B66" s="57"/>
      <c r="C66" s="71"/>
      <c r="D66" s="72"/>
      <c r="E66" s="37"/>
      <c r="F66" s="36"/>
      <c r="G66" s="36"/>
      <c r="H66" s="38"/>
    </row>
    <row r="67" spans="1:8" s="4" customFormat="1" ht="13.5" thickBot="1">
      <c r="A67" s="7" t="s">
        <v>54</v>
      </c>
      <c r="B67" s="8">
        <f>B52+1</f>
        <v>45800</v>
      </c>
      <c r="C67" s="82" t="s">
        <v>3</v>
      </c>
      <c r="D67" s="83" t="s">
        <v>4</v>
      </c>
      <c r="E67" s="83" t="s">
        <v>5</v>
      </c>
      <c r="F67" s="83" t="s">
        <v>6</v>
      </c>
      <c r="G67" s="83" t="s">
        <v>7</v>
      </c>
      <c r="H67" s="84" t="s">
        <v>8</v>
      </c>
    </row>
    <row r="68" spans="1:8" s="4" customFormat="1" ht="12.75">
      <c r="A68" s="44"/>
      <c r="B68" s="45"/>
      <c r="C68" s="14"/>
      <c r="D68" s="15"/>
      <c r="E68" s="15"/>
      <c r="F68" s="15"/>
      <c r="G68" s="16"/>
      <c r="H68" s="17"/>
    </row>
    <row r="69" spans="1:8" s="4" customFormat="1" ht="12.75">
      <c r="A69" s="47"/>
      <c r="B69" s="48"/>
      <c r="C69" s="89" t="s">
        <v>75</v>
      </c>
      <c r="D69" s="99" t="s">
        <v>65</v>
      </c>
      <c r="E69" s="90">
        <v>48</v>
      </c>
      <c r="F69" s="90" t="s">
        <v>77</v>
      </c>
      <c r="G69" s="91">
        <v>45806</v>
      </c>
      <c r="H69" s="93">
        <v>40084146</v>
      </c>
    </row>
    <row r="70" spans="1:8" s="4" customFormat="1" ht="12.75">
      <c r="A70" s="47"/>
      <c r="B70" s="48"/>
      <c r="C70" s="89" t="s">
        <v>75</v>
      </c>
      <c r="D70" s="99" t="s">
        <v>80</v>
      </c>
      <c r="E70" s="90">
        <v>96</v>
      </c>
      <c r="F70" s="90" t="s">
        <v>77</v>
      </c>
      <c r="G70" s="91">
        <v>45806</v>
      </c>
      <c r="H70" s="93">
        <v>40084146</v>
      </c>
    </row>
    <row r="71" spans="1:8" s="4" customFormat="1" ht="12.75">
      <c r="A71" s="47"/>
      <c r="B71" s="48"/>
      <c r="C71" s="89" t="s">
        <v>94</v>
      </c>
      <c r="D71" s="99" t="s">
        <v>80</v>
      </c>
      <c r="E71" s="90">
        <v>108</v>
      </c>
      <c r="F71" s="90" t="s">
        <v>165</v>
      </c>
      <c r="G71" s="91">
        <v>45800</v>
      </c>
      <c r="H71" s="93">
        <v>112347</v>
      </c>
    </row>
    <row r="72" spans="1:8" s="4" customFormat="1" ht="12.75">
      <c r="A72" s="47"/>
      <c r="B72" s="48"/>
      <c r="C72" s="89" t="s">
        <v>75</v>
      </c>
      <c r="D72" s="99" t="s">
        <v>79</v>
      </c>
      <c r="E72" s="90">
        <v>144</v>
      </c>
      <c r="F72" s="90" t="s">
        <v>77</v>
      </c>
      <c r="G72" s="91">
        <v>45806</v>
      </c>
      <c r="H72" s="93">
        <v>40084146</v>
      </c>
    </row>
    <row r="73" spans="1:8" s="4" customFormat="1" ht="12.75">
      <c r="A73" s="47"/>
      <c r="B73" s="48"/>
      <c r="C73" s="89" t="s">
        <v>48</v>
      </c>
      <c r="D73" s="90" t="s">
        <v>83</v>
      </c>
      <c r="E73" s="90">
        <v>384</v>
      </c>
      <c r="F73" s="90" t="s">
        <v>99</v>
      </c>
      <c r="G73" s="91">
        <v>45803</v>
      </c>
      <c r="H73" s="93">
        <v>451483</v>
      </c>
    </row>
    <row r="74" spans="1:8" s="4" customFormat="1" ht="12.75">
      <c r="A74" s="47"/>
      <c r="B74" s="48"/>
      <c r="C74" s="89" t="s">
        <v>48</v>
      </c>
      <c r="D74" s="90" t="s">
        <v>83</v>
      </c>
      <c r="E74" s="90">
        <v>240</v>
      </c>
      <c r="F74" s="90" t="s">
        <v>70</v>
      </c>
      <c r="G74" s="91">
        <v>45810</v>
      </c>
      <c r="H74" s="93">
        <v>12801690</v>
      </c>
    </row>
    <row r="75" spans="1:8" s="4" customFormat="1" ht="12.75">
      <c r="A75" s="56"/>
      <c r="B75" s="57"/>
      <c r="C75" s="89" t="s">
        <v>48</v>
      </c>
      <c r="D75" s="90" t="s">
        <v>83</v>
      </c>
      <c r="E75" s="90">
        <v>432</v>
      </c>
      <c r="F75" s="90" t="s">
        <v>99</v>
      </c>
      <c r="G75" s="91">
        <v>45811</v>
      </c>
      <c r="H75" s="93">
        <v>449861</v>
      </c>
    </row>
    <row r="76" spans="1:8" s="4" customFormat="1" ht="12.75">
      <c r="A76" s="56"/>
      <c r="B76" s="57"/>
      <c r="C76" s="89" t="s">
        <v>211</v>
      </c>
      <c r="D76" s="99" t="s">
        <v>204</v>
      </c>
      <c r="E76" s="90">
        <v>105</v>
      </c>
      <c r="F76" s="90" t="s">
        <v>165</v>
      </c>
      <c r="G76" s="91">
        <v>45800</v>
      </c>
      <c r="H76" s="93">
        <v>112347</v>
      </c>
    </row>
    <row r="77" spans="1:8" s="4" customFormat="1" ht="12.75">
      <c r="A77" s="56"/>
      <c r="B77" s="57"/>
      <c r="C77" s="89" t="s">
        <v>211</v>
      </c>
      <c r="D77" s="99" t="s">
        <v>204</v>
      </c>
      <c r="E77" s="90">
        <v>105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3.5" thickBot="1">
      <c r="A79" s="56"/>
      <c r="B79" s="57"/>
      <c r="C79" s="19"/>
      <c r="D79" s="20"/>
      <c r="E79" s="20"/>
      <c r="F79" s="20"/>
      <c r="G79" s="20"/>
      <c r="H79" s="22"/>
    </row>
    <row r="80" spans="1:8" s="4" customFormat="1" ht="13.5" thickBot="1">
      <c r="A80" s="39"/>
      <c r="B80" s="40"/>
      <c r="C80" s="35"/>
      <c r="D80" s="36"/>
      <c r="E80" s="58">
        <f>SUM(E68:E79)</f>
        <v>1662</v>
      </c>
      <c r="F80" s="36"/>
      <c r="G80" s="36"/>
      <c r="H80" s="38"/>
    </row>
    <row r="81" spans="1:8" s="4" customFormat="1" ht="13.5" thickBot="1">
      <c r="A81" s="7" t="s">
        <v>55</v>
      </c>
      <c r="B81" s="8">
        <f>B67+1</f>
        <v>45801</v>
      </c>
      <c r="C81" s="82" t="s">
        <v>3</v>
      </c>
      <c r="D81" s="83" t="s">
        <v>4</v>
      </c>
      <c r="E81" s="83" t="s">
        <v>5</v>
      </c>
      <c r="F81" s="83" t="s">
        <v>6</v>
      </c>
      <c r="G81" s="83" t="s">
        <v>7</v>
      </c>
      <c r="H81" s="84" t="s">
        <v>8</v>
      </c>
    </row>
    <row r="82" spans="1:8" s="4" customFormat="1" ht="12.75">
      <c r="A82" s="44"/>
      <c r="B82" s="45"/>
      <c r="C82" s="14"/>
      <c r="D82" s="15"/>
      <c r="E82" s="15"/>
      <c r="F82" s="15"/>
      <c r="G82" s="16"/>
      <c r="H82" s="17"/>
    </row>
    <row r="83" spans="1:8" s="4" customFormat="1" ht="12.75">
      <c r="A83" s="47"/>
      <c r="B83" s="48"/>
      <c r="C83" s="19"/>
      <c r="D83" s="20"/>
      <c r="E83" s="20"/>
      <c r="F83" s="20"/>
      <c r="G83" s="21"/>
      <c r="H83" s="49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22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85"/>
      <c r="E95" s="86">
        <f>SUM(E82:E94)</f>
        <v>0</v>
      </c>
      <c r="F95" s="20"/>
      <c r="G95" s="20"/>
      <c r="H95" s="22"/>
    </row>
    <row r="96" spans="1:8" s="4" customFormat="1" ht="13.5" thickBot="1">
      <c r="A96" s="87"/>
      <c r="B96" s="88"/>
      <c r="C96" s="35"/>
      <c r="D96" s="36"/>
      <c r="E96" s="36"/>
      <c r="F96" s="36"/>
      <c r="G96" s="36"/>
      <c r="H96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9F4C-6183-4B70-B69D-45C83A05ACF7}">
  <dimension ref="A3:P97"/>
  <sheetViews>
    <sheetView workbookViewId="0">
      <selection activeCell="D8" sqref="D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45803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39" customHeight="1">
      <c r="A8" s="12"/>
      <c r="B8" s="18"/>
      <c r="C8" s="19"/>
      <c r="D8" s="119" t="s">
        <v>200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45804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45805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45806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61</v>
      </c>
      <c r="E54" s="20">
        <v>144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22"/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48</v>
      </c>
      <c r="D56" s="20" t="s">
        <v>61</v>
      </c>
      <c r="E56" s="20">
        <v>240</v>
      </c>
      <c r="F56" s="20" t="s">
        <v>70</v>
      </c>
      <c r="G56" s="21">
        <v>45810</v>
      </c>
      <c r="H56" s="49">
        <v>12801690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76</v>
      </c>
      <c r="E57" s="20">
        <v>192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76</v>
      </c>
      <c r="E58" s="20">
        <v>144</v>
      </c>
      <c r="F58" s="20" t="s">
        <v>77</v>
      </c>
      <c r="G58" s="21">
        <v>45817</v>
      </c>
      <c r="H58" s="22">
        <v>40085367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45817</v>
      </c>
      <c r="H60" s="9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22"/>
      <c r="M61" s="3"/>
      <c r="N61" s="81"/>
      <c r="O61" s="3"/>
    </row>
    <row r="62" spans="1:15" s="4" customFormat="1" ht="12.75">
      <c r="A62" s="47"/>
      <c r="B62" s="48"/>
      <c r="C62" s="89" t="s">
        <v>53</v>
      </c>
      <c r="D62" s="90" t="s">
        <v>65</v>
      </c>
      <c r="E62" s="90">
        <v>384</v>
      </c>
      <c r="F62" s="90" t="s">
        <v>59</v>
      </c>
      <c r="G62" s="91">
        <v>45810</v>
      </c>
      <c r="H62" s="93">
        <v>321882</v>
      </c>
      <c r="M62" s="3"/>
      <c r="N62" s="81"/>
      <c r="O62" s="3"/>
    </row>
    <row r="63" spans="1:15" s="4" customFormat="1" ht="12.75">
      <c r="A63" s="47"/>
      <c r="B63" s="48"/>
      <c r="C63" s="89" t="s">
        <v>75</v>
      </c>
      <c r="D63" s="99" t="s">
        <v>134</v>
      </c>
      <c r="E63" s="90">
        <v>48</v>
      </c>
      <c r="F63" s="90" t="s">
        <v>77</v>
      </c>
      <c r="G63" s="91">
        <v>45817</v>
      </c>
      <c r="H63" s="92">
        <v>40085367</v>
      </c>
    </row>
    <row r="64" spans="1:15" s="4" customFormat="1" ht="12.75">
      <c r="A64" s="47"/>
      <c r="B64" s="48"/>
      <c r="C64" s="89" t="s">
        <v>75</v>
      </c>
      <c r="D64" s="99" t="s">
        <v>134</v>
      </c>
      <c r="E64" s="90">
        <v>144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45807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45810</v>
      </c>
      <c r="H70" s="49">
        <v>321882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45810</v>
      </c>
      <c r="H71" s="49">
        <v>321882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 t="s">
        <v>99</v>
      </c>
      <c r="G73" s="21">
        <v>45811</v>
      </c>
      <c r="H73" s="49">
        <v>449861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48</v>
      </c>
      <c r="F74" s="20" t="s">
        <v>77</v>
      </c>
      <c r="G74" s="21">
        <v>45817</v>
      </c>
      <c r="H74" s="22">
        <v>40085367</v>
      </c>
    </row>
    <row r="75" spans="1:8" s="4" customFormat="1" ht="12.75">
      <c r="A75" s="47"/>
      <c r="B75" s="48"/>
      <c r="C75" s="19" t="s">
        <v>75</v>
      </c>
      <c r="D75" s="20" t="s">
        <v>84</v>
      </c>
      <c r="E75" s="20">
        <v>96</v>
      </c>
      <c r="F75" s="20"/>
      <c r="G75" s="21"/>
      <c r="H75" s="22"/>
    </row>
    <row r="76" spans="1:8" s="4" customFormat="1" ht="12.75">
      <c r="A76" s="56"/>
      <c r="B76" s="57"/>
      <c r="C76" s="19" t="s">
        <v>75</v>
      </c>
      <c r="D76" s="20" t="s">
        <v>176</v>
      </c>
      <c r="E76" s="20">
        <v>48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75</v>
      </c>
      <c r="D77" s="20" t="s">
        <v>176</v>
      </c>
      <c r="E77" s="20">
        <v>96</v>
      </c>
      <c r="F77" s="20"/>
      <c r="G77" s="21"/>
      <c r="H77" s="22"/>
    </row>
    <row r="78" spans="1:8" s="4" customFormat="1" ht="12.75">
      <c r="A78" s="56"/>
      <c r="B78" s="57"/>
      <c r="C78" s="19" t="s">
        <v>75</v>
      </c>
      <c r="D78" s="20" t="s">
        <v>78</v>
      </c>
      <c r="E78" s="20">
        <v>96</v>
      </c>
      <c r="F78" s="20" t="s">
        <v>77</v>
      </c>
      <c r="G78" s="21">
        <v>45817</v>
      </c>
      <c r="H78" s="22">
        <v>40085367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45808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8A9-19D4-4148-B962-42427C37EAB4}">
  <dimension ref="A3:P97"/>
  <sheetViews>
    <sheetView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68</v>
      </c>
      <c r="E7" s="20">
        <v>120</v>
      </c>
      <c r="F7" s="20" t="s">
        <v>88</v>
      </c>
      <c r="G7" s="21">
        <v>45813</v>
      </c>
      <c r="H7" s="22">
        <v>246409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63</v>
      </c>
      <c r="E8" s="20">
        <v>180</v>
      </c>
      <c r="F8" s="20" t="s">
        <v>88</v>
      </c>
      <c r="G8" s="21">
        <v>45813</v>
      </c>
      <c r="H8" s="22">
        <v>246409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60</v>
      </c>
      <c r="F9" s="20" t="s">
        <v>88</v>
      </c>
      <c r="G9" s="21">
        <v>45813</v>
      </c>
      <c r="H9" s="22">
        <v>246409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67</v>
      </c>
      <c r="E10" s="20">
        <v>180</v>
      </c>
      <c r="F10" s="20" t="s">
        <v>88</v>
      </c>
      <c r="G10" s="21">
        <v>45813</v>
      </c>
      <c r="H10" s="22">
        <v>246409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 t="s">
        <v>88</v>
      </c>
      <c r="G11" s="21">
        <v>45813</v>
      </c>
      <c r="H11" s="22">
        <v>246409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60</v>
      </c>
      <c r="F12" s="20" t="s">
        <v>88</v>
      </c>
      <c r="G12" s="21">
        <v>45813</v>
      </c>
      <c r="H12" s="22">
        <v>246409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60</v>
      </c>
      <c r="F13" s="90" t="s">
        <v>88</v>
      </c>
      <c r="G13" s="91">
        <v>45813</v>
      </c>
      <c r="H13" s="92">
        <v>246409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66</v>
      </c>
      <c r="D14" s="90" t="s">
        <v>80</v>
      </c>
      <c r="E14" s="90">
        <v>120</v>
      </c>
      <c r="F14" s="90"/>
      <c r="G14" s="91"/>
      <c r="H14" s="9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45813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20" t="s">
        <v>71</v>
      </c>
      <c r="E54" s="20">
        <v>384</v>
      </c>
      <c r="F54" s="20" t="s">
        <v>70</v>
      </c>
      <c r="G54" s="21">
        <v>45817</v>
      </c>
      <c r="H54" s="22">
        <v>12817335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85</v>
      </c>
      <c r="D56" s="20" t="s">
        <v>92</v>
      </c>
      <c r="E56" s="20">
        <v>54</v>
      </c>
      <c r="F56" s="20" t="s">
        <v>88</v>
      </c>
      <c r="G56" s="21">
        <v>45813</v>
      </c>
      <c r="H56" s="49">
        <v>246409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45817</v>
      </c>
      <c r="H57" s="22">
        <v>40085367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192</v>
      </c>
      <c r="F58" s="20" t="s">
        <v>70</v>
      </c>
      <c r="G58" s="21">
        <v>45817</v>
      </c>
      <c r="H58" s="49">
        <v>12817310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144</v>
      </c>
      <c r="F59" s="20" t="s">
        <v>70</v>
      </c>
      <c r="G59" s="21">
        <v>45817</v>
      </c>
      <c r="H59" s="49">
        <v>12817335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68</v>
      </c>
      <c r="E60" s="20">
        <v>96</v>
      </c>
      <c r="F60" s="20" t="s">
        <v>77</v>
      </c>
      <c r="G60" s="21">
        <v>45817</v>
      </c>
      <c r="H60" s="2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384</v>
      </c>
      <c r="F61" s="90" t="s">
        <v>70</v>
      </c>
      <c r="G61" s="91">
        <v>45817</v>
      </c>
      <c r="H61" s="92">
        <v>12817335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65</v>
      </c>
      <c r="E62" s="90">
        <v>240</v>
      </c>
      <c r="F62" s="90" t="s">
        <v>70</v>
      </c>
      <c r="G62" s="91">
        <v>45817</v>
      </c>
      <c r="H62" s="93">
        <v>12817335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1590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45814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218</v>
      </c>
      <c r="D70" s="65" t="s">
        <v>74</v>
      </c>
      <c r="E70" s="20">
        <v>60</v>
      </c>
      <c r="F70" s="20" t="s">
        <v>218</v>
      </c>
      <c r="G70" s="21">
        <v>45814</v>
      </c>
      <c r="H70" s="49">
        <v>1001</v>
      </c>
    </row>
    <row r="71" spans="1:8" s="4" customFormat="1" ht="12.75">
      <c r="A71" s="47"/>
      <c r="B71" s="48"/>
      <c r="C71" s="19" t="s">
        <v>218</v>
      </c>
      <c r="D71" s="20" t="s">
        <v>63</v>
      </c>
      <c r="E71" s="20">
        <v>60</v>
      </c>
      <c r="F71" s="20" t="s">
        <v>218</v>
      </c>
      <c r="G71" s="21">
        <v>45814</v>
      </c>
      <c r="H71" s="22">
        <v>1001</v>
      </c>
    </row>
    <row r="72" spans="1:8" s="4" customFormat="1" ht="12.75">
      <c r="A72" s="47"/>
      <c r="B72" s="48"/>
      <c r="C72" s="19" t="s">
        <v>218</v>
      </c>
      <c r="D72" s="65" t="s">
        <v>219</v>
      </c>
      <c r="E72" s="20">
        <v>60</v>
      </c>
      <c r="F72" s="20" t="s">
        <v>218</v>
      </c>
      <c r="G72" s="21">
        <v>45814</v>
      </c>
      <c r="H72" s="22">
        <v>1001</v>
      </c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528</v>
      </c>
      <c r="F74" s="20" t="s">
        <v>70</v>
      </c>
      <c r="G74" s="21">
        <v>45817</v>
      </c>
      <c r="H74" s="49">
        <v>12817310</v>
      </c>
    </row>
    <row r="75" spans="1:8" s="4" customFormat="1" ht="12.75">
      <c r="A75" s="47"/>
      <c r="B75" s="48"/>
      <c r="C75" s="19" t="s">
        <v>75</v>
      </c>
      <c r="D75" s="20" t="s">
        <v>61</v>
      </c>
      <c r="E75" s="20">
        <v>48</v>
      </c>
      <c r="F75" s="20" t="s">
        <v>77</v>
      </c>
      <c r="G75" s="21">
        <v>45817</v>
      </c>
      <c r="H75" s="22">
        <v>40085367</v>
      </c>
    </row>
    <row r="76" spans="1:8" s="4" customFormat="1" ht="12.75">
      <c r="A76" s="56"/>
      <c r="B76" s="57"/>
      <c r="C76" s="19" t="s">
        <v>75</v>
      </c>
      <c r="D76" s="65" t="s">
        <v>63</v>
      </c>
      <c r="E76" s="20">
        <v>144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432</v>
      </c>
      <c r="F77" s="20" t="s">
        <v>70</v>
      </c>
      <c r="G77" s="21">
        <v>45817</v>
      </c>
      <c r="H77" s="49">
        <v>12817310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45815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76EA-BD53-4E4F-AF7F-FA7EED17C9FD}">
  <dimension ref="A3:P100"/>
  <sheetViews>
    <sheetView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57</v>
      </c>
      <c r="D7" s="20" t="s">
        <v>58</v>
      </c>
      <c r="E7" s="20">
        <v>1632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3</v>
      </c>
      <c r="D9" s="20" t="s">
        <v>86</v>
      </c>
      <c r="E9" s="20">
        <v>240</v>
      </c>
      <c r="F9" s="20" t="s">
        <v>148</v>
      </c>
      <c r="G9" s="21">
        <v>45824</v>
      </c>
      <c r="H9" s="22">
        <v>71233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1872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89" t="s">
        <v>211</v>
      </c>
      <c r="D54" s="99" t="s">
        <v>214</v>
      </c>
      <c r="E54" s="90">
        <v>105</v>
      </c>
      <c r="F54" s="90" t="s">
        <v>147</v>
      </c>
      <c r="G54" s="91">
        <v>45824</v>
      </c>
      <c r="H54" s="92">
        <v>14882</v>
      </c>
      <c r="J54" s="3"/>
      <c r="K54" s="3"/>
      <c r="L54" s="3"/>
    </row>
    <row r="55" spans="1:15">
      <c r="A55" s="47"/>
      <c r="B55" s="48"/>
      <c r="C55" s="89" t="s">
        <v>211</v>
      </c>
      <c r="D55" s="99" t="s">
        <v>214</v>
      </c>
      <c r="E55" s="90">
        <v>210</v>
      </c>
      <c r="F55" s="90"/>
      <c r="G55" s="91"/>
      <c r="H55" s="92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211</v>
      </c>
      <c r="D56" s="99" t="s">
        <v>215</v>
      </c>
      <c r="E56" s="90">
        <v>105</v>
      </c>
      <c r="F56" s="90" t="s">
        <v>147</v>
      </c>
      <c r="G56" s="91">
        <v>45824</v>
      </c>
      <c r="H56" s="92">
        <v>14882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211</v>
      </c>
      <c r="D57" s="99" t="s">
        <v>216</v>
      </c>
      <c r="E57" s="90">
        <v>210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211</v>
      </c>
      <c r="D58" s="99" t="s">
        <v>217</v>
      </c>
      <c r="E58" s="90">
        <v>210</v>
      </c>
      <c r="F58" s="90"/>
      <c r="G58" s="91"/>
      <c r="H58" s="9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211</v>
      </c>
      <c r="D59" s="99" t="s">
        <v>204</v>
      </c>
      <c r="E59" s="90">
        <v>105</v>
      </c>
      <c r="F59" s="90" t="s">
        <v>165</v>
      </c>
      <c r="G59" s="91">
        <v>45824</v>
      </c>
      <c r="H59" s="93">
        <v>112503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211</v>
      </c>
      <c r="D60" s="99" t="s">
        <v>204</v>
      </c>
      <c r="E60" s="90">
        <v>105</v>
      </c>
      <c r="F60" s="90" t="s">
        <v>147</v>
      </c>
      <c r="G60" s="91">
        <v>45824</v>
      </c>
      <c r="H60" s="92">
        <v>14882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9" t="s">
        <v>204</v>
      </c>
      <c r="E61" s="90">
        <v>210</v>
      </c>
      <c r="F61" s="90"/>
      <c r="G61" s="91"/>
      <c r="H61" s="92"/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102</v>
      </c>
      <c r="E62" s="90">
        <v>54</v>
      </c>
      <c r="F62" s="90" t="s">
        <v>165</v>
      </c>
      <c r="G62" s="91">
        <v>45824</v>
      </c>
      <c r="H62" s="93">
        <v>112503</v>
      </c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54</v>
      </c>
      <c r="F63" s="90" t="s">
        <v>147</v>
      </c>
      <c r="G63" s="91">
        <v>45824</v>
      </c>
      <c r="H63" s="92">
        <v>14882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216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94</v>
      </c>
      <c r="D70" s="20" t="s">
        <v>107</v>
      </c>
      <c r="E70" s="20">
        <v>54</v>
      </c>
      <c r="F70" s="20" t="s">
        <v>165</v>
      </c>
      <c r="G70" s="21">
        <v>45824</v>
      </c>
      <c r="H70" s="49">
        <v>112503</v>
      </c>
    </row>
    <row r="71" spans="1:8" s="4" customFormat="1" ht="12.75">
      <c r="A71" s="47"/>
      <c r="B71" s="48"/>
      <c r="C71" s="19" t="s">
        <v>94</v>
      </c>
      <c r="D71" s="20" t="s">
        <v>107</v>
      </c>
      <c r="E71" s="20">
        <v>216</v>
      </c>
      <c r="F71" s="20"/>
      <c r="G71" s="21"/>
      <c r="H71" s="49"/>
    </row>
    <row r="72" spans="1:8" s="4" customFormat="1" ht="12.75">
      <c r="A72" s="47"/>
      <c r="B72" s="48"/>
      <c r="C72" s="19" t="s">
        <v>75</v>
      </c>
      <c r="D72" s="20" t="s">
        <v>64</v>
      </c>
      <c r="E72" s="20">
        <v>144</v>
      </c>
      <c r="F72" s="20" t="s">
        <v>77</v>
      </c>
      <c r="G72" s="21">
        <v>45832</v>
      </c>
      <c r="H72" s="49">
        <v>40087376</v>
      </c>
    </row>
    <row r="73" spans="1:8" s="4" customFormat="1" ht="12.75">
      <c r="A73" s="47"/>
      <c r="B73" s="48"/>
      <c r="C73" s="19" t="s">
        <v>75</v>
      </c>
      <c r="D73" s="20" t="s">
        <v>64</v>
      </c>
      <c r="E73" s="20">
        <v>144</v>
      </c>
      <c r="F73" s="20"/>
      <c r="G73" s="21"/>
      <c r="H73" s="49"/>
    </row>
    <row r="74" spans="1:8" s="4" customFormat="1" ht="12.75">
      <c r="A74" s="47"/>
      <c r="B74" s="48"/>
      <c r="C74" s="19" t="s">
        <v>98</v>
      </c>
      <c r="D74" s="20" t="s">
        <v>58</v>
      </c>
      <c r="E74" s="20">
        <v>96</v>
      </c>
      <c r="F74" s="20" t="s">
        <v>99</v>
      </c>
      <c r="G74" s="21">
        <v>45831</v>
      </c>
      <c r="H74" s="49">
        <v>816855</v>
      </c>
    </row>
    <row r="75" spans="1:8" s="4" customFormat="1" ht="12.75">
      <c r="A75" s="47"/>
      <c r="B75" s="48"/>
      <c r="C75" s="19" t="s">
        <v>75</v>
      </c>
      <c r="D75" s="20" t="s">
        <v>68</v>
      </c>
      <c r="E75" s="20">
        <v>48</v>
      </c>
      <c r="F75" s="20" t="s">
        <v>77</v>
      </c>
      <c r="G75" s="21">
        <v>45832</v>
      </c>
      <c r="H75" s="49">
        <v>40087376</v>
      </c>
    </row>
    <row r="76" spans="1:8" s="4" customFormat="1" ht="12.75">
      <c r="A76" s="47"/>
      <c r="B76" s="48"/>
      <c r="C76" s="19" t="s">
        <v>75</v>
      </c>
      <c r="D76" s="20" t="s">
        <v>68</v>
      </c>
      <c r="E76" s="20">
        <v>144</v>
      </c>
      <c r="F76" s="20"/>
      <c r="G76" s="21"/>
      <c r="H76" s="49"/>
    </row>
    <row r="77" spans="1:8" s="4" customFormat="1" ht="12.75">
      <c r="A77" s="47"/>
      <c r="B77" s="48"/>
      <c r="C77" s="19" t="s">
        <v>94</v>
      </c>
      <c r="D77" s="20" t="s">
        <v>162</v>
      </c>
      <c r="E77" s="20">
        <v>162</v>
      </c>
      <c r="F77" s="20" t="s">
        <v>147</v>
      </c>
      <c r="G77" s="21">
        <v>45824</v>
      </c>
      <c r="H77" s="49">
        <v>14882</v>
      </c>
    </row>
    <row r="78" spans="1:8" s="4" customFormat="1" ht="12.75">
      <c r="A78" s="56"/>
      <c r="B78" s="57"/>
      <c r="C78" s="19" t="s">
        <v>94</v>
      </c>
      <c r="D78" s="20" t="s">
        <v>162</v>
      </c>
      <c r="E78" s="20">
        <v>108</v>
      </c>
      <c r="F78" s="20"/>
      <c r="G78" s="21"/>
      <c r="H78" s="22"/>
    </row>
    <row r="79" spans="1:8" s="4" customFormat="1" ht="12.75">
      <c r="A79" s="56"/>
      <c r="B79" s="57"/>
      <c r="C79" s="89" t="s">
        <v>98</v>
      </c>
      <c r="D79" s="99" t="s">
        <v>83</v>
      </c>
      <c r="E79" s="90">
        <v>96</v>
      </c>
      <c r="F79" s="90" t="s">
        <v>99</v>
      </c>
      <c r="G79" s="91">
        <v>45831</v>
      </c>
      <c r="H79" s="93">
        <v>816855</v>
      </c>
    </row>
    <row r="80" spans="1:8" s="4" customFormat="1" ht="12.75">
      <c r="A80" s="56"/>
      <c r="B80" s="57"/>
      <c r="C80" s="89" t="s">
        <v>98</v>
      </c>
      <c r="D80" s="99" t="s">
        <v>65</v>
      </c>
      <c r="E80" s="90">
        <v>144</v>
      </c>
      <c r="F80" s="90" t="s">
        <v>99</v>
      </c>
      <c r="G80" s="91">
        <v>45831</v>
      </c>
      <c r="H80" s="93">
        <v>816855</v>
      </c>
    </row>
    <row r="81" spans="1:8" s="4" customFormat="1" ht="12.75">
      <c r="A81" s="56"/>
      <c r="B81" s="57"/>
      <c r="C81" s="89" t="s">
        <v>75</v>
      </c>
      <c r="D81" s="90" t="s">
        <v>65</v>
      </c>
      <c r="E81" s="90">
        <v>48</v>
      </c>
      <c r="F81" s="90" t="s">
        <v>77</v>
      </c>
      <c r="G81" s="91">
        <v>45832</v>
      </c>
      <c r="H81" s="93">
        <v>40087376</v>
      </c>
    </row>
    <row r="82" spans="1:8" s="4" customFormat="1" ht="12.75">
      <c r="A82" s="56"/>
      <c r="B82" s="57"/>
      <c r="C82" s="89" t="s">
        <v>75</v>
      </c>
      <c r="D82" s="90" t="s">
        <v>65</v>
      </c>
      <c r="E82" s="90">
        <v>144</v>
      </c>
      <c r="F82" s="90"/>
      <c r="G82" s="91"/>
      <c r="H82" s="93"/>
    </row>
    <row r="83" spans="1:8" s="4" customFormat="1" ht="13.5" thickBot="1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39"/>
      <c r="B84" s="40"/>
      <c r="C84" s="35"/>
      <c r="D84" s="36"/>
      <c r="E84" s="58">
        <f>SUM(E69:E83)</f>
        <v>1548</v>
      </c>
      <c r="F84" s="36"/>
      <c r="G84" s="36"/>
      <c r="H84" s="38"/>
    </row>
    <row r="85" spans="1:8" s="4" customFormat="1" ht="13.5" thickBot="1">
      <c r="A85" s="7" t="s">
        <v>55</v>
      </c>
      <c r="B85" s="8">
        <f>B68+1</f>
        <v>45822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8D81-D560-4DA8-80C0-CB0AA402B44A}">
  <dimension ref="A3:P99"/>
  <sheetViews>
    <sheetView topLeftCell="A48" workbookViewId="0">
      <selection activeCell="G80" sqref="G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45824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45825</v>
      </c>
      <c r="H7" s="49">
        <v>322645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288</v>
      </c>
      <c r="F8" s="20" t="s">
        <v>59</v>
      </c>
      <c r="G8" s="21">
        <v>45825</v>
      </c>
      <c r="H8" s="49">
        <v>322645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68</v>
      </c>
      <c r="E9" s="20">
        <v>288</v>
      </c>
      <c r="F9" s="20" t="s">
        <v>59</v>
      </c>
      <c r="G9" s="21">
        <v>45825</v>
      </c>
      <c r="H9" s="49">
        <v>322645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61</v>
      </c>
      <c r="E11" s="20">
        <v>144</v>
      </c>
      <c r="F11" s="20" t="s">
        <v>99</v>
      </c>
      <c r="G11" s="21">
        <v>45831</v>
      </c>
      <c r="H11" s="49">
        <v>816855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144</v>
      </c>
      <c r="F13" s="20" t="s">
        <v>77</v>
      </c>
      <c r="G13" s="21">
        <v>45832</v>
      </c>
      <c r="H13" s="49">
        <v>40087376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76</v>
      </c>
      <c r="E14" s="20">
        <v>144</v>
      </c>
      <c r="F14" s="20" t="s">
        <v>77</v>
      </c>
      <c r="G14" s="21">
        <v>45832</v>
      </c>
      <c r="H14" s="49">
        <v>40087376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63</v>
      </c>
      <c r="E15" s="20">
        <v>144</v>
      </c>
      <c r="F15" s="20" t="s">
        <v>77</v>
      </c>
      <c r="G15" s="21">
        <v>45832</v>
      </c>
      <c r="H15" s="49">
        <v>40087376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71</v>
      </c>
      <c r="E16" s="20">
        <v>48</v>
      </c>
      <c r="F16" s="20" t="s">
        <v>77</v>
      </c>
      <c r="G16" s="21">
        <v>45832</v>
      </c>
      <c r="H16" s="49">
        <v>40087376</v>
      </c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65" t="s">
        <v>78</v>
      </c>
      <c r="E17" s="20">
        <v>144</v>
      </c>
      <c r="F17" s="20" t="s">
        <v>77</v>
      </c>
      <c r="G17" s="21">
        <v>45832</v>
      </c>
      <c r="H17" s="49">
        <v>40087376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45825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45826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68</v>
      </c>
      <c r="E54" s="20">
        <v>180</v>
      </c>
      <c r="F54" s="20" t="s">
        <v>88</v>
      </c>
      <c r="G54" s="21">
        <v>45826</v>
      </c>
      <c r="H54" s="22">
        <v>246560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63</v>
      </c>
      <c r="E55" s="20">
        <v>300</v>
      </c>
      <c r="F55" s="20" t="s">
        <v>88</v>
      </c>
      <c r="G55" s="21">
        <v>45826</v>
      </c>
      <c r="H55" s="22">
        <v>246560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60</v>
      </c>
      <c r="F56" s="20"/>
      <c r="G56" s="21"/>
      <c r="H56" s="22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81</v>
      </c>
      <c r="E57" s="20">
        <v>120</v>
      </c>
      <c r="F57" s="20" t="s">
        <v>88</v>
      </c>
      <c r="G57" s="21">
        <v>45826</v>
      </c>
      <c r="H57" s="22">
        <v>246560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67</v>
      </c>
      <c r="E58" s="20">
        <v>180</v>
      </c>
      <c r="F58" s="20" t="s">
        <v>88</v>
      </c>
      <c r="G58" s="21">
        <v>45826</v>
      </c>
      <c r="H58" s="22">
        <v>246560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65" t="s">
        <v>67</v>
      </c>
      <c r="E59" s="20">
        <v>60</v>
      </c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420</v>
      </c>
      <c r="F60" s="20" t="s">
        <v>88</v>
      </c>
      <c r="G60" s="21">
        <v>45826</v>
      </c>
      <c r="H60" s="22">
        <v>246560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64</v>
      </c>
      <c r="E61" s="20">
        <v>60</v>
      </c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69</v>
      </c>
      <c r="E62" s="20">
        <v>60</v>
      </c>
      <c r="F62" s="20" t="s">
        <v>88</v>
      </c>
      <c r="G62" s="21">
        <v>45826</v>
      </c>
      <c r="H62" s="22">
        <v>246560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69</v>
      </c>
      <c r="E63" s="20">
        <v>60</v>
      </c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288</v>
      </c>
      <c r="F70" s="20" t="s">
        <v>70</v>
      </c>
      <c r="G70" s="21">
        <v>45831</v>
      </c>
      <c r="H70" s="49">
        <v>12853148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144</v>
      </c>
      <c r="F71" s="20" t="s">
        <v>70</v>
      </c>
      <c r="G71" s="21">
        <v>45831</v>
      </c>
      <c r="H71" s="49">
        <v>12853148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144</v>
      </c>
      <c r="F72" s="20" t="s">
        <v>70</v>
      </c>
      <c r="G72" s="21">
        <v>45831</v>
      </c>
      <c r="H72" s="49">
        <v>12853148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45831</v>
      </c>
      <c r="H73" s="49">
        <v>12853148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144</v>
      </c>
      <c r="F74" s="90" t="s">
        <v>70</v>
      </c>
      <c r="G74" s="91">
        <v>45831</v>
      </c>
      <c r="H74" s="93">
        <v>12853148</v>
      </c>
    </row>
    <row r="75" spans="1:8" s="4" customFormat="1" ht="12.75">
      <c r="A75" s="47"/>
      <c r="B75" s="48"/>
      <c r="C75" s="89" t="s">
        <v>48</v>
      </c>
      <c r="D75" s="99" t="s">
        <v>83</v>
      </c>
      <c r="E75" s="90">
        <v>144</v>
      </c>
      <c r="F75" s="90" t="s">
        <v>70</v>
      </c>
      <c r="G75" s="91">
        <v>45838</v>
      </c>
      <c r="H75" s="93">
        <v>12871864</v>
      </c>
    </row>
    <row r="76" spans="1:8" s="4" customFormat="1" ht="12.75">
      <c r="A76" s="47"/>
      <c r="B76" s="48"/>
      <c r="C76" s="89" t="s">
        <v>48</v>
      </c>
      <c r="D76" s="99" t="s">
        <v>65</v>
      </c>
      <c r="E76" s="90">
        <v>192</v>
      </c>
      <c r="F76" s="90" t="s">
        <v>70</v>
      </c>
      <c r="G76" s="91">
        <v>45831</v>
      </c>
      <c r="H76" s="93">
        <v>12853148</v>
      </c>
    </row>
    <row r="77" spans="1:8" s="4" customFormat="1" ht="12.75">
      <c r="A77" s="47"/>
      <c r="B77" s="48"/>
      <c r="C77" s="89" t="s">
        <v>48</v>
      </c>
      <c r="D77" s="99" t="s">
        <v>65</v>
      </c>
      <c r="E77" s="90">
        <v>192</v>
      </c>
      <c r="F77" s="90" t="s">
        <v>70</v>
      </c>
      <c r="G77" s="91">
        <v>45838</v>
      </c>
      <c r="H77" s="93">
        <v>12871864</v>
      </c>
    </row>
    <row r="78" spans="1:8" s="4" customFormat="1" ht="12.75">
      <c r="A78" s="47"/>
      <c r="B78" s="48"/>
      <c r="C78" s="19"/>
      <c r="D78" s="20"/>
      <c r="E78" s="20"/>
      <c r="F78" s="20"/>
      <c r="G78" s="21"/>
      <c r="H78" s="22"/>
    </row>
    <row r="79" spans="1:8" s="4" customFormat="1" ht="12.75">
      <c r="A79" s="47"/>
      <c r="B79" s="48"/>
      <c r="C79" s="19"/>
      <c r="D79" s="20"/>
      <c r="E79" s="20"/>
      <c r="F79" s="20"/>
      <c r="G79" s="21"/>
      <c r="H79" s="22"/>
    </row>
    <row r="80" spans="1:8" s="4" customFormat="1" ht="12.75">
      <c r="A80" s="47"/>
      <c r="B80" s="48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1488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45829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0C9B-FAF5-40DA-9381-C9BCFC9F192A}">
  <dimension ref="A3:P97"/>
  <sheetViews>
    <sheetView topLeftCell="A54" workbookViewId="0">
      <selection activeCell="I67" sqref="I6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213</v>
      </c>
      <c r="E7" s="20">
        <v>210</v>
      </c>
      <c r="F7" s="20" t="s">
        <v>77</v>
      </c>
      <c r="G7" s="21">
        <v>45832</v>
      </c>
      <c r="H7" s="49">
        <v>40087376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181</v>
      </c>
      <c r="E8" s="20">
        <v>210</v>
      </c>
      <c r="F8" s="20" t="s">
        <v>77</v>
      </c>
      <c r="G8" s="21">
        <v>45832</v>
      </c>
      <c r="H8" s="49">
        <v>40087376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112</v>
      </c>
      <c r="E9" s="20">
        <v>105</v>
      </c>
      <c r="F9" s="20" t="s">
        <v>77</v>
      </c>
      <c r="G9" s="21">
        <v>45832</v>
      </c>
      <c r="H9" s="49">
        <v>40087376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113</v>
      </c>
      <c r="E10" s="20">
        <v>105</v>
      </c>
      <c r="F10" s="20" t="s">
        <v>77</v>
      </c>
      <c r="G10" s="21">
        <v>45832</v>
      </c>
      <c r="H10" s="49">
        <v>40087376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109</v>
      </c>
      <c r="E11" s="20">
        <v>105</v>
      </c>
      <c r="F11" s="20" t="s">
        <v>77</v>
      </c>
      <c r="G11" s="21">
        <v>45832</v>
      </c>
      <c r="H11" s="49">
        <v>40087376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78</v>
      </c>
      <c r="E12" s="20">
        <v>144</v>
      </c>
      <c r="F12" s="20" t="s">
        <v>77</v>
      </c>
      <c r="G12" s="21">
        <v>45832</v>
      </c>
      <c r="H12" s="49">
        <v>40087376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145</v>
      </c>
      <c r="D13" s="20" t="s">
        <v>74</v>
      </c>
      <c r="E13" s="20">
        <v>216</v>
      </c>
      <c r="F13" s="20" t="s">
        <v>179</v>
      </c>
      <c r="G13" s="21">
        <v>45838</v>
      </c>
      <c r="H13" s="49">
        <v>15882072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90</v>
      </c>
      <c r="D15" s="20" t="s">
        <v>97</v>
      </c>
      <c r="E15" s="20">
        <v>54</v>
      </c>
      <c r="F15" s="20" t="s">
        <v>95</v>
      </c>
      <c r="G15" s="21">
        <v>45832</v>
      </c>
      <c r="H15" s="22">
        <v>584281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03" t="s">
        <v>90</v>
      </c>
      <c r="D16" s="100" t="s">
        <v>96</v>
      </c>
      <c r="E16" s="100">
        <v>54</v>
      </c>
      <c r="F16" s="100" t="s">
        <v>95</v>
      </c>
      <c r="G16" s="101">
        <v>45832</v>
      </c>
      <c r="H16" s="128">
        <v>584281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45833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45834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64</v>
      </c>
      <c r="E54" s="20">
        <v>480</v>
      </c>
      <c r="F54" s="20" t="s">
        <v>59</v>
      </c>
      <c r="G54" s="21">
        <v>45838</v>
      </c>
      <c r="H54" s="22">
        <v>323075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384</v>
      </c>
      <c r="F55" s="20" t="s">
        <v>59</v>
      </c>
      <c r="G55" s="21">
        <v>45838</v>
      </c>
      <c r="H55" s="22">
        <v>323075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480</v>
      </c>
      <c r="F56" s="20" t="s">
        <v>59</v>
      </c>
      <c r="G56" s="21">
        <v>45838</v>
      </c>
      <c r="H56" s="22">
        <v>323076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45838</v>
      </c>
      <c r="H57" s="22">
        <v>323076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45835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 t="s">
        <v>53</v>
      </c>
      <c r="D71" s="20" t="s">
        <v>134</v>
      </c>
      <c r="E71" s="20">
        <v>384</v>
      </c>
      <c r="F71" s="20" t="s">
        <v>59</v>
      </c>
      <c r="G71" s="21">
        <v>45838</v>
      </c>
      <c r="H71" s="22">
        <v>323075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45838</v>
      </c>
      <c r="H73" s="49">
        <v>12871864</v>
      </c>
    </row>
    <row r="74" spans="1:8" s="4" customFormat="1" ht="12.75">
      <c r="A74" s="47"/>
      <c r="B74" s="48"/>
      <c r="C74" s="19" t="s">
        <v>48</v>
      </c>
      <c r="D74" s="20" t="s">
        <v>61</v>
      </c>
      <c r="E74" s="20">
        <v>240</v>
      </c>
      <c r="F74" s="20" t="s">
        <v>70</v>
      </c>
      <c r="G74" s="21">
        <v>45838</v>
      </c>
      <c r="H74" s="49">
        <v>12871864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192</v>
      </c>
      <c r="F75" s="20" t="s">
        <v>70</v>
      </c>
      <c r="G75" s="21">
        <v>45838</v>
      </c>
      <c r="H75" s="49">
        <v>12871864</v>
      </c>
    </row>
    <row r="76" spans="1:8" s="4" customFormat="1" ht="12.75">
      <c r="A76" s="56"/>
      <c r="B76" s="57"/>
      <c r="C76" s="19" t="s">
        <v>48</v>
      </c>
      <c r="D76" s="20" t="s">
        <v>71</v>
      </c>
      <c r="E76" s="20">
        <v>144</v>
      </c>
      <c r="F76" s="20" t="s">
        <v>70</v>
      </c>
      <c r="G76" s="21">
        <v>45838</v>
      </c>
      <c r="H76" s="49">
        <v>12871864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05" t="s">
        <v>94</v>
      </c>
      <c r="D78" s="106" t="s">
        <v>89</v>
      </c>
      <c r="E78" s="106">
        <v>162</v>
      </c>
      <c r="F78" s="106" t="s">
        <v>88</v>
      </c>
      <c r="G78" s="107">
        <v>45841</v>
      </c>
      <c r="H78" s="108">
        <v>246637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1362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45836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AC84-E4C4-4EE5-B084-B0C316559ED7}">
  <dimension ref="A3:P97"/>
  <sheetViews>
    <sheetView topLeftCell="A3" workbookViewId="0">
      <selection activeCell="C11" sqref="C11:H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45845</v>
      </c>
      <c r="H7" s="49">
        <v>71562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211</v>
      </c>
      <c r="D9" s="90" t="s">
        <v>221</v>
      </c>
      <c r="E9" s="90">
        <v>210</v>
      </c>
      <c r="F9" s="90" t="s">
        <v>88</v>
      </c>
      <c r="G9" s="91">
        <v>45841</v>
      </c>
      <c r="H9" s="92">
        <v>246637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211</v>
      </c>
      <c r="D10" s="90" t="s">
        <v>221</v>
      </c>
      <c r="E10" s="90">
        <v>105</v>
      </c>
      <c r="F10" s="90" t="s">
        <v>77</v>
      </c>
      <c r="G10" s="91">
        <v>45852</v>
      </c>
      <c r="H10" s="92">
        <v>40090337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211</v>
      </c>
      <c r="D11" s="90" t="s">
        <v>221</v>
      </c>
      <c r="E11" s="90">
        <v>105</v>
      </c>
      <c r="F11" s="90"/>
      <c r="G11" s="91"/>
      <c r="H11" s="9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211</v>
      </c>
      <c r="D12" s="90" t="s">
        <v>204</v>
      </c>
      <c r="E12" s="90">
        <v>105</v>
      </c>
      <c r="F12" s="90" t="s">
        <v>88</v>
      </c>
      <c r="G12" s="91">
        <v>45841</v>
      </c>
      <c r="H12" s="93">
        <v>246637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211</v>
      </c>
      <c r="D13" s="90" t="s">
        <v>204</v>
      </c>
      <c r="E13" s="90">
        <v>210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94</v>
      </c>
      <c r="D15" s="90" t="s">
        <v>102</v>
      </c>
      <c r="E15" s="90">
        <v>270</v>
      </c>
      <c r="F15" s="90" t="s">
        <v>88</v>
      </c>
      <c r="G15" s="91">
        <v>45841</v>
      </c>
      <c r="H15" s="92">
        <v>246637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83</v>
      </c>
      <c r="E16" s="90">
        <v>270</v>
      </c>
      <c r="F16" s="90" t="s">
        <v>88</v>
      </c>
      <c r="G16" s="91">
        <v>45841</v>
      </c>
      <c r="H16" s="92">
        <v>246637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 ht="30.75">
      <c r="A54" s="44"/>
      <c r="B54" s="45"/>
      <c r="C54" s="19"/>
      <c r="D54" s="119" t="s">
        <v>209</v>
      </c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45842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30.75">
      <c r="A70" s="47"/>
      <c r="B70" s="48"/>
      <c r="C70" s="19"/>
      <c r="D70" s="119" t="s">
        <v>209</v>
      </c>
      <c r="E70" s="20"/>
      <c r="F70" s="20"/>
      <c r="G70" s="21"/>
      <c r="H70" s="49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45843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A6A0-2A36-476D-9BB1-2F22B0F3D0D9}">
  <dimension ref="A3:P110"/>
  <sheetViews>
    <sheetView topLeftCell="A57" workbookViewId="0">
      <selection activeCell="F91" sqref="F91:H9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210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45845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67</v>
      </c>
      <c r="E8" s="20">
        <v>384</v>
      </c>
      <c r="F8" s="20" t="s">
        <v>59</v>
      </c>
      <c r="G8" s="21">
        <v>45847</v>
      </c>
      <c r="H8" s="49">
        <v>323377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61</v>
      </c>
      <c r="E9" s="20">
        <v>480</v>
      </c>
      <c r="F9" s="20" t="s">
        <v>59</v>
      </c>
      <c r="G9" s="21">
        <v>45847</v>
      </c>
      <c r="H9" s="49">
        <v>323377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384</v>
      </c>
      <c r="F10" s="20" t="s">
        <v>59</v>
      </c>
      <c r="G10" s="21">
        <v>45847</v>
      </c>
      <c r="H10" s="49">
        <v>323377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150</v>
      </c>
      <c r="D14" s="65" t="s">
        <v>63</v>
      </c>
      <c r="E14" s="20">
        <v>65</v>
      </c>
      <c r="F14" s="20" t="s">
        <v>151</v>
      </c>
      <c r="G14" s="21">
        <v>45846</v>
      </c>
      <c r="H14" s="49">
        <v>6202025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1313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45846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22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22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233</v>
      </c>
      <c r="E54" s="20">
        <v>384</v>
      </c>
      <c r="F54" s="20" t="s">
        <v>59</v>
      </c>
      <c r="G54" s="21">
        <v>45847</v>
      </c>
      <c r="H54" s="22">
        <v>323377</v>
      </c>
      <c r="J54" s="3"/>
      <c r="K54" s="3"/>
      <c r="L54" s="3"/>
    </row>
    <row r="55" spans="1:15">
      <c r="A55" s="12"/>
      <c r="B55" s="125"/>
      <c r="C55" s="19" t="s">
        <v>149</v>
      </c>
      <c r="D55" s="20" t="s">
        <v>222</v>
      </c>
      <c r="E55" s="20">
        <v>180</v>
      </c>
      <c r="F55" s="20" t="s">
        <v>149</v>
      </c>
      <c r="G55" s="21">
        <v>45849</v>
      </c>
      <c r="H55" s="22">
        <v>20100700913</v>
      </c>
      <c r="J55" s="3"/>
      <c r="K55" s="3"/>
      <c r="L55" s="3"/>
    </row>
    <row r="56" spans="1:15">
      <c r="A56" s="12"/>
      <c r="B56" s="125"/>
      <c r="C56" s="19" t="s">
        <v>149</v>
      </c>
      <c r="D56" s="20" t="s">
        <v>223</v>
      </c>
      <c r="E56" s="20">
        <v>120</v>
      </c>
      <c r="F56" s="20" t="s">
        <v>149</v>
      </c>
      <c r="G56" s="21">
        <v>45849</v>
      </c>
      <c r="H56" s="22">
        <v>20100700913</v>
      </c>
      <c r="J56" s="3"/>
      <c r="K56" s="3"/>
      <c r="L56" s="3"/>
    </row>
    <row r="57" spans="1:15">
      <c r="A57" s="47"/>
      <c r="B57" s="48"/>
      <c r="C57" s="19" t="s">
        <v>149</v>
      </c>
      <c r="D57" s="20" t="s">
        <v>224</v>
      </c>
      <c r="E57" s="20">
        <v>120</v>
      </c>
      <c r="F57" s="20" t="s">
        <v>149</v>
      </c>
      <c r="G57" s="21">
        <v>45849</v>
      </c>
      <c r="H57" s="22">
        <v>20100700913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225</v>
      </c>
      <c r="E58" s="20">
        <v>120</v>
      </c>
      <c r="F58" s="20" t="s">
        <v>149</v>
      </c>
      <c r="G58" s="21">
        <v>45849</v>
      </c>
      <c r="H58" s="22">
        <v>20100700913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150</v>
      </c>
      <c r="D59" s="20" t="s">
        <v>74</v>
      </c>
      <c r="E59" s="20">
        <v>35</v>
      </c>
      <c r="F59" s="20" t="s">
        <v>151</v>
      </c>
      <c r="G59" s="21">
        <v>45846</v>
      </c>
      <c r="H59" s="49">
        <v>6202025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150</v>
      </c>
      <c r="D60" s="20" t="s">
        <v>81</v>
      </c>
      <c r="E60" s="20">
        <v>40</v>
      </c>
      <c r="F60" s="20" t="s">
        <v>151</v>
      </c>
      <c r="G60" s="21">
        <v>45846</v>
      </c>
      <c r="H60" s="49">
        <v>6202025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150</v>
      </c>
      <c r="D61" s="20" t="s">
        <v>67</v>
      </c>
      <c r="E61" s="20">
        <v>35</v>
      </c>
      <c r="F61" s="20" t="s">
        <v>151</v>
      </c>
      <c r="G61" s="21">
        <v>45846</v>
      </c>
      <c r="H61" s="49">
        <v>6202025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150</v>
      </c>
      <c r="D62" s="20" t="s">
        <v>64</v>
      </c>
      <c r="E62" s="20">
        <v>95</v>
      </c>
      <c r="F62" s="20" t="s">
        <v>151</v>
      </c>
      <c r="G62" s="21">
        <v>45846</v>
      </c>
      <c r="H62" s="22">
        <v>6202025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149</v>
      </c>
      <c r="D63" s="20" t="s">
        <v>227</v>
      </c>
      <c r="E63" s="20">
        <v>96</v>
      </c>
      <c r="F63" s="20" t="s">
        <v>149</v>
      </c>
      <c r="G63" s="21">
        <v>45849</v>
      </c>
      <c r="H63" s="22">
        <v>20100700913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149</v>
      </c>
      <c r="D64" s="65" t="s">
        <v>226</v>
      </c>
      <c r="E64" s="20">
        <v>48</v>
      </c>
      <c r="F64" s="20" t="s">
        <v>149</v>
      </c>
      <c r="G64" s="21">
        <v>45849</v>
      </c>
      <c r="H64" s="22">
        <v>20100700913</v>
      </c>
      <c r="J64" s="3"/>
      <c r="K64" s="3"/>
      <c r="L64" s="3"/>
      <c r="M64" s="3"/>
      <c r="N64" s="81"/>
      <c r="O64" s="3"/>
    </row>
    <row r="65" spans="1:15">
      <c r="A65" s="47"/>
      <c r="B65" s="48"/>
      <c r="C65" s="19" t="s">
        <v>149</v>
      </c>
      <c r="D65" s="20" t="s">
        <v>228</v>
      </c>
      <c r="E65" s="20">
        <v>48</v>
      </c>
      <c r="F65" s="20" t="s">
        <v>149</v>
      </c>
      <c r="G65" s="21">
        <v>45849</v>
      </c>
      <c r="H65" s="22">
        <v>20100700913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22"/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22"/>
      <c r="M67" s="3"/>
      <c r="N67" s="81"/>
      <c r="O67" s="3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22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15" s="4" customFormat="1" ht="12.75">
      <c r="A73" s="47"/>
      <c r="B73" s="48"/>
      <c r="C73" s="19"/>
      <c r="D73" s="20"/>
      <c r="E73" s="70">
        <f>SUM(E53:E72)</f>
        <v>1321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45849</v>
      </c>
      <c r="C75" s="129" t="s">
        <v>3</v>
      </c>
      <c r="D75" s="130" t="s">
        <v>4</v>
      </c>
      <c r="E75" s="130" t="s">
        <v>5</v>
      </c>
      <c r="F75" s="130" t="s">
        <v>6</v>
      </c>
      <c r="G75" s="130" t="s">
        <v>7</v>
      </c>
      <c r="H75" s="131" t="s">
        <v>8</v>
      </c>
    </row>
    <row r="76" spans="1:15" s="4" customFormat="1" ht="12.75">
      <c r="A76" s="44"/>
      <c r="B76" s="45"/>
      <c r="C76" s="14" t="s">
        <v>149</v>
      </c>
      <c r="D76" s="15" t="s">
        <v>229</v>
      </c>
      <c r="E76" s="15">
        <v>48</v>
      </c>
      <c r="F76" s="15" t="s">
        <v>149</v>
      </c>
      <c r="G76" s="16">
        <v>45849</v>
      </c>
      <c r="H76" s="17">
        <v>20100700913</v>
      </c>
    </row>
    <row r="77" spans="1:15" s="4" customFormat="1" ht="12.75">
      <c r="A77" s="44"/>
      <c r="B77" s="45"/>
      <c r="C77" s="19" t="s">
        <v>75</v>
      </c>
      <c r="D77" s="20" t="s">
        <v>175</v>
      </c>
      <c r="E77" s="20">
        <v>96</v>
      </c>
      <c r="F77" s="20" t="s">
        <v>77</v>
      </c>
      <c r="G77" s="21">
        <v>45852</v>
      </c>
      <c r="H77" s="22">
        <v>40090337</v>
      </c>
    </row>
    <row r="78" spans="1:15" s="4" customFormat="1" ht="12.75">
      <c r="A78" s="47"/>
      <c r="B78" s="48"/>
      <c r="C78" s="19" t="s">
        <v>75</v>
      </c>
      <c r="D78" s="20" t="s">
        <v>64</v>
      </c>
      <c r="E78" s="20">
        <v>48</v>
      </c>
      <c r="F78" s="20" t="s">
        <v>77</v>
      </c>
      <c r="G78" s="21">
        <v>45852</v>
      </c>
      <c r="H78" s="22">
        <v>40090337</v>
      </c>
    </row>
    <row r="79" spans="1:15" s="4" customFormat="1" ht="12.75">
      <c r="A79" s="47"/>
      <c r="B79" s="48"/>
      <c r="C79" s="19" t="s">
        <v>75</v>
      </c>
      <c r="D79" s="20" t="s">
        <v>230</v>
      </c>
      <c r="E79" s="20">
        <v>48</v>
      </c>
      <c r="F79" s="20" t="s">
        <v>77</v>
      </c>
      <c r="G79" s="21">
        <v>45852</v>
      </c>
      <c r="H79" s="22">
        <v>40090337</v>
      </c>
    </row>
    <row r="80" spans="1:15" s="4" customFormat="1" ht="12.75">
      <c r="A80" s="47"/>
      <c r="B80" s="48"/>
      <c r="C80" s="19" t="s">
        <v>94</v>
      </c>
      <c r="D80" s="20" t="s">
        <v>230</v>
      </c>
      <c r="E80" s="20">
        <v>162</v>
      </c>
      <c r="F80" s="20" t="s">
        <v>165</v>
      </c>
      <c r="G80" s="21">
        <v>45852</v>
      </c>
      <c r="H80" s="22">
        <v>112715</v>
      </c>
    </row>
    <row r="81" spans="1:8" s="4" customFormat="1" ht="12.75">
      <c r="A81" s="47"/>
      <c r="B81" s="48"/>
      <c r="C81" s="19" t="s">
        <v>75</v>
      </c>
      <c r="D81" s="20" t="s">
        <v>63</v>
      </c>
      <c r="E81" s="20">
        <v>144</v>
      </c>
      <c r="F81" s="20" t="s">
        <v>77</v>
      </c>
      <c r="G81" s="21">
        <v>45852</v>
      </c>
      <c r="H81" s="22">
        <v>40090337</v>
      </c>
    </row>
    <row r="82" spans="1:8" s="4" customFormat="1" ht="12.75">
      <c r="A82" s="47"/>
      <c r="B82" s="48"/>
      <c r="C82" s="19" t="s">
        <v>75</v>
      </c>
      <c r="D82" s="20" t="s">
        <v>76</v>
      </c>
      <c r="E82" s="20">
        <v>144</v>
      </c>
      <c r="F82" s="20" t="s">
        <v>77</v>
      </c>
      <c r="G82" s="21">
        <v>45852</v>
      </c>
      <c r="H82" s="22">
        <v>40090337</v>
      </c>
    </row>
    <row r="83" spans="1:8" s="4" customFormat="1" ht="12.75">
      <c r="A83" s="47"/>
      <c r="B83" s="48"/>
      <c r="C83" s="19"/>
      <c r="D83" s="65"/>
      <c r="E83" s="20"/>
      <c r="F83" s="20"/>
      <c r="G83" s="21"/>
      <c r="H83" s="22"/>
    </row>
    <row r="84" spans="1:8" s="4" customFormat="1" ht="12.75">
      <c r="A84" s="56"/>
      <c r="B84" s="57"/>
      <c r="C84" s="19" t="s">
        <v>75</v>
      </c>
      <c r="D84" s="65" t="s">
        <v>87</v>
      </c>
      <c r="E84" s="20">
        <v>96</v>
      </c>
      <c r="F84" s="20" t="s">
        <v>77</v>
      </c>
      <c r="G84" s="21">
        <v>45852</v>
      </c>
      <c r="H84" s="22">
        <v>40090337</v>
      </c>
    </row>
    <row r="85" spans="1:8" s="4" customFormat="1" ht="12.75">
      <c r="A85" s="56"/>
      <c r="B85" s="57"/>
      <c r="C85" s="19"/>
      <c r="D85" s="20"/>
      <c r="E85" s="20"/>
      <c r="F85" s="20"/>
      <c r="G85" s="21"/>
      <c r="H85" s="22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2.75">
      <c r="A87" s="56"/>
      <c r="B87" s="57"/>
      <c r="C87" s="19" t="s">
        <v>3</v>
      </c>
      <c r="D87" s="20" t="s">
        <v>86</v>
      </c>
      <c r="E87" s="20">
        <v>240</v>
      </c>
      <c r="F87" s="20" t="s">
        <v>148</v>
      </c>
      <c r="G87" s="21">
        <v>45852</v>
      </c>
      <c r="H87" s="49">
        <v>71688</v>
      </c>
    </row>
    <row r="88" spans="1:8" s="4" customFormat="1" ht="12.75">
      <c r="A88" s="56"/>
      <c r="B88" s="57"/>
      <c r="C88" s="19" t="s">
        <v>75</v>
      </c>
      <c r="D88" s="20" t="s">
        <v>111</v>
      </c>
      <c r="E88" s="20">
        <v>210</v>
      </c>
      <c r="F88" s="20" t="s">
        <v>77</v>
      </c>
      <c r="G88" s="21">
        <v>45852</v>
      </c>
      <c r="H88" s="22">
        <v>40090337</v>
      </c>
    </row>
    <row r="89" spans="1:8" s="4" customFormat="1" ht="12.75">
      <c r="A89" s="12"/>
      <c r="B89" s="125"/>
      <c r="C89" s="132" t="s">
        <v>75</v>
      </c>
      <c r="D89" s="115" t="s">
        <v>113</v>
      </c>
      <c r="E89" s="115"/>
      <c r="F89" s="115" t="s">
        <v>77</v>
      </c>
      <c r="G89" s="133">
        <v>45852</v>
      </c>
      <c r="H89" s="134">
        <v>40090337</v>
      </c>
    </row>
    <row r="90" spans="1:8" s="4" customFormat="1" ht="12.75">
      <c r="A90" s="12"/>
      <c r="B90" s="125"/>
      <c r="C90" s="19"/>
      <c r="D90" s="20"/>
      <c r="E90" s="20"/>
      <c r="F90" s="20"/>
      <c r="G90" s="21"/>
      <c r="H90" s="22"/>
    </row>
    <row r="91" spans="1:8" s="4" customFormat="1" ht="12.75">
      <c r="A91" s="12"/>
      <c r="B91" s="125"/>
      <c r="C91" s="89" t="s">
        <v>211</v>
      </c>
      <c r="D91" s="90" t="s">
        <v>221</v>
      </c>
      <c r="E91" s="90">
        <v>210</v>
      </c>
      <c r="F91" s="90" t="s">
        <v>165</v>
      </c>
      <c r="G91" s="91">
        <v>45852</v>
      </c>
      <c r="H91" s="92">
        <v>112715</v>
      </c>
    </row>
    <row r="92" spans="1:8" s="4" customFormat="1" ht="12.75">
      <c r="A92" s="12"/>
      <c r="B92" s="125"/>
      <c r="C92" s="19"/>
      <c r="D92" s="20"/>
      <c r="E92" s="20"/>
      <c r="F92" s="20"/>
      <c r="G92" s="21"/>
      <c r="H92" s="22"/>
    </row>
    <row r="93" spans="1:8" s="4" customFormat="1" ht="13.5" thickBot="1">
      <c r="A93" s="12"/>
      <c r="B93" s="125"/>
      <c r="C93" s="19"/>
      <c r="D93" s="20"/>
      <c r="E93" s="70">
        <f>SUM(E76:E92)</f>
        <v>1446</v>
      </c>
      <c r="F93" s="20"/>
      <c r="G93" s="21"/>
      <c r="H93" s="22"/>
    </row>
    <row r="94" spans="1:8" s="4" customFormat="1" ht="13.5" thickBot="1">
      <c r="A94" s="39"/>
      <c r="B94" s="40"/>
      <c r="C94" s="35"/>
      <c r="D94" s="36"/>
      <c r="E94" s="58"/>
      <c r="F94" s="36"/>
      <c r="G94" s="36"/>
      <c r="H94" s="38"/>
    </row>
    <row r="95" spans="1:8" s="4" customFormat="1" ht="13.5" thickBot="1">
      <c r="A95" s="7" t="s">
        <v>55</v>
      </c>
      <c r="B95" s="8">
        <f>B75+1</f>
        <v>45850</v>
      </c>
      <c r="C95" s="96" t="s">
        <v>3</v>
      </c>
      <c r="D95" s="97" t="s">
        <v>4</v>
      </c>
      <c r="E95" s="97" t="s">
        <v>5</v>
      </c>
      <c r="F95" s="97" t="s">
        <v>6</v>
      </c>
      <c r="G95" s="97" t="s">
        <v>7</v>
      </c>
      <c r="H95" s="98" t="s">
        <v>8</v>
      </c>
    </row>
    <row r="96" spans="1:8" s="4" customFormat="1" ht="12.75">
      <c r="A96" s="44"/>
      <c r="B96" s="45"/>
      <c r="C96" s="14"/>
      <c r="D96" s="15"/>
      <c r="E96" s="15"/>
      <c r="F96" s="15"/>
      <c r="G96" s="16"/>
      <c r="H96" s="17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65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65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65"/>
      <c r="E103" s="20"/>
      <c r="F103" s="20"/>
      <c r="G103" s="21"/>
      <c r="H103" s="22"/>
    </row>
    <row r="104" spans="1:8" s="4" customFormat="1" ht="12.75">
      <c r="A104" s="47"/>
      <c r="B104" s="48"/>
      <c r="C104" s="19"/>
      <c r="D104" s="20"/>
      <c r="E104" s="20"/>
      <c r="F104" s="20"/>
      <c r="G104" s="21"/>
      <c r="H104" s="22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22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22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85"/>
      <c r="E109" s="86">
        <f>SUM(E96:E108)</f>
        <v>0</v>
      </c>
      <c r="F109" s="20"/>
      <c r="G109" s="20"/>
      <c r="H109" s="22"/>
    </row>
    <row r="110" spans="1:8" s="4" customFormat="1" ht="13.5" thickBot="1">
      <c r="A110" s="87"/>
      <c r="B110" s="88"/>
      <c r="C110" s="35"/>
      <c r="D110" s="36"/>
      <c r="E110" s="36"/>
      <c r="F110" s="36"/>
      <c r="G110" s="36"/>
      <c r="H11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089-CAFE-4832-9494-C24483075ED2}">
  <dimension ref="A3:P101"/>
  <sheetViews>
    <sheetView topLeftCell="A51" workbookViewId="0">
      <selection activeCell="J65" sqref="J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220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3</v>
      </c>
      <c r="D6" s="15" t="s">
        <v>135</v>
      </c>
      <c r="E6" s="15">
        <v>54</v>
      </c>
      <c r="F6" s="15" t="s">
        <v>148</v>
      </c>
      <c r="G6" s="16">
        <v>45852</v>
      </c>
      <c r="H6" s="17">
        <v>71688</v>
      </c>
    </row>
    <row r="7" spans="1:13" ht="15.75" customHeight="1">
      <c r="A7" s="12"/>
      <c r="B7" s="18"/>
      <c r="C7" s="19" t="s">
        <v>53</v>
      </c>
      <c r="D7" s="20" t="s">
        <v>63</v>
      </c>
      <c r="E7" s="20">
        <v>384</v>
      </c>
      <c r="F7" s="20" t="s">
        <v>59</v>
      </c>
      <c r="G7" s="21">
        <v>45854</v>
      </c>
      <c r="H7" s="49">
        <v>323378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45854</v>
      </c>
      <c r="H8" s="49">
        <v>323378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45854</v>
      </c>
      <c r="H9" s="49">
        <v>323378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1302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45853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45854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45855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63</v>
      </c>
      <c r="E54" s="123">
        <v>180</v>
      </c>
      <c r="F54" s="20" t="s">
        <v>88</v>
      </c>
      <c r="G54" s="21">
        <v>45854</v>
      </c>
      <c r="H54" s="49">
        <v>246744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45854</v>
      </c>
      <c r="H55" s="49">
        <v>246744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60</v>
      </c>
      <c r="F56" s="20" t="s">
        <v>88</v>
      </c>
      <c r="G56" s="21">
        <v>45854</v>
      </c>
      <c r="H56" s="49">
        <v>246744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64</v>
      </c>
      <c r="E57" s="20">
        <v>300</v>
      </c>
      <c r="F57" s="20" t="s">
        <v>88</v>
      </c>
      <c r="G57" s="21">
        <v>45854</v>
      </c>
      <c r="H57" s="49">
        <v>246744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20" t="s">
        <v>68</v>
      </c>
      <c r="E58" s="20">
        <v>180</v>
      </c>
      <c r="F58" s="20" t="s">
        <v>88</v>
      </c>
      <c r="G58" s="21">
        <v>45854</v>
      </c>
      <c r="H58" s="49">
        <v>246744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85</v>
      </c>
      <c r="D59" s="65" t="s">
        <v>92</v>
      </c>
      <c r="E59" s="20">
        <v>54</v>
      </c>
      <c r="F59" s="20" t="s">
        <v>88</v>
      </c>
      <c r="G59" s="21">
        <v>45854</v>
      </c>
      <c r="H59" s="49">
        <v>246744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65" t="s">
        <v>58</v>
      </c>
      <c r="E60" s="20">
        <v>144</v>
      </c>
      <c r="F60" s="20" t="s">
        <v>99</v>
      </c>
      <c r="G60" s="21">
        <v>45860</v>
      </c>
      <c r="H60" s="49">
        <v>877404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72</v>
      </c>
      <c r="E61" s="20">
        <v>144</v>
      </c>
      <c r="F61" s="20" t="s">
        <v>70</v>
      </c>
      <c r="G61" s="21">
        <v>45861</v>
      </c>
      <c r="H61" s="49">
        <v>12942245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239</v>
      </c>
      <c r="D62" s="90" t="s">
        <v>102</v>
      </c>
      <c r="E62" s="90">
        <v>20</v>
      </c>
      <c r="F62" s="90" t="s">
        <v>165</v>
      </c>
      <c r="G62" s="91">
        <v>45852</v>
      </c>
      <c r="H62" s="92">
        <v>112715</v>
      </c>
      <c r="M62" s="3"/>
      <c r="N62" s="81"/>
      <c r="O62" s="3"/>
    </row>
    <row r="63" spans="1:15" s="4" customFormat="1" ht="12.75">
      <c r="A63" s="47"/>
      <c r="B63" s="48"/>
      <c r="C63" s="89" t="s">
        <v>85</v>
      </c>
      <c r="D63" s="90" t="s">
        <v>80</v>
      </c>
      <c r="E63" s="90">
        <v>54</v>
      </c>
      <c r="F63" s="90" t="s">
        <v>88</v>
      </c>
      <c r="G63" s="91">
        <v>45854</v>
      </c>
      <c r="H63" s="93">
        <v>246744</v>
      </c>
      <c r="M63" s="3"/>
      <c r="N63" s="81"/>
      <c r="O63" s="3"/>
    </row>
    <row r="64" spans="1:15" s="4" customFormat="1" ht="12.75">
      <c r="A64" s="47"/>
      <c r="B64" s="48"/>
      <c r="C64" s="89" t="s">
        <v>85</v>
      </c>
      <c r="D64" s="90" t="s">
        <v>80</v>
      </c>
      <c r="E64" s="90">
        <v>108</v>
      </c>
      <c r="F64" s="90"/>
      <c r="G64" s="91"/>
      <c r="H64" s="93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89" t="s">
        <v>98</v>
      </c>
      <c r="D66" s="99" t="s">
        <v>65</v>
      </c>
      <c r="E66" s="90">
        <v>48</v>
      </c>
      <c r="F66" s="90" t="s">
        <v>99</v>
      </c>
      <c r="G66" s="91">
        <v>45860</v>
      </c>
      <c r="H66" s="93">
        <v>877404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98</v>
      </c>
      <c r="D68" s="99" t="s">
        <v>83</v>
      </c>
      <c r="E68" s="90">
        <v>144</v>
      </c>
      <c r="F68" s="90" t="s">
        <v>99</v>
      </c>
      <c r="G68" s="91">
        <v>45860</v>
      </c>
      <c r="H68" s="93">
        <v>877404</v>
      </c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1496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45856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85</v>
      </c>
      <c r="D74" s="20" t="s">
        <v>91</v>
      </c>
      <c r="E74" s="20">
        <v>54</v>
      </c>
      <c r="F74" s="20" t="s">
        <v>88</v>
      </c>
      <c r="G74" s="21">
        <v>45854</v>
      </c>
      <c r="H74" s="49">
        <v>246744</v>
      </c>
    </row>
    <row r="75" spans="1:8" s="4" customFormat="1" ht="12.75">
      <c r="A75" s="47"/>
      <c r="B75" s="48"/>
      <c r="C75" s="19" t="s">
        <v>85</v>
      </c>
      <c r="D75" s="20" t="s">
        <v>91</v>
      </c>
      <c r="E75" s="20">
        <v>162</v>
      </c>
      <c r="F75" s="20"/>
      <c r="G75" s="21"/>
      <c r="H75" s="49"/>
    </row>
    <row r="76" spans="1:8" s="4" customFormat="1" ht="12.75">
      <c r="A76" s="47"/>
      <c r="B76" s="48"/>
      <c r="C76" s="19" t="s">
        <v>48</v>
      </c>
      <c r="D76" s="20" t="s">
        <v>61</v>
      </c>
      <c r="E76" s="20">
        <v>288</v>
      </c>
      <c r="F76" s="20" t="s">
        <v>70</v>
      </c>
      <c r="G76" s="21">
        <v>45861</v>
      </c>
      <c r="H76" s="49">
        <v>12942245</v>
      </c>
    </row>
    <row r="77" spans="1:8" s="4" customFormat="1" ht="12.75">
      <c r="A77" s="47"/>
      <c r="B77" s="48"/>
      <c r="C77" s="19" t="s">
        <v>98</v>
      </c>
      <c r="D77" s="20" t="s">
        <v>61</v>
      </c>
      <c r="E77" s="20">
        <v>144</v>
      </c>
      <c r="F77" s="20" t="s">
        <v>99</v>
      </c>
      <c r="G77" s="21">
        <v>45860</v>
      </c>
      <c r="H77" s="49">
        <v>877404</v>
      </c>
    </row>
    <row r="78" spans="1:8" s="4" customFormat="1" ht="12.75">
      <c r="A78" s="47"/>
      <c r="B78" s="48"/>
      <c r="C78" s="19" t="s">
        <v>48</v>
      </c>
      <c r="D78" s="20" t="s">
        <v>76</v>
      </c>
      <c r="E78" s="20">
        <v>144</v>
      </c>
      <c r="F78" s="20" t="s">
        <v>70</v>
      </c>
      <c r="G78" s="21">
        <v>45861</v>
      </c>
      <c r="H78" s="49">
        <v>12942245</v>
      </c>
    </row>
    <row r="79" spans="1:8" s="4" customFormat="1" ht="12.75">
      <c r="A79" s="47"/>
      <c r="B79" s="48"/>
      <c r="C79" s="19" t="s">
        <v>48</v>
      </c>
      <c r="D79" s="20" t="s">
        <v>71</v>
      </c>
      <c r="E79" s="20">
        <v>144</v>
      </c>
      <c r="F79" s="20" t="s">
        <v>70</v>
      </c>
      <c r="G79" s="21">
        <v>45861</v>
      </c>
      <c r="H79" s="49">
        <v>12942245</v>
      </c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 t="s">
        <v>53</v>
      </c>
      <c r="D81" s="20" t="s">
        <v>134</v>
      </c>
      <c r="E81" s="20">
        <v>384</v>
      </c>
      <c r="F81" s="20" t="s">
        <v>59</v>
      </c>
      <c r="G81" s="21">
        <v>45866</v>
      </c>
      <c r="H81" s="49">
        <v>324089</v>
      </c>
    </row>
    <row r="82" spans="1:8" s="4" customFormat="1" ht="12.75">
      <c r="A82" s="56"/>
      <c r="B82" s="57"/>
      <c r="C82" s="19" t="s">
        <v>53</v>
      </c>
      <c r="D82" s="20" t="s">
        <v>134</v>
      </c>
      <c r="E82" s="20">
        <v>144</v>
      </c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1464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45857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D9CC-294E-4E16-AA38-BCC90A8DB0A5}">
  <dimension ref="A3:P97"/>
  <sheetViews>
    <sheetView topLeftCell="A42" workbookViewId="0">
      <selection activeCell="G62" sqref="G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20" t="s">
        <v>59</v>
      </c>
      <c r="G7" s="21">
        <v>45863</v>
      </c>
      <c r="H7" s="49">
        <v>324088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480</v>
      </c>
      <c r="F8" s="20" t="s">
        <v>59</v>
      </c>
      <c r="G8" s="21">
        <v>45863</v>
      </c>
      <c r="H8" s="49">
        <v>324090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63</v>
      </c>
      <c r="E9" s="20">
        <v>384</v>
      </c>
      <c r="F9" s="20" t="s">
        <v>59</v>
      </c>
      <c r="G9" s="21">
        <v>45866</v>
      </c>
      <c r="H9" s="49">
        <v>324089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68</v>
      </c>
      <c r="E10" s="20">
        <v>288</v>
      </c>
      <c r="F10" s="20" t="s">
        <v>59</v>
      </c>
      <c r="G10" s="21">
        <v>45863</v>
      </c>
      <c r="H10" s="49">
        <v>324088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45863</v>
      </c>
      <c r="H54" s="49">
        <v>324088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45863</v>
      </c>
      <c r="H55" s="49">
        <v>324090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64</v>
      </c>
      <c r="E56" s="20">
        <v>480</v>
      </c>
      <c r="F56" s="20" t="s">
        <v>59</v>
      </c>
      <c r="G56" s="21">
        <v>45866</v>
      </c>
      <c r="H56" s="49">
        <v>324089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45863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05" t="s">
        <v>239</v>
      </c>
      <c r="D70" s="106" t="s">
        <v>89</v>
      </c>
      <c r="E70" s="106">
        <v>216</v>
      </c>
      <c r="F70" s="138" t="s">
        <v>88</v>
      </c>
      <c r="G70" s="139">
        <v>45866</v>
      </c>
      <c r="H70" s="140">
        <v>246835</v>
      </c>
    </row>
    <row r="71" spans="1:8" s="4" customFormat="1" ht="12.75">
      <c r="A71" s="47"/>
      <c r="B71" s="48"/>
      <c r="C71" s="105" t="s">
        <v>239</v>
      </c>
      <c r="D71" s="106" t="s">
        <v>89</v>
      </c>
      <c r="E71" s="106">
        <v>216</v>
      </c>
      <c r="F71" s="138"/>
      <c r="G71" s="139"/>
      <c r="H71" s="140"/>
    </row>
    <row r="72" spans="1:8" s="4" customFormat="1" ht="12.75">
      <c r="A72" s="47"/>
      <c r="B72" s="48"/>
      <c r="C72" s="122" t="s">
        <v>239</v>
      </c>
      <c r="D72" s="123" t="s">
        <v>107</v>
      </c>
      <c r="E72" s="123">
        <v>162</v>
      </c>
      <c r="F72" s="123" t="s">
        <v>88</v>
      </c>
      <c r="G72" s="124">
        <v>45866</v>
      </c>
      <c r="H72" s="126">
        <v>246835</v>
      </c>
    </row>
    <row r="73" spans="1:8" s="4" customFormat="1" ht="12.75">
      <c r="A73" s="47"/>
      <c r="B73" s="48"/>
      <c r="C73" s="89" t="s">
        <v>239</v>
      </c>
      <c r="D73" s="90" t="s">
        <v>83</v>
      </c>
      <c r="E73" s="90">
        <v>108</v>
      </c>
      <c r="F73" s="135" t="s">
        <v>88</v>
      </c>
      <c r="G73" s="136">
        <v>45866</v>
      </c>
      <c r="H73" s="137">
        <v>246835</v>
      </c>
    </row>
    <row r="74" spans="1:8" s="4" customFormat="1" ht="12.75">
      <c r="A74" s="47"/>
      <c r="B74" s="48"/>
      <c r="C74" s="89" t="s">
        <v>239</v>
      </c>
      <c r="D74" s="90" t="s">
        <v>102</v>
      </c>
      <c r="E74" s="90">
        <v>216</v>
      </c>
      <c r="F74" s="135" t="s">
        <v>88</v>
      </c>
      <c r="G74" s="136">
        <v>45866</v>
      </c>
      <c r="H74" s="137">
        <v>246835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89" t="s">
        <v>240</v>
      </c>
      <c r="D76" s="99" t="s">
        <v>221</v>
      </c>
      <c r="E76" s="90">
        <v>105</v>
      </c>
      <c r="F76" s="135" t="s">
        <v>88</v>
      </c>
      <c r="G76" s="136">
        <v>45866</v>
      </c>
      <c r="H76" s="137">
        <v>246835</v>
      </c>
    </row>
    <row r="77" spans="1:8" s="4" customFormat="1" ht="12.75">
      <c r="A77" s="56"/>
      <c r="B77" s="57"/>
      <c r="C77" s="89" t="s">
        <v>240</v>
      </c>
      <c r="D77" s="90" t="s">
        <v>221</v>
      </c>
      <c r="E77" s="90">
        <v>315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45864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123"/>
      <c r="G86" s="124"/>
      <c r="H86" s="126"/>
    </row>
    <row r="87" spans="1:8" s="4" customFormat="1" ht="12.75">
      <c r="A87" s="47"/>
      <c r="B87" s="48"/>
      <c r="C87" s="122"/>
      <c r="D87" s="123"/>
      <c r="E87" s="123"/>
      <c r="F87" s="123"/>
      <c r="G87" s="124"/>
      <c r="H87" s="126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5EB-3BC8-4559-A1DD-B7F546CC4F32}">
  <dimension ref="A3:P97"/>
  <sheetViews>
    <sheetView topLeftCell="A48" workbookViewId="0">
      <selection activeCell="C7" sqref="C7:H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45866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69</v>
      </c>
      <c r="E7" s="20">
        <v>180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66</v>
      </c>
      <c r="D8" s="123" t="s">
        <v>63</v>
      </c>
      <c r="E8" s="20">
        <v>300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120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68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120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145</v>
      </c>
      <c r="D54" s="123" t="s">
        <v>74</v>
      </c>
      <c r="E54" s="123">
        <v>936</v>
      </c>
      <c r="F54" s="123" t="s">
        <v>180</v>
      </c>
      <c r="G54" s="124">
        <v>45873</v>
      </c>
      <c r="H54" s="126">
        <v>15968274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45873</v>
      </c>
      <c r="H56" s="49">
        <v>72138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</v>
      </c>
      <c r="D57" s="20" t="s">
        <v>86</v>
      </c>
      <c r="E57" s="20">
        <v>180</v>
      </c>
      <c r="F57" s="20" t="s">
        <v>148</v>
      </c>
      <c r="G57" s="21">
        <v>45873</v>
      </c>
      <c r="H57" s="49">
        <v>72138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05" t="s">
        <v>75</v>
      </c>
      <c r="D61" s="106" t="s">
        <v>89</v>
      </c>
      <c r="E61" s="106">
        <v>48</v>
      </c>
      <c r="F61" s="138" t="s">
        <v>77</v>
      </c>
      <c r="G61" s="139">
        <v>45889</v>
      </c>
      <c r="H61" s="140">
        <v>40096123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1218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288</v>
      </c>
      <c r="F70" s="123" t="s">
        <v>70</v>
      </c>
      <c r="G70" s="124">
        <v>45873</v>
      </c>
      <c r="H70" s="126">
        <v>12960527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123" t="s">
        <v>70</v>
      </c>
      <c r="G71" s="124">
        <v>45873</v>
      </c>
      <c r="H71" s="126">
        <v>12960527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192</v>
      </c>
      <c r="F72" s="123" t="s">
        <v>70</v>
      </c>
      <c r="G72" s="124">
        <v>45873</v>
      </c>
      <c r="H72" s="126">
        <v>12960527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123" t="s">
        <v>70</v>
      </c>
      <c r="G73" s="124">
        <v>45873</v>
      </c>
      <c r="H73" s="126">
        <v>12960527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240</v>
      </c>
      <c r="F74" s="135" t="s">
        <v>70</v>
      </c>
      <c r="G74" s="136">
        <v>45873</v>
      </c>
      <c r="H74" s="137">
        <v>12960527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144</v>
      </c>
      <c r="F75" s="135" t="s">
        <v>70</v>
      </c>
      <c r="G75" s="136">
        <v>45873</v>
      </c>
      <c r="H75" s="137">
        <v>12960527</v>
      </c>
    </row>
    <row r="76" spans="1:8" s="4" customFormat="1" ht="12.75">
      <c r="A76" s="56"/>
      <c r="B76" s="57"/>
      <c r="C76" s="89" t="s">
        <v>48</v>
      </c>
      <c r="D76" s="99" t="s">
        <v>65</v>
      </c>
      <c r="E76" s="90">
        <v>96</v>
      </c>
      <c r="F76" s="90" t="s">
        <v>70</v>
      </c>
      <c r="G76" s="91">
        <v>45881</v>
      </c>
      <c r="H76" s="93">
        <v>12994405</v>
      </c>
    </row>
    <row r="77" spans="1:8" s="4" customFormat="1" ht="12.75">
      <c r="A77" s="56"/>
      <c r="B77" s="57"/>
      <c r="C77" s="89" t="s">
        <v>48</v>
      </c>
      <c r="D77" s="99" t="s">
        <v>65</v>
      </c>
      <c r="E77" s="90">
        <v>96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45871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0407-5D05-4230-BD84-632EA3D3056C}">
  <dimension ref="A3:P101"/>
  <sheetViews>
    <sheetView topLeftCell="A48" workbookViewId="0">
      <selection activeCell="E72" sqref="E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45873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64</v>
      </c>
      <c r="E7" s="20">
        <v>480</v>
      </c>
      <c r="F7" s="20" t="s">
        <v>59</v>
      </c>
      <c r="G7" s="21">
        <v>45876</v>
      </c>
      <c r="H7" s="49">
        <v>324354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45876</v>
      </c>
      <c r="H8" s="49">
        <v>324354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134</v>
      </c>
      <c r="E9" s="20">
        <v>384</v>
      </c>
      <c r="F9" s="20" t="s">
        <v>59</v>
      </c>
      <c r="G9" s="21">
        <v>45876</v>
      </c>
      <c r="H9" s="49">
        <v>324354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67</v>
      </c>
      <c r="E11" s="20">
        <v>60</v>
      </c>
      <c r="F11" s="20" t="s">
        <v>88</v>
      </c>
      <c r="G11" s="21">
        <v>45882</v>
      </c>
      <c r="H11" s="49">
        <v>246946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1308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45874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45875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45876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75</v>
      </c>
      <c r="D53" s="15" t="s">
        <v>107</v>
      </c>
      <c r="E53" s="15">
        <v>48</v>
      </c>
      <c r="F53" s="15" t="s">
        <v>77</v>
      </c>
      <c r="G53" s="16">
        <v>45889</v>
      </c>
      <c r="H53" s="17">
        <v>40096123</v>
      </c>
      <c r="J53" s="3"/>
      <c r="K53" s="3"/>
      <c r="L53" s="3"/>
    </row>
    <row r="54" spans="1:15">
      <c r="A54" s="12"/>
      <c r="B54" s="125"/>
      <c r="C54" s="122" t="s">
        <v>94</v>
      </c>
      <c r="D54" s="123" t="s">
        <v>107</v>
      </c>
      <c r="E54" s="123">
        <v>54</v>
      </c>
      <c r="F54" s="123" t="s">
        <v>88</v>
      </c>
      <c r="G54" s="124">
        <v>45882</v>
      </c>
      <c r="H54" s="126">
        <v>246937</v>
      </c>
      <c r="J54" s="3"/>
      <c r="K54" s="3"/>
      <c r="L54" s="3"/>
    </row>
    <row r="55" spans="1:15">
      <c r="A55" s="47"/>
      <c r="B55" s="48"/>
      <c r="C55" s="122" t="s">
        <v>94</v>
      </c>
      <c r="D55" s="123" t="s">
        <v>107</v>
      </c>
      <c r="E55" s="123">
        <v>270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45881</v>
      </c>
      <c r="H56" s="49">
        <v>12994405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48</v>
      </c>
      <c r="D58" s="90" t="s">
        <v>65</v>
      </c>
      <c r="E58" s="90">
        <v>288</v>
      </c>
      <c r="F58" s="90" t="s">
        <v>70</v>
      </c>
      <c r="G58" s="91">
        <v>45894</v>
      </c>
      <c r="H58" s="93">
        <v>13011212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83</v>
      </c>
      <c r="E59" s="90">
        <v>432</v>
      </c>
      <c r="F59" s="90" t="s">
        <v>70</v>
      </c>
      <c r="G59" s="91">
        <v>45894</v>
      </c>
      <c r="H59" s="93">
        <v>13011212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83</v>
      </c>
      <c r="E61" s="90">
        <v>162</v>
      </c>
      <c r="F61" s="135" t="s">
        <v>88</v>
      </c>
      <c r="G61" s="136">
        <v>45882</v>
      </c>
      <c r="H61" s="137">
        <v>246937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241</v>
      </c>
      <c r="D63" s="90" t="s">
        <v>204</v>
      </c>
      <c r="E63" s="90">
        <v>105</v>
      </c>
      <c r="F63" s="90"/>
      <c r="G63" s="91"/>
      <c r="H63" s="92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1551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246</v>
      </c>
      <c r="D70" s="20" t="s">
        <v>74</v>
      </c>
      <c r="E70" s="20">
        <v>60</v>
      </c>
      <c r="F70" s="123"/>
      <c r="G70" s="124"/>
      <c r="H70" s="126"/>
    </row>
    <row r="71" spans="1:8" s="4" customFormat="1" ht="12.75">
      <c r="A71" s="44"/>
      <c r="B71" s="45"/>
      <c r="C71" s="19" t="s">
        <v>246</v>
      </c>
      <c r="D71" s="20" t="s">
        <v>63</v>
      </c>
      <c r="E71" s="20">
        <v>26</v>
      </c>
      <c r="F71" s="123"/>
      <c r="G71" s="124"/>
      <c r="H71" s="126"/>
    </row>
    <row r="72" spans="1:8" s="4" customFormat="1" ht="12.75">
      <c r="A72" s="44"/>
      <c r="B72" s="45"/>
      <c r="C72" s="19" t="s">
        <v>246</v>
      </c>
      <c r="D72" s="20" t="s">
        <v>247</v>
      </c>
      <c r="E72" s="20">
        <v>22</v>
      </c>
      <c r="F72" s="123"/>
      <c r="G72" s="124"/>
      <c r="H72" s="126"/>
    </row>
    <row r="73" spans="1:8" s="4" customFormat="1" ht="12.75">
      <c r="A73" s="47"/>
      <c r="B73" s="48"/>
      <c r="C73" s="19" t="s">
        <v>246</v>
      </c>
      <c r="D73" s="20" t="s">
        <v>64</v>
      </c>
      <c r="E73" s="20">
        <v>26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 t="s">
        <v>3</v>
      </c>
      <c r="D75" s="20" t="s">
        <v>86</v>
      </c>
      <c r="E75" s="20">
        <v>300</v>
      </c>
      <c r="F75" s="20"/>
      <c r="G75" s="21"/>
      <c r="H75" s="49"/>
    </row>
    <row r="76" spans="1:8" s="4" customFormat="1" ht="12.75">
      <c r="A76" s="47"/>
      <c r="B76" s="48"/>
      <c r="C76" s="19"/>
      <c r="D76" s="20"/>
      <c r="E76" s="20"/>
      <c r="F76" s="123"/>
      <c r="G76" s="124"/>
      <c r="H76" s="148"/>
    </row>
    <row r="77" spans="1:8" s="4" customFormat="1" ht="12.75">
      <c r="A77" s="47"/>
      <c r="B77" s="48"/>
      <c r="C77" s="89" t="s">
        <v>241</v>
      </c>
      <c r="D77" s="90" t="s">
        <v>221</v>
      </c>
      <c r="E77" s="90">
        <v>210</v>
      </c>
      <c r="F77" s="135" t="s">
        <v>88</v>
      </c>
      <c r="G77" s="136">
        <v>45882</v>
      </c>
      <c r="H77" s="137">
        <v>246937</v>
      </c>
    </row>
    <row r="78" spans="1:8" s="4" customFormat="1" ht="12.75">
      <c r="A78" s="47"/>
      <c r="B78" s="48"/>
      <c r="C78" s="89" t="s">
        <v>241</v>
      </c>
      <c r="D78" s="90" t="s">
        <v>221</v>
      </c>
      <c r="E78" s="90">
        <v>420</v>
      </c>
      <c r="F78" s="90"/>
      <c r="G78" s="91"/>
      <c r="H78" s="93"/>
    </row>
    <row r="79" spans="1:8" s="4" customFormat="1" ht="12.75">
      <c r="A79" s="47"/>
      <c r="B79" s="48"/>
      <c r="C79" s="89" t="s">
        <v>241</v>
      </c>
      <c r="D79" s="99" t="s">
        <v>217</v>
      </c>
      <c r="E79" s="90">
        <v>105</v>
      </c>
      <c r="F79" s="135" t="s">
        <v>88</v>
      </c>
      <c r="G79" s="136">
        <v>45882</v>
      </c>
      <c r="H79" s="137">
        <v>246937</v>
      </c>
    </row>
    <row r="80" spans="1:8" s="4" customFormat="1" ht="12.75">
      <c r="A80" s="56"/>
      <c r="B80" s="57"/>
      <c r="C80" s="89" t="s">
        <v>241</v>
      </c>
      <c r="D80" s="99" t="s">
        <v>217</v>
      </c>
      <c r="E80" s="90">
        <v>210</v>
      </c>
      <c r="F80" s="90"/>
      <c r="G80" s="91"/>
      <c r="H80" s="93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SUM(E69:E84)</f>
        <v>1379</v>
      </c>
      <c r="F85" s="36"/>
      <c r="G85" s="36"/>
      <c r="H85" s="38"/>
    </row>
    <row r="86" spans="1:8" s="4" customFormat="1" ht="13.5" thickBot="1">
      <c r="A86" s="7" t="s">
        <v>55</v>
      </c>
      <c r="B86" s="8">
        <f>B68+1</f>
        <v>45878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135C-C38C-4936-97B4-F73E2A1331ED}">
  <dimension ref="A3:P98"/>
  <sheetViews>
    <sheetView topLeftCell="A4" workbookViewId="0">
      <selection activeCell="G74" sqref="G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246</v>
      </c>
      <c r="D6" s="15" t="s">
        <v>64</v>
      </c>
      <c r="E6" s="15">
        <v>26</v>
      </c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61</v>
      </c>
      <c r="E7" s="20">
        <v>288</v>
      </c>
      <c r="F7" s="20" t="s">
        <v>70</v>
      </c>
      <c r="G7" s="21">
        <v>45881</v>
      </c>
      <c r="H7" s="49">
        <v>12994405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61</v>
      </c>
      <c r="E8" s="20">
        <v>576</v>
      </c>
      <c r="F8" s="20" t="s">
        <v>70</v>
      </c>
      <c r="G8" s="21">
        <v>45894</v>
      </c>
      <c r="H8" s="49">
        <v>13011212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240</v>
      </c>
      <c r="F9" s="20" t="s">
        <v>70</v>
      </c>
      <c r="G9" s="21">
        <v>45881</v>
      </c>
      <c r="H9" s="49">
        <v>12994405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71</v>
      </c>
      <c r="E11" s="20">
        <v>144</v>
      </c>
      <c r="F11" s="20" t="s">
        <v>70</v>
      </c>
      <c r="G11" s="21">
        <v>45881</v>
      </c>
      <c r="H11" s="49">
        <v>12994405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71</v>
      </c>
      <c r="E12" s="20">
        <v>144</v>
      </c>
      <c r="F12" s="20" t="s">
        <v>70</v>
      </c>
      <c r="G12" s="21">
        <v>45894</v>
      </c>
      <c r="H12" s="49">
        <v>13011212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71</v>
      </c>
      <c r="E13" s="20">
        <v>192</v>
      </c>
      <c r="F13" s="20" t="s">
        <v>70</v>
      </c>
      <c r="G13" s="21">
        <v>45894</v>
      </c>
      <c r="H13" s="49">
        <v>13011381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1610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45883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213</v>
      </c>
      <c r="E54" s="123">
        <v>105</v>
      </c>
      <c r="F54" s="123" t="s">
        <v>77</v>
      </c>
      <c r="G54" s="124">
        <v>45889</v>
      </c>
      <c r="H54" s="126">
        <v>40096123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111</v>
      </c>
      <c r="E55" s="20">
        <v>105</v>
      </c>
      <c r="F55" s="123" t="s">
        <v>77</v>
      </c>
      <c r="G55" s="124">
        <v>45889</v>
      </c>
      <c r="H55" s="126">
        <v>40096123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242</v>
      </c>
      <c r="D56" s="20" t="s">
        <v>109</v>
      </c>
      <c r="E56" s="20">
        <v>105</v>
      </c>
      <c r="F56" s="123" t="s">
        <v>77</v>
      </c>
      <c r="G56" s="124">
        <v>45889</v>
      </c>
      <c r="H56" s="126">
        <v>40096123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78</v>
      </c>
      <c r="E57" s="123">
        <v>96</v>
      </c>
      <c r="F57" s="123" t="s">
        <v>77</v>
      </c>
      <c r="G57" s="124">
        <v>45889</v>
      </c>
      <c r="H57" s="126">
        <v>40096123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78</v>
      </c>
      <c r="E58" s="123">
        <v>96</v>
      </c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62</v>
      </c>
      <c r="E59" s="20">
        <v>144</v>
      </c>
      <c r="F59" s="123" t="s">
        <v>77</v>
      </c>
      <c r="G59" s="124">
        <v>45889</v>
      </c>
      <c r="H59" s="126">
        <v>40096123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62</v>
      </c>
      <c r="E60" s="20">
        <v>192</v>
      </c>
      <c r="F60" s="20" t="s">
        <v>70</v>
      </c>
      <c r="G60" s="21">
        <v>45894</v>
      </c>
      <c r="H60" s="49">
        <v>13011381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84</v>
      </c>
      <c r="E61" s="20">
        <v>96</v>
      </c>
      <c r="F61" s="123" t="s">
        <v>77</v>
      </c>
      <c r="G61" s="124">
        <v>45889</v>
      </c>
      <c r="H61" s="126">
        <v>40096123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96</v>
      </c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63</v>
      </c>
      <c r="E63" s="20">
        <v>144</v>
      </c>
      <c r="F63" s="123" t="s">
        <v>77</v>
      </c>
      <c r="G63" s="124">
        <v>45889</v>
      </c>
      <c r="H63" s="126">
        <v>40096123</v>
      </c>
      <c r="M63" s="3"/>
      <c r="N63" s="81"/>
      <c r="O63" s="3"/>
    </row>
    <row r="64" spans="1:15" s="4" customFormat="1" ht="12.75">
      <c r="A64" s="47"/>
      <c r="B64" s="48"/>
      <c r="C64" s="19" t="s">
        <v>75</v>
      </c>
      <c r="D64" s="65" t="s">
        <v>71</v>
      </c>
      <c r="E64" s="20">
        <v>48</v>
      </c>
      <c r="F64" s="123" t="s">
        <v>77</v>
      </c>
      <c r="G64" s="124">
        <v>45889</v>
      </c>
      <c r="H64" s="126">
        <v>40096123</v>
      </c>
    </row>
    <row r="65" spans="1:8" s="4" customFormat="1" ht="12.75">
      <c r="A65" s="47"/>
      <c r="B65" s="48"/>
      <c r="C65" s="19" t="s">
        <v>75</v>
      </c>
      <c r="D65" s="65" t="s">
        <v>71</v>
      </c>
      <c r="E65" s="20">
        <v>96</v>
      </c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1323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45884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 t="s">
        <v>53</v>
      </c>
      <c r="D71" s="123" t="s">
        <v>61</v>
      </c>
      <c r="E71" s="123">
        <v>384</v>
      </c>
      <c r="F71" s="123" t="s">
        <v>59</v>
      </c>
      <c r="G71" s="124">
        <v>45889</v>
      </c>
      <c r="H71" s="126">
        <v>324681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45889</v>
      </c>
      <c r="H72" s="126">
        <v>324681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123" t="s">
        <v>59</v>
      </c>
      <c r="G73" s="124">
        <v>45889</v>
      </c>
      <c r="H73" s="126">
        <v>324681</v>
      </c>
    </row>
    <row r="74" spans="1:8" s="4" customFormat="1" ht="12.75">
      <c r="A74" s="47"/>
      <c r="B74" s="48"/>
      <c r="C74" s="19" t="s">
        <v>53</v>
      </c>
      <c r="D74" s="20" t="s">
        <v>134</v>
      </c>
      <c r="E74" s="20">
        <v>192</v>
      </c>
      <c r="F74" s="20" t="s">
        <v>59</v>
      </c>
      <c r="G74" s="21">
        <v>45896</v>
      </c>
      <c r="H74" s="49">
        <v>324862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1440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45885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849-2D6E-4DAF-9FCF-EC3CB8DCAE4F}">
  <dimension ref="A3:P97"/>
  <sheetViews>
    <sheetView workbookViewId="0">
      <selection activeCell="H72" sqref="H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72</v>
      </c>
      <c r="E7" s="20">
        <v>288</v>
      </c>
      <c r="F7" s="20" t="s">
        <v>70</v>
      </c>
      <c r="G7" s="21">
        <v>45894</v>
      </c>
      <c r="H7" s="49">
        <v>13011381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192</v>
      </c>
      <c r="F9" s="20" t="s">
        <v>70</v>
      </c>
      <c r="G9" s="21">
        <v>45894</v>
      </c>
      <c r="H9" s="49">
        <v>13011381</v>
      </c>
      <c r="J9" s="147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147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63</v>
      </c>
      <c r="E11" s="20">
        <v>432</v>
      </c>
      <c r="F11" s="20" t="s">
        <v>59</v>
      </c>
      <c r="G11" s="21">
        <v>45896</v>
      </c>
      <c r="H11" s="49">
        <v>324862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68</v>
      </c>
      <c r="E12" s="20">
        <v>432</v>
      </c>
      <c r="F12" s="20" t="s">
        <v>59</v>
      </c>
      <c r="G12" s="21">
        <v>45896</v>
      </c>
      <c r="H12" s="49">
        <v>324862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136</v>
      </c>
      <c r="D15" s="20" t="s">
        <v>135</v>
      </c>
      <c r="E15" s="20">
        <v>54</v>
      </c>
      <c r="F15" s="20" t="s">
        <v>148</v>
      </c>
      <c r="G15" s="21">
        <v>45901</v>
      </c>
      <c r="H15" s="49">
        <v>72552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136</v>
      </c>
      <c r="D16" s="20" t="s">
        <v>135</v>
      </c>
      <c r="E16" s="20">
        <v>54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140</v>
      </c>
      <c r="D54" s="123" t="s">
        <v>61</v>
      </c>
      <c r="E54" s="123">
        <v>192</v>
      </c>
      <c r="F54" s="123" t="s">
        <v>140</v>
      </c>
      <c r="G54" s="124">
        <v>45891</v>
      </c>
      <c r="H54" s="126">
        <v>125080001</v>
      </c>
      <c r="J54" s="3"/>
      <c r="K54" s="3"/>
      <c r="L54" s="3"/>
    </row>
    <row r="55" spans="1:15">
      <c r="A55" s="47"/>
      <c r="B55" s="48"/>
      <c r="C55" s="19" t="s">
        <v>140</v>
      </c>
      <c r="D55" s="20" t="s">
        <v>141</v>
      </c>
      <c r="E55" s="20">
        <v>192</v>
      </c>
      <c r="F55" s="123" t="s">
        <v>140</v>
      </c>
      <c r="G55" s="124">
        <v>45891</v>
      </c>
      <c r="H55" s="126">
        <v>125080001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20" t="s">
        <v>63</v>
      </c>
      <c r="E56" s="20">
        <v>192</v>
      </c>
      <c r="F56" s="123" t="s">
        <v>140</v>
      </c>
      <c r="G56" s="124">
        <v>45891</v>
      </c>
      <c r="H56" s="126">
        <v>125080001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20" t="s">
        <v>64</v>
      </c>
      <c r="E57" s="20">
        <v>384</v>
      </c>
      <c r="F57" s="123" t="s">
        <v>140</v>
      </c>
      <c r="G57" s="124">
        <v>45891</v>
      </c>
      <c r="H57" s="126">
        <v>125080001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140</v>
      </c>
      <c r="D58" s="123" t="s">
        <v>68</v>
      </c>
      <c r="E58" s="123">
        <v>192</v>
      </c>
      <c r="F58" s="123" t="s">
        <v>140</v>
      </c>
      <c r="G58" s="124">
        <v>45891</v>
      </c>
      <c r="H58" s="126">
        <v>125080001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22"/>
      <c r="D60" s="123"/>
      <c r="E60" s="123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20">
        <v>180</v>
      </c>
      <c r="F70" s="20"/>
      <c r="G70" s="21"/>
      <c r="H70" s="49"/>
    </row>
    <row r="71" spans="1:8" s="4" customFormat="1" ht="12.75">
      <c r="A71" s="47"/>
      <c r="B71" s="48"/>
      <c r="C71" s="122" t="s">
        <v>66</v>
      </c>
      <c r="D71" s="123" t="s">
        <v>63</v>
      </c>
      <c r="E71" s="20">
        <v>300</v>
      </c>
      <c r="F71" s="20"/>
      <c r="G71" s="21"/>
      <c r="H71" s="49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120</v>
      </c>
      <c r="F72" s="20"/>
      <c r="G72" s="21"/>
      <c r="H72" s="49"/>
    </row>
    <row r="73" spans="1:8" s="4" customFormat="1" ht="12.75">
      <c r="A73" s="47"/>
      <c r="B73" s="48"/>
      <c r="C73" s="19" t="s">
        <v>66</v>
      </c>
      <c r="D73" s="20" t="s">
        <v>67</v>
      </c>
      <c r="E73" s="20">
        <v>240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64</v>
      </c>
      <c r="E74" s="20">
        <v>360</v>
      </c>
      <c r="F74" s="20"/>
      <c r="G74" s="21"/>
      <c r="H74" s="49"/>
    </row>
    <row r="75" spans="1:8" s="4" customFormat="1" ht="12.75">
      <c r="A75" s="47"/>
      <c r="B75" s="48"/>
      <c r="C75" s="19" t="s">
        <v>66</v>
      </c>
      <c r="D75" s="20" t="s">
        <v>68</v>
      </c>
      <c r="E75" s="20">
        <v>180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G76" s="21"/>
      <c r="H76" s="49"/>
    </row>
    <row r="77" spans="1:8" s="4" customFormat="1" ht="12.75">
      <c r="A77" s="56"/>
      <c r="B77" s="57"/>
      <c r="C77" s="105" t="s">
        <v>94</v>
      </c>
      <c r="D77" s="106" t="s">
        <v>89</v>
      </c>
      <c r="E77" s="106">
        <v>162</v>
      </c>
      <c r="F77" s="106" t="s">
        <v>88</v>
      </c>
      <c r="G77" s="107">
        <v>45903</v>
      </c>
      <c r="H77" s="108">
        <v>247148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1542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BA8-22B8-440E-9D17-EFCC057864A5}">
  <sheetPr>
    <pageSetUpPr fitToPage="1"/>
  </sheetPr>
  <dimension ref="A3:P97"/>
  <sheetViews>
    <sheetView topLeftCell="A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45894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384</v>
      </c>
      <c r="F7" s="20" t="s">
        <v>59</v>
      </c>
      <c r="G7" s="21">
        <v>45902</v>
      </c>
      <c r="H7" s="49">
        <v>325170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67</v>
      </c>
      <c r="E8" s="20">
        <v>384</v>
      </c>
      <c r="F8" s="20" t="s">
        <v>59</v>
      </c>
      <c r="G8" s="21">
        <v>45902</v>
      </c>
      <c r="H8" s="49">
        <v>325170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53</v>
      </c>
      <c r="D9" s="99" t="s">
        <v>65</v>
      </c>
      <c r="E9" s="90">
        <v>480</v>
      </c>
      <c r="F9" s="90" t="s">
        <v>59</v>
      </c>
      <c r="G9" s="91">
        <v>45902</v>
      </c>
      <c r="H9" s="93">
        <v>325170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94</v>
      </c>
      <c r="D11" s="90" t="s">
        <v>83</v>
      </c>
      <c r="E11" s="90">
        <v>216</v>
      </c>
      <c r="F11" s="90" t="s">
        <v>88</v>
      </c>
      <c r="G11" s="91">
        <v>45903</v>
      </c>
      <c r="H11" s="93">
        <v>247148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45895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45896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1" t="s">
        <v>243</v>
      </c>
      <c r="D54" s="138" t="s">
        <v>63</v>
      </c>
      <c r="E54" s="138">
        <v>480</v>
      </c>
      <c r="F54" s="138" t="s">
        <v>243</v>
      </c>
      <c r="G54" s="139">
        <v>45894</v>
      </c>
      <c r="H54" s="140">
        <v>731.25</v>
      </c>
      <c r="J54" s="3"/>
      <c r="K54" s="3"/>
      <c r="L54" s="3"/>
    </row>
    <row r="55" spans="1:15">
      <c r="A55" s="47"/>
      <c r="B55" s="48"/>
      <c r="C55" s="105" t="s">
        <v>243</v>
      </c>
      <c r="D55" s="118" t="s">
        <v>67</v>
      </c>
      <c r="E55" s="106">
        <v>360</v>
      </c>
      <c r="F55" s="138" t="s">
        <v>243</v>
      </c>
      <c r="G55" s="139">
        <v>45894</v>
      </c>
      <c r="H55" s="140">
        <v>731.25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41" t="s">
        <v>243</v>
      </c>
      <c r="D56" s="138" t="s">
        <v>146</v>
      </c>
      <c r="E56" s="138">
        <v>180</v>
      </c>
      <c r="F56" s="138" t="s">
        <v>243</v>
      </c>
      <c r="G56" s="139">
        <v>45894</v>
      </c>
      <c r="H56" s="140">
        <v>731.25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2" t="s">
        <v>243</v>
      </c>
      <c r="D57" s="143" t="s">
        <v>65</v>
      </c>
      <c r="E57" s="143">
        <v>240</v>
      </c>
      <c r="F57" s="144" t="s">
        <v>243</v>
      </c>
      <c r="G57" s="145">
        <v>45894</v>
      </c>
      <c r="H57" s="146">
        <v>731.25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2" t="s">
        <v>243</v>
      </c>
      <c r="D58" s="143" t="s">
        <v>244</v>
      </c>
      <c r="E58" s="143">
        <v>180</v>
      </c>
      <c r="F58" s="144" t="s">
        <v>243</v>
      </c>
      <c r="G58" s="145">
        <v>45894</v>
      </c>
      <c r="H58" s="146">
        <v>731.25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 t="s">
        <v>256</v>
      </c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05" t="s">
        <v>243</v>
      </c>
      <c r="D71" s="106" t="s">
        <v>74</v>
      </c>
      <c r="E71" s="106">
        <v>420</v>
      </c>
      <c r="F71" s="138" t="s">
        <v>243</v>
      </c>
      <c r="G71" s="139">
        <v>45894</v>
      </c>
      <c r="H71" s="140">
        <v>731.25</v>
      </c>
    </row>
    <row r="72" spans="1:8" s="4" customFormat="1" ht="12.75">
      <c r="A72" s="47"/>
      <c r="B72" s="48"/>
      <c r="C72" s="105" t="s">
        <v>243</v>
      </c>
      <c r="D72" s="106" t="s">
        <v>64</v>
      </c>
      <c r="E72" s="106">
        <v>780</v>
      </c>
      <c r="F72" s="138" t="s">
        <v>243</v>
      </c>
      <c r="G72" s="139">
        <v>45894</v>
      </c>
      <c r="H72" s="140">
        <v>731.25</v>
      </c>
    </row>
    <row r="73" spans="1:8" s="4" customFormat="1" ht="12.75">
      <c r="A73" s="47"/>
      <c r="B73" s="48"/>
      <c r="C73" s="105" t="s">
        <v>243</v>
      </c>
      <c r="D73" s="106" t="s">
        <v>245</v>
      </c>
      <c r="E73" s="106">
        <v>180</v>
      </c>
      <c r="F73" s="138" t="s">
        <v>243</v>
      </c>
      <c r="G73" s="139">
        <v>45894</v>
      </c>
      <c r="H73" s="140">
        <v>731.25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37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69FF-F42B-4F9B-9FC9-DDFA04F10426}">
  <dimension ref="A3:P97"/>
  <sheetViews>
    <sheetView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119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45903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45904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74</v>
      </c>
      <c r="E54" s="123">
        <v>210</v>
      </c>
      <c r="F54" s="123" t="s">
        <v>77</v>
      </c>
      <c r="G54" s="124">
        <v>45909</v>
      </c>
      <c r="H54" s="126">
        <v>40098731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63</v>
      </c>
      <c r="E55" s="20">
        <v>210</v>
      </c>
      <c r="F55" s="123" t="s">
        <v>77</v>
      </c>
      <c r="G55" s="124">
        <v>45909</v>
      </c>
      <c r="H55" s="126">
        <v>40098731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252</v>
      </c>
      <c r="D56" s="20" t="s">
        <v>64</v>
      </c>
      <c r="E56" s="20">
        <v>144</v>
      </c>
      <c r="F56" s="123" t="s">
        <v>77</v>
      </c>
      <c r="G56" s="124">
        <v>45909</v>
      </c>
      <c r="H56" s="126">
        <v>40098731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252</v>
      </c>
      <c r="D57" s="20" t="s">
        <v>64</v>
      </c>
      <c r="E57" s="20">
        <v>96</v>
      </c>
      <c r="F57" s="123" t="s">
        <v>77</v>
      </c>
      <c r="G57" s="124">
        <v>45915</v>
      </c>
      <c r="H57" s="126">
        <v>40099734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252</v>
      </c>
      <c r="D58" s="20" t="s">
        <v>107</v>
      </c>
      <c r="E58" s="20">
        <v>48</v>
      </c>
      <c r="F58" s="123" t="s">
        <v>77</v>
      </c>
      <c r="G58" s="124">
        <v>45909</v>
      </c>
      <c r="H58" s="126">
        <v>40098731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252</v>
      </c>
      <c r="D59" s="20" t="s">
        <v>63</v>
      </c>
      <c r="E59" s="20">
        <v>240</v>
      </c>
      <c r="F59" s="123" t="s">
        <v>77</v>
      </c>
      <c r="G59" s="124">
        <v>45909</v>
      </c>
      <c r="H59" s="126">
        <v>40098731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62</v>
      </c>
      <c r="E60" s="20">
        <v>125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252</v>
      </c>
      <c r="D61" s="20" t="s">
        <v>62</v>
      </c>
      <c r="E61" s="20">
        <v>240</v>
      </c>
      <c r="F61" s="123" t="s">
        <v>77</v>
      </c>
      <c r="G61" s="124">
        <v>45909</v>
      </c>
      <c r="H61" s="126">
        <v>40098731</v>
      </c>
      <c r="M61" s="3"/>
      <c r="N61" s="81"/>
      <c r="O61" s="3"/>
    </row>
    <row r="62" spans="1:15" s="4" customFormat="1" ht="12.75">
      <c r="A62" s="47"/>
      <c r="B62" s="48"/>
      <c r="C62" s="105" t="s">
        <v>252</v>
      </c>
      <c r="D62" s="106" t="s">
        <v>253</v>
      </c>
      <c r="E62" s="106">
        <v>48</v>
      </c>
      <c r="F62" s="138" t="s">
        <v>77</v>
      </c>
      <c r="G62" s="139">
        <v>45909</v>
      </c>
      <c r="H62" s="140">
        <v>40098731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05" t="s">
        <v>243</v>
      </c>
      <c r="D64" s="106" t="s">
        <v>64</v>
      </c>
      <c r="E64" s="106">
        <v>180</v>
      </c>
      <c r="F64" s="138" t="s">
        <v>243</v>
      </c>
      <c r="G64" s="139">
        <v>45894</v>
      </c>
      <c r="H64" s="140">
        <v>731.25</v>
      </c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1541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45905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61</v>
      </c>
      <c r="E70" s="123">
        <v>384</v>
      </c>
      <c r="F70" s="123" t="s">
        <v>59</v>
      </c>
      <c r="G70" s="124">
        <v>45909</v>
      </c>
      <c r="H70" s="126">
        <v>325171</v>
      </c>
    </row>
    <row r="71" spans="1:8" s="4" customFormat="1" ht="12.75">
      <c r="A71" s="47"/>
      <c r="B71" s="48"/>
      <c r="C71" s="19" t="s">
        <v>53</v>
      </c>
      <c r="D71" s="20" t="s">
        <v>133</v>
      </c>
      <c r="E71" s="20">
        <v>384</v>
      </c>
      <c r="F71" s="123" t="s">
        <v>59</v>
      </c>
      <c r="G71" s="124">
        <v>45909</v>
      </c>
      <c r="H71" s="126">
        <v>325171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45909</v>
      </c>
      <c r="H72" s="126">
        <v>325171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 t="s">
        <v>66</v>
      </c>
      <c r="D74" s="19" t="s">
        <v>64</v>
      </c>
      <c r="E74" s="20">
        <v>60</v>
      </c>
      <c r="F74" s="20" t="s">
        <v>88</v>
      </c>
      <c r="G74" s="21">
        <v>45910</v>
      </c>
      <c r="H74" s="49">
        <v>247202</v>
      </c>
    </row>
    <row r="75" spans="1:8" s="4" customFormat="1" ht="12.75">
      <c r="A75" s="47"/>
      <c r="B75" s="48"/>
      <c r="C75" s="105" t="s">
        <v>243</v>
      </c>
      <c r="D75" s="106" t="s">
        <v>64</v>
      </c>
      <c r="E75" s="106">
        <v>220</v>
      </c>
      <c r="F75" s="138" t="s">
        <v>243</v>
      </c>
      <c r="G75" s="139">
        <v>45894</v>
      </c>
      <c r="H75" s="140">
        <v>731.25</v>
      </c>
    </row>
    <row r="76" spans="1:8" s="4" customFormat="1" ht="12.75">
      <c r="A76" s="56"/>
      <c r="B76" s="57"/>
      <c r="C76" s="19" t="s">
        <v>218</v>
      </c>
      <c r="D76" s="20" t="s">
        <v>213</v>
      </c>
      <c r="E76" s="20">
        <v>20</v>
      </c>
      <c r="F76" s="20" t="s">
        <v>218</v>
      </c>
      <c r="G76" s="21">
        <v>45908</v>
      </c>
      <c r="H76" s="49">
        <v>941719</v>
      </c>
    </row>
    <row r="77" spans="1:8" s="4" customFormat="1" ht="12.75">
      <c r="A77" s="56"/>
      <c r="B77" s="57"/>
      <c r="C77" s="19" t="s">
        <v>218</v>
      </c>
      <c r="D77" s="20" t="s">
        <v>111</v>
      </c>
      <c r="E77" s="20">
        <v>20</v>
      </c>
      <c r="F77" s="20" t="s">
        <v>218</v>
      </c>
      <c r="G77" s="21">
        <v>45908</v>
      </c>
      <c r="H77" s="49">
        <v>941719</v>
      </c>
    </row>
    <row r="78" spans="1:8" s="4" customFormat="1" ht="12.75">
      <c r="A78" s="56"/>
      <c r="B78" s="57"/>
      <c r="C78" s="19" t="s">
        <v>218</v>
      </c>
      <c r="D78" s="20" t="s">
        <v>259</v>
      </c>
      <c r="E78" s="20">
        <v>20</v>
      </c>
      <c r="F78" s="20" t="s">
        <v>218</v>
      </c>
      <c r="G78" s="21">
        <v>45908</v>
      </c>
      <c r="H78" s="22">
        <v>941719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45906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1A4C-03CC-440E-9FBB-9346490F7652}">
  <dimension ref="A3:P104"/>
  <sheetViews>
    <sheetView workbookViewId="0">
      <selection activeCell="D85" sqref="D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261</v>
      </c>
      <c r="D6" s="15" t="s">
        <v>74</v>
      </c>
      <c r="E6" s="15">
        <v>60</v>
      </c>
      <c r="F6" s="15" t="s">
        <v>218</v>
      </c>
      <c r="G6" s="16">
        <v>45915</v>
      </c>
      <c r="H6" s="17">
        <v>946857</v>
      </c>
    </row>
    <row r="7" spans="1:13" ht="15.75" customHeight="1">
      <c r="A7" s="12"/>
      <c r="B7" s="18"/>
      <c r="C7" s="19" t="s">
        <v>261</v>
      </c>
      <c r="D7" s="20" t="s">
        <v>63</v>
      </c>
      <c r="E7" s="20">
        <v>45</v>
      </c>
      <c r="F7" s="123" t="s">
        <v>218</v>
      </c>
      <c r="G7" s="124">
        <v>45915</v>
      </c>
      <c r="H7" s="126">
        <v>946857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261</v>
      </c>
      <c r="D8" s="19" t="s">
        <v>64</v>
      </c>
      <c r="E8" s="20">
        <v>15</v>
      </c>
      <c r="F8" s="20" t="s">
        <v>218</v>
      </c>
      <c r="G8" s="21">
        <v>45915</v>
      </c>
      <c r="H8" s="49">
        <v>946857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05" t="s">
        <v>243</v>
      </c>
      <c r="D9" s="106" t="s">
        <v>64</v>
      </c>
      <c r="E9" s="106">
        <v>180</v>
      </c>
      <c r="F9" s="138" t="s">
        <v>243</v>
      </c>
      <c r="G9" s="139">
        <v>45894</v>
      </c>
      <c r="H9" s="140">
        <v>731.25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19" t="s">
        <v>254</v>
      </c>
      <c r="E10" s="20">
        <v>108</v>
      </c>
      <c r="F10" s="20" t="s">
        <v>88</v>
      </c>
      <c r="G10" s="21">
        <v>45910</v>
      </c>
      <c r="H10" s="49">
        <v>247202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19" t="s">
        <v>92</v>
      </c>
      <c r="E11" s="20">
        <v>54</v>
      </c>
      <c r="F11" s="20" t="s">
        <v>88</v>
      </c>
      <c r="G11" s="21">
        <v>45910</v>
      </c>
      <c r="H11" s="49">
        <v>247202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336</v>
      </c>
      <c r="F12" s="123" t="s">
        <v>70</v>
      </c>
      <c r="G12" s="124">
        <v>45915</v>
      </c>
      <c r="H12" s="126">
        <v>13065589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98</v>
      </c>
      <c r="D14" s="20" t="s">
        <v>64</v>
      </c>
      <c r="E14" s="20">
        <v>144</v>
      </c>
      <c r="F14" s="123" t="s">
        <v>99</v>
      </c>
      <c r="G14" s="124">
        <v>45922</v>
      </c>
      <c r="H14" s="126">
        <v>244086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48</v>
      </c>
      <c r="D17" s="90" t="s">
        <v>65</v>
      </c>
      <c r="E17" s="90">
        <v>288</v>
      </c>
      <c r="F17" s="135" t="s">
        <v>70</v>
      </c>
      <c r="G17" s="136">
        <v>45915</v>
      </c>
      <c r="H17" s="137">
        <v>13065565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1230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255</v>
      </c>
      <c r="E56" s="20">
        <v>384</v>
      </c>
      <c r="F56" s="123" t="s">
        <v>70</v>
      </c>
      <c r="G56" s="124">
        <v>45915</v>
      </c>
      <c r="H56" s="126">
        <v>13065589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384</v>
      </c>
      <c r="F57" s="123" t="s">
        <v>70</v>
      </c>
      <c r="G57" s="124">
        <v>45915</v>
      </c>
      <c r="H57" s="126">
        <v>13065589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61</v>
      </c>
      <c r="E58" s="20">
        <v>528</v>
      </c>
      <c r="F58" s="123" t="s">
        <v>70</v>
      </c>
      <c r="G58" s="124">
        <v>45915</v>
      </c>
      <c r="H58" s="126">
        <v>13065565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61</v>
      </c>
      <c r="E59" s="20">
        <v>96</v>
      </c>
      <c r="F59" s="123" t="s">
        <v>77</v>
      </c>
      <c r="G59" s="124">
        <v>45915</v>
      </c>
      <c r="H59" s="126">
        <v>40099734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20" t="s">
        <v>61</v>
      </c>
      <c r="E60" s="20">
        <v>96</v>
      </c>
      <c r="F60" s="20" t="s">
        <v>99</v>
      </c>
      <c r="G60" s="21">
        <v>45922</v>
      </c>
      <c r="H60" s="49">
        <v>244086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3</v>
      </c>
      <c r="D62" s="20" t="s">
        <v>135</v>
      </c>
      <c r="E62" s="20">
        <v>54</v>
      </c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123"/>
      <c r="G66" s="124"/>
      <c r="H66" s="126"/>
    </row>
    <row r="67" spans="1:8" s="4" customFormat="1" ht="12.75">
      <c r="A67" s="47"/>
      <c r="B67" s="48"/>
      <c r="C67" s="122"/>
      <c r="D67" s="123"/>
      <c r="E67" s="123"/>
      <c r="F67" s="123"/>
      <c r="G67" s="124"/>
      <c r="H67" s="126"/>
    </row>
    <row r="68" spans="1:8" s="4" customFormat="1" ht="12.75">
      <c r="A68" s="47"/>
      <c r="B68" s="48"/>
      <c r="C68" s="122"/>
      <c r="D68" s="123"/>
      <c r="E68" s="123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70">
        <f>SUM(E53:E67)</f>
        <v>1542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45912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 t="s">
        <v>261</v>
      </c>
      <c r="D73" s="20" t="s">
        <v>74</v>
      </c>
      <c r="E73" s="20">
        <v>16</v>
      </c>
      <c r="F73" s="123" t="s">
        <v>218</v>
      </c>
      <c r="G73" s="124">
        <v>45915</v>
      </c>
      <c r="H73" s="126">
        <v>946857</v>
      </c>
    </row>
    <row r="74" spans="1:8" s="4" customFormat="1" ht="12.75">
      <c r="A74" s="47"/>
      <c r="B74" s="48"/>
      <c r="C74" s="19" t="s">
        <v>261</v>
      </c>
      <c r="D74" s="20" t="s">
        <v>63</v>
      </c>
      <c r="E74" s="20">
        <v>27</v>
      </c>
      <c r="F74" s="123" t="s">
        <v>218</v>
      </c>
      <c r="G74" s="124">
        <v>45915</v>
      </c>
      <c r="H74" s="126">
        <v>946857</v>
      </c>
    </row>
    <row r="75" spans="1:8" s="4" customFormat="1" ht="12.75">
      <c r="A75" s="47"/>
      <c r="B75" s="48"/>
      <c r="C75" s="19" t="s">
        <v>263</v>
      </c>
      <c r="D75" s="20" t="s">
        <v>262</v>
      </c>
      <c r="E75" s="20">
        <v>60</v>
      </c>
      <c r="F75" s="123" t="s">
        <v>218</v>
      </c>
      <c r="G75" s="124">
        <v>45915</v>
      </c>
      <c r="H75" s="126">
        <v>916188</v>
      </c>
    </row>
    <row r="76" spans="1:8" s="4" customFormat="1" ht="12.75">
      <c r="A76" s="47"/>
      <c r="B76" s="48"/>
      <c r="C76" s="19" t="s">
        <v>263</v>
      </c>
      <c r="D76" s="20" t="s">
        <v>63</v>
      </c>
      <c r="E76" s="20">
        <v>30</v>
      </c>
      <c r="F76" s="123" t="s">
        <v>218</v>
      </c>
      <c r="G76" s="124">
        <v>45915</v>
      </c>
      <c r="H76" s="126">
        <v>916188</v>
      </c>
    </row>
    <row r="77" spans="1:8" s="4" customFormat="1" ht="12.75">
      <c r="A77" s="47"/>
      <c r="B77" s="48"/>
      <c r="C77" s="19" t="s">
        <v>263</v>
      </c>
      <c r="D77" s="20" t="s">
        <v>74</v>
      </c>
      <c r="E77" s="20">
        <v>30</v>
      </c>
      <c r="F77" s="123" t="s">
        <v>218</v>
      </c>
      <c r="G77" s="124">
        <v>45915</v>
      </c>
      <c r="H77" s="126">
        <v>916188</v>
      </c>
    </row>
    <row r="78" spans="1:8" s="4" customFormat="1" ht="12.75">
      <c r="A78" s="47"/>
      <c r="B78" s="48"/>
      <c r="C78" s="19"/>
      <c r="D78" s="20"/>
      <c r="E78" s="20"/>
      <c r="F78" s="123"/>
      <c r="G78" s="124"/>
      <c r="H78" s="126"/>
    </row>
    <row r="79" spans="1:8" s="4" customFormat="1" ht="12.75">
      <c r="A79" s="47"/>
      <c r="B79" s="48"/>
      <c r="C79" s="19" t="s">
        <v>94</v>
      </c>
      <c r="D79" s="20" t="s">
        <v>107</v>
      </c>
      <c r="E79" s="20">
        <v>162</v>
      </c>
      <c r="F79" s="123" t="s">
        <v>165</v>
      </c>
      <c r="G79" s="124">
        <v>45915</v>
      </c>
      <c r="H79" s="126">
        <v>113067</v>
      </c>
    </row>
    <row r="80" spans="1:8" s="4" customFormat="1" ht="12.75">
      <c r="A80" s="56"/>
      <c r="B80" s="57"/>
      <c r="C80" s="19"/>
      <c r="D80" s="20"/>
      <c r="E80" s="20"/>
      <c r="F80" s="123"/>
      <c r="G80" s="124"/>
      <c r="H80" s="126"/>
    </row>
    <row r="81" spans="1:8" s="4" customFormat="1" ht="12.75">
      <c r="A81" s="56"/>
      <c r="B81" s="57"/>
      <c r="C81" s="89" t="s">
        <v>98</v>
      </c>
      <c r="D81" s="90" t="s">
        <v>65</v>
      </c>
      <c r="E81" s="90">
        <v>96</v>
      </c>
      <c r="F81" s="135" t="s">
        <v>99</v>
      </c>
      <c r="G81" s="136">
        <v>45922</v>
      </c>
      <c r="H81" s="137">
        <v>244086</v>
      </c>
    </row>
    <row r="82" spans="1:8" s="4" customFormat="1" ht="12.75">
      <c r="A82" s="56"/>
      <c r="B82" s="57"/>
      <c r="C82" s="89" t="s">
        <v>98</v>
      </c>
      <c r="D82" s="90" t="s">
        <v>83</v>
      </c>
      <c r="E82" s="90">
        <v>144</v>
      </c>
      <c r="F82" s="135" t="s">
        <v>99</v>
      </c>
      <c r="G82" s="136">
        <v>45922</v>
      </c>
      <c r="H82" s="137">
        <v>244086</v>
      </c>
    </row>
    <row r="83" spans="1:8" s="4" customFormat="1" ht="12.75">
      <c r="A83" s="56"/>
      <c r="B83" s="57"/>
      <c r="C83" s="89" t="s">
        <v>48</v>
      </c>
      <c r="D83" s="90" t="s">
        <v>83</v>
      </c>
      <c r="E83" s="90">
        <v>48</v>
      </c>
      <c r="F83" s="135" t="s">
        <v>70</v>
      </c>
      <c r="G83" s="136">
        <v>45915</v>
      </c>
      <c r="H83" s="137">
        <v>13065589</v>
      </c>
    </row>
    <row r="84" spans="1:8" s="4" customFormat="1" ht="12.75">
      <c r="A84" s="56"/>
      <c r="B84" s="57"/>
      <c r="C84" s="89" t="s">
        <v>48</v>
      </c>
      <c r="D84" s="90" t="s">
        <v>83</v>
      </c>
      <c r="E84" s="90">
        <v>336</v>
      </c>
      <c r="F84" s="135" t="s">
        <v>70</v>
      </c>
      <c r="G84" s="136">
        <v>45915</v>
      </c>
      <c r="H84" s="137">
        <v>13065565</v>
      </c>
    </row>
    <row r="85" spans="1:8" s="4" customFormat="1" ht="12.75">
      <c r="A85" s="56"/>
      <c r="B85" s="57"/>
      <c r="C85" s="89" t="s">
        <v>48</v>
      </c>
      <c r="D85" s="90" t="s">
        <v>83</v>
      </c>
      <c r="E85" s="90">
        <v>96</v>
      </c>
      <c r="F85" s="135" t="s">
        <v>70</v>
      </c>
      <c r="G85" s="136">
        <v>45926</v>
      </c>
      <c r="H85" s="137">
        <v>13099027</v>
      </c>
    </row>
    <row r="86" spans="1:8" s="4" customFormat="1" ht="12.75">
      <c r="A86" s="56"/>
      <c r="B86" s="57"/>
      <c r="C86" s="89" t="s">
        <v>94</v>
      </c>
      <c r="D86" s="90" t="s">
        <v>83</v>
      </c>
      <c r="E86" s="90">
        <v>162</v>
      </c>
      <c r="F86" s="90" t="s">
        <v>88</v>
      </c>
      <c r="G86" s="91">
        <v>45923</v>
      </c>
      <c r="H86" s="93">
        <v>247335</v>
      </c>
    </row>
    <row r="87" spans="1:8" s="4" customFormat="1" ht="13.5" thickBot="1">
      <c r="A87" s="56"/>
      <c r="B87" s="57"/>
      <c r="C87" s="19"/>
      <c r="D87" s="20"/>
      <c r="E87" s="20"/>
      <c r="F87" s="20"/>
      <c r="G87" s="21"/>
      <c r="H87" s="49"/>
    </row>
    <row r="88" spans="1:8" s="4" customFormat="1" ht="13.5" thickBot="1">
      <c r="A88" s="39"/>
      <c r="B88" s="40"/>
      <c r="C88" s="35"/>
      <c r="D88" s="36"/>
      <c r="E88" s="58">
        <f>SUM(E72:E87)</f>
        <v>1207</v>
      </c>
      <c r="F88" s="36"/>
      <c r="G88" s="36"/>
      <c r="H88" s="38"/>
    </row>
    <row r="89" spans="1:8" s="4" customFormat="1" ht="13.5" thickBot="1">
      <c r="A89" s="7" t="s">
        <v>55</v>
      </c>
      <c r="B89" s="8">
        <f>B71+1</f>
        <v>45913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3D3-406F-4C19-84B7-42C29595B345}">
  <dimension ref="A3:P97"/>
  <sheetViews>
    <sheetView topLeftCell="A54" workbookViewId="0">
      <selection activeCell="J71" sqref="J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45915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75</v>
      </c>
      <c r="D6" s="15" t="s">
        <v>62</v>
      </c>
      <c r="E6" s="15">
        <v>192</v>
      </c>
      <c r="F6" s="15" t="s">
        <v>77</v>
      </c>
      <c r="G6" s="16">
        <v>45916</v>
      </c>
      <c r="H6" s="17">
        <v>40099734</v>
      </c>
    </row>
    <row r="7" spans="1:13" ht="15.75" customHeight="1">
      <c r="A7" s="12"/>
      <c r="B7" s="18"/>
      <c r="C7" s="19" t="s">
        <v>75</v>
      </c>
      <c r="D7" s="20" t="s">
        <v>63</v>
      </c>
      <c r="E7" s="20">
        <v>192</v>
      </c>
      <c r="F7" s="123" t="s">
        <v>77</v>
      </c>
      <c r="G7" s="124">
        <v>45916</v>
      </c>
      <c r="H7" s="126">
        <v>40099734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71</v>
      </c>
      <c r="E8" s="20">
        <v>48</v>
      </c>
      <c r="F8" s="123" t="s">
        <v>77</v>
      </c>
      <c r="G8" s="124">
        <v>45916</v>
      </c>
      <c r="H8" s="126">
        <v>40099734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84</v>
      </c>
      <c r="E9" s="20">
        <v>48</v>
      </c>
      <c r="F9" s="123" t="s">
        <v>77</v>
      </c>
      <c r="G9" s="124">
        <v>45916</v>
      </c>
      <c r="H9" s="126">
        <v>40099734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87</v>
      </c>
      <c r="E10" s="20">
        <v>9</v>
      </c>
      <c r="F10" s="123" t="s">
        <v>77</v>
      </c>
      <c r="G10" s="124">
        <v>45916</v>
      </c>
      <c r="H10" s="126">
        <v>40099734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78</v>
      </c>
      <c r="E12" s="20">
        <v>96</v>
      </c>
      <c r="F12" s="20" t="s">
        <v>77</v>
      </c>
      <c r="G12" s="124">
        <v>45916</v>
      </c>
      <c r="H12" s="49">
        <v>40099734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78</v>
      </c>
      <c r="E13" s="20">
        <v>96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20" t="s">
        <v>78</v>
      </c>
      <c r="E14" s="20">
        <v>105</v>
      </c>
      <c r="F14" s="20" t="s">
        <v>77</v>
      </c>
      <c r="G14" s="124">
        <v>45916</v>
      </c>
      <c r="H14" s="49">
        <v>40099734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242</v>
      </c>
      <c r="D15" s="20" t="s">
        <v>78</v>
      </c>
      <c r="E15" s="20">
        <v>105</v>
      </c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242</v>
      </c>
      <c r="D16" s="20" t="s">
        <v>63</v>
      </c>
      <c r="E16" s="20">
        <v>105</v>
      </c>
      <c r="F16" s="123" t="s">
        <v>77</v>
      </c>
      <c r="G16" s="124">
        <v>45916</v>
      </c>
      <c r="H16" s="126">
        <v>40099734</v>
      </c>
      <c r="J16" s="25" t="s">
        <v>22</v>
      </c>
      <c r="K16" s="26" t="s">
        <v>14</v>
      </c>
      <c r="L16" s="29"/>
      <c r="M16" s="31"/>
    </row>
    <row r="17" spans="1:13">
      <c r="C17" s="19" t="s">
        <v>242</v>
      </c>
      <c r="D17" s="20" t="s">
        <v>63</v>
      </c>
      <c r="E17" s="20">
        <v>105</v>
      </c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 t="s">
        <v>242</v>
      </c>
      <c r="D18" s="20" t="s">
        <v>74</v>
      </c>
      <c r="E18" s="20">
        <v>105</v>
      </c>
      <c r="F18" s="123" t="s">
        <v>77</v>
      </c>
      <c r="G18" s="124">
        <v>45916</v>
      </c>
      <c r="H18" s="126">
        <v>40099734</v>
      </c>
      <c r="J18" s="25" t="s">
        <v>24</v>
      </c>
      <c r="K18" s="26" t="s">
        <v>14</v>
      </c>
      <c r="L18" s="29"/>
      <c r="M18" s="26"/>
    </row>
    <row r="19" spans="1:13">
      <c r="C19" s="122" t="s">
        <v>242</v>
      </c>
      <c r="D19" s="123" t="s">
        <v>74</v>
      </c>
      <c r="E19" s="123">
        <v>105</v>
      </c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05" t="s">
        <v>94</v>
      </c>
      <c r="D20" s="106" t="s">
        <v>89</v>
      </c>
      <c r="E20" s="106">
        <v>162</v>
      </c>
      <c r="F20" s="106" t="s">
        <v>88</v>
      </c>
      <c r="G20" s="107">
        <v>45923</v>
      </c>
      <c r="H20" s="108">
        <v>247335</v>
      </c>
      <c r="J20" s="34" t="s">
        <v>26</v>
      </c>
      <c r="K20" s="26"/>
      <c r="L20" s="26" t="s">
        <v>14</v>
      </c>
      <c r="M20" s="26"/>
    </row>
    <row r="21" spans="1:13">
      <c r="C21" s="105" t="s">
        <v>94</v>
      </c>
      <c r="D21" s="106" t="s">
        <v>89</v>
      </c>
      <c r="E21" s="106">
        <v>162</v>
      </c>
      <c r="F21" s="106"/>
      <c r="G21" s="107"/>
      <c r="H21" s="108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45916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19" t="s">
        <v>86</v>
      </c>
      <c r="E54" s="20">
        <v>180</v>
      </c>
      <c r="F54" s="123" t="s">
        <v>267</v>
      </c>
      <c r="G54" s="124">
        <v>45922</v>
      </c>
      <c r="H54" s="126">
        <v>72872</v>
      </c>
      <c r="J54" s="3"/>
      <c r="K54" s="3"/>
      <c r="L54" s="3"/>
    </row>
    <row r="55" spans="1:15">
      <c r="A55" s="47"/>
      <c r="B55" s="48"/>
      <c r="C55" s="19" t="s">
        <v>57</v>
      </c>
      <c r="D55" s="20" t="s">
        <v>58</v>
      </c>
      <c r="E55" s="20">
        <v>144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19" t="s">
        <v>164</v>
      </c>
      <c r="E57" s="20">
        <v>384</v>
      </c>
      <c r="F57" s="123" t="s">
        <v>59</v>
      </c>
      <c r="G57" s="124">
        <v>45922</v>
      </c>
      <c r="H57" s="126">
        <v>325463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79</v>
      </c>
      <c r="E58" s="20">
        <v>480</v>
      </c>
      <c r="F58" s="20" t="s">
        <v>59</v>
      </c>
      <c r="G58" s="21">
        <v>45922</v>
      </c>
      <c r="H58" s="49">
        <v>325463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76</v>
      </c>
      <c r="E60" s="20">
        <v>85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76</v>
      </c>
      <c r="E62" s="20">
        <v>48</v>
      </c>
      <c r="F62" s="123" t="s">
        <v>281</v>
      </c>
      <c r="G62" s="124">
        <v>45919</v>
      </c>
      <c r="H62" s="126">
        <v>626647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45919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 t="s">
        <v>48</v>
      </c>
      <c r="D69" s="15" t="s">
        <v>72</v>
      </c>
      <c r="E69" s="15">
        <v>48</v>
      </c>
      <c r="F69" s="15" t="s">
        <v>281</v>
      </c>
      <c r="G69" s="16">
        <v>45919</v>
      </c>
      <c r="H69" s="17">
        <v>626647</v>
      </c>
    </row>
    <row r="70" spans="1:8" s="4" customFormat="1" ht="12.75">
      <c r="A70" s="44"/>
      <c r="B70" s="45"/>
      <c r="C70" s="89" t="s">
        <v>48</v>
      </c>
      <c r="D70" s="90" t="s">
        <v>83</v>
      </c>
      <c r="E70" s="90">
        <v>48</v>
      </c>
      <c r="F70" s="135" t="s">
        <v>281</v>
      </c>
      <c r="G70" s="136">
        <v>45919</v>
      </c>
      <c r="H70" s="137">
        <v>626647</v>
      </c>
    </row>
    <row r="71" spans="1:8" s="4" customFormat="1" ht="12.75">
      <c r="A71" s="47"/>
      <c r="B71" s="48"/>
      <c r="C71" s="89" t="s">
        <v>94</v>
      </c>
      <c r="D71" s="90" t="s">
        <v>102</v>
      </c>
      <c r="E71" s="90">
        <v>216</v>
      </c>
      <c r="F71" s="135" t="s">
        <v>165</v>
      </c>
      <c r="G71" s="136">
        <v>45915</v>
      </c>
      <c r="H71" s="137">
        <v>113067</v>
      </c>
    </row>
    <row r="72" spans="1:8" s="4" customFormat="1" ht="12.75">
      <c r="A72" s="47"/>
      <c r="B72" s="48"/>
      <c r="C72" s="89" t="s">
        <v>75</v>
      </c>
      <c r="D72" s="90" t="s">
        <v>80</v>
      </c>
      <c r="E72" s="90">
        <v>192</v>
      </c>
      <c r="F72" s="135" t="s">
        <v>77</v>
      </c>
      <c r="G72" s="136">
        <v>45915</v>
      </c>
      <c r="H72" s="137">
        <v>40099734</v>
      </c>
    </row>
    <row r="73" spans="1:8" s="4" customFormat="1" ht="12.75">
      <c r="A73" s="47"/>
      <c r="B73" s="48"/>
      <c r="C73" s="89" t="s">
        <v>75</v>
      </c>
      <c r="D73" s="90" t="s">
        <v>80</v>
      </c>
      <c r="E73" s="90">
        <v>192</v>
      </c>
      <c r="F73" s="135"/>
      <c r="G73" s="136"/>
      <c r="H73" s="137"/>
    </row>
    <row r="74" spans="1:8" s="4" customFormat="1" ht="12.75">
      <c r="A74" s="47"/>
      <c r="B74" s="48"/>
      <c r="C74" s="89" t="s">
        <v>66</v>
      </c>
      <c r="D74" s="99" t="s">
        <v>80</v>
      </c>
      <c r="E74" s="90">
        <v>120</v>
      </c>
      <c r="F74" s="90" t="s">
        <v>88</v>
      </c>
      <c r="G74" s="91">
        <v>45910</v>
      </c>
      <c r="H74" s="93">
        <v>247202</v>
      </c>
    </row>
    <row r="75" spans="1:8" s="4" customFormat="1" ht="12.75">
      <c r="A75" s="47"/>
      <c r="B75" s="48"/>
      <c r="C75" s="89" t="s">
        <v>66</v>
      </c>
      <c r="D75" s="99" t="s">
        <v>80</v>
      </c>
      <c r="E75" s="90">
        <v>120</v>
      </c>
      <c r="F75" s="90" t="s">
        <v>88</v>
      </c>
      <c r="G75" s="91">
        <v>45931</v>
      </c>
      <c r="H75" s="93">
        <v>247436</v>
      </c>
    </row>
    <row r="76" spans="1:8" s="4" customFormat="1" ht="12.75">
      <c r="A76" s="56"/>
      <c r="B76" s="57"/>
      <c r="C76" s="89" t="s">
        <v>94</v>
      </c>
      <c r="D76" s="90" t="s">
        <v>80</v>
      </c>
      <c r="E76" s="90">
        <v>108</v>
      </c>
      <c r="F76" s="90" t="s">
        <v>257</v>
      </c>
      <c r="G76" s="91"/>
      <c r="H76" s="93"/>
    </row>
    <row r="77" spans="1:8" s="4" customFormat="1" ht="12.75">
      <c r="A77" s="56"/>
      <c r="B77" s="57"/>
      <c r="C77" s="89" t="s">
        <v>94</v>
      </c>
      <c r="D77" s="90" t="s">
        <v>80</v>
      </c>
      <c r="E77" s="90">
        <v>324</v>
      </c>
      <c r="F77" s="90" t="s">
        <v>260</v>
      </c>
      <c r="G77" s="91"/>
      <c r="H77" s="93"/>
    </row>
    <row r="78" spans="1:8" s="4" customFormat="1" ht="12.75">
      <c r="A78" s="56"/>
      <c r="B78" s="57"/>
      <c r="C78" s="89" t="s">
        <v>94</v>
      </c>
      <c r="D78" s="90" t="s">
        <v>80</v>
      </c>
      <c r="E78" s="90">
        <v>108</v>
      </c>
      <c r="F78" s="90" t="s">
        <v>165</v>
      </c>
      <c r="G78" s="91">
        <v>45923</v>
      </c>
      <c r="H78" s="93">
        <v>113184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1476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45920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64C-8977-463F-A18D-12AD653BA58B}">
  <dimension ref="A3:P98"/>
  <sheetViews>
    <sheetView topLeftCell="A4" workbookViewId="0">
      <selection activeCell="E17" sqref="E17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94</v>
      </c>
      <c r="D7" s="65" t="s">
        <v>107</v>
      </c>
      <c r="E7" s="20">
        <v>108</v>
      </c>
      <c r="F7" s="20" t="s">
        <v>88</v>
      </c>
      <c r="G7" s="21">
        <v>45923</v>
      </c>
      <c r="H7" s="49">
        <v>247335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165</v>
      </c>
      <c r="G8" s="21">
        <v>45923</v>
      </c>
      <c r="H8" s="49">
        <v>113184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94</v>
      </c>
      <c r="D10" s="90" t="s">
        <v>101</v>
      </c>
      <c r="E10" s="90">
        <v>108</v>
      </c>
      <c r="F10" s="90" t="s">
        <v>88</v>
      </c>
      <c r="G10" s="91">
        <v>45923</v>
      </c>
      <c r="H10" s="93">
        <v>247335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264</v>
      </c>
      <c r="D13" s="99" t="s">
        <v>221</v>
      </c>
      <c r="E13" s="90">
        <v>15</v>
      </c>
      <c r="F13" s="90" t="s">
        <v>88</v>
      </c>
      <c r="G13" s="91">
        <v>45923</v>
      </c>
      <c r="H13" s="93">
        <v>247335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264</v>
      </c>
      <c r="D14" s="99" t="s">
        <v>221</v>
      </c>
      <c r="E14" s="90">
        <v>210</v>
      </c>
      <c r="F14" s="90" t="s">
        <v>165</v>
      </c>
      <c r="G14" s="91">
        <v>45923</v>
      </c>
      <c r="H14" s="93">
        <v>113184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264</v>
      </c>
      <c r="D15" s="99" t="s">
        <v>221</v>
      </c>
      <c r="E15" s="90">
        <v>105</v>
      </c>
      <c r="F15" s="90"/>
      <c r="G15" s="91"/>
      <c r="H15" s="93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264</v>
      </c>
      <c r="D16" s="90" t="s">
        <v>204</v>
      </c>
      <c r="E16" s="90">
        <v>210</v>
      </c>
      <c r="F16" s="90" t="s">
        <v>165</v>
      </c>
      <c r="G16" s="91">
        <v>45923</v>
      </c>
      <c r="H16" s="93">
        <v>113184</v>
      </c>
      <c r="J16" s="25" t="s">
        <v>22</v>
      </c>
      <c r="K16" s="26" t="s">
        <v>14</v>
      </c>
      <c r="L16" s="29"/>
      <c r="M16" s="31"/>
    </row>
    <row r="17" spans="1:13">
      <c r="C17" s="89" t="s">
        <v>264</v>
      </c>
      <c r="D17" s="90" t="s">
        <v>216</v>
      </c>
      <c r="E17" s="90">
        <v>105</v>
      </c>
      <c r="F17" s="90" t="s">
        <v>88</v>
      </c>
      <c r="G17" s="91">
        <v>45923</v>
      </c>
      <c r="H17" s="93">
        <v>247335</v>
      </c>
      <c r="J17" s="25" t="s">
        <v>23</v>
      </c>
      <c r="K17" s="26" t="s">
        <v>14</v>
      </c>
      <c r="L17" s="29"/>
      <c r="M17" s="26"/>
    </row>
    <row r="18" spans="1:13">
      <c r="C18" s="89" t="s">
        <v>264</v>
      </c>
      <c r="D18" s="90" t="s">
        <v>216</v>
      </c>
      <c r="E18" s="90">
        <v>210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89" t="s">
        <v>264</v>
      </c>
      <c r="D19" s="90" t="s">
        <v>217</v>
      </c>
      <c r="E19" s="90">
        <v>105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45923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45924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45925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64</v>
      </c>
      <c r="E54" s="123">
        <v>420</v>
      </c>
      <c r="F54" s="20" t="s">
        <v>88</v>
      </c>
      <c r="G54" s="21">
        <v>45931</v>
      </c>
      <c r="H54" s="49">
        <v>247436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72</v>
      </c>
      <c r="E57" s="20">
        <v>288</v>
      </c>
      <c r="F57" s="123" t="s">
        <v>70</v>
      </c>
      <c r="G57" s="124">
        <v>45929</v>
      </c>
      <c r="H57" s="126">
        <v>13099027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240</v>
      </c>
      <c r="F58" s="123" t="s">
        <v>70</v>
      </c>
      <c r="G58" s="124">
        <v>45929</v>
      </c>
      <c r="H58" s="126">
        <v>13115841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65</v>
      </c>
      <c r="E59" s="90">
        <v>240</v>
      </c>
      <c r="F59" s="135" t="s">
        <v>70</v>
      </c>
      <c r="G59" s="136">
        <v>45929</v>
      </c>
      <c r="H59" s="137">
        <v>13099027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0" t="s">
        <v>65</v>
      </c>
      <c r="E60" s="90">
        <v>144</v>
      </c>
      <c r="F60" s="135" t="s">
        <v>70</v>
      </c>
      <c r="G60" s="136">
        <v>45929</v>
      </c>
      <c r="H60" s="137">
        <v>13115841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98</v>
      </c>
      <c r="D61" s="90" t="s">
        <v>65</v>
      </c>
      <c r="E61" s="90">
        <v>96</v>
      </c>
      <c r="F61" s="135" t="s">
        <v>99</v>
      </c>
      <c r="G61" s="136">
        <v>45945</v>
      </c>
      <c r="H61" s="137">
        <v>294533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96</v>
      </c>
      <c r="F62" s="135" t="s">
        <v>70</v>
      </c>
      <c r="G62" s="136">
        <v>45929</v>
      </c>
      <c r="H62" s="137">
        <v>13115841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0" t="s">
        <v>83</v>
      </c>
      <c r="E63" s="90">
        <v>48</v>
      </c>
      <c r="F63" s="90" t="s">
        <v>99</v>
      </c>
      <c r="G63" s="91">
        <v>45945</v>
      </c>
      <c r="H63" s="93">
        <v>294533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45926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96</v>
      </c>
      <c r="F70" s="123" t="s">
        <v>70</v>
      </c>
      <c r="G70" s="124">
        <v>45929</v>
      </c>
      <c r="H70" s="126">
        <v>13099027</v>
      </c>
    </row>
    <row r="71" spans="1:8" s="4" customFormat="1" ht="12.75">
      <c r="A71" s="47"/>
      <c r="B71" s="48"/>
      <c r="C71" s="122" t="s">
        <v>48</v>
      </c>
      <c r="D71" s="123" t="s">
        <v>61</v>
      </c>
      <c r="E71" s="123">
        <v>336</v>
      </c>
      <c r="F71" s="123" t="s">
        <v>70</v>
      </c>
      <c r="G71" s="124">
        <v>45929</v>
      </c>
      <c r="H71" s="126">
        <v>13115841</v>
      </c>
    </row>
    <row r="72" spans="1:8" s="4" customFormat="1" ht="12.75">
      <c r="A72" s="47"/>
      <c r="B72" s="48"/>
      <c r="C72" s="19" t="s">
        <v>98</v>
      </c>
      <c r="D72" s="20" t="s">
        <v>61</v>
      </c>
      <c r="E72" s="20">
        <v>192</v>
      </c>
      <c r="F72" s="123" t="s">
        <v>99</v>
      </c>
      <c r="G72" s="124">
        <v>45945</v>
      </c>
      <c r="H72" s="126">
        <v>294533</v>
      </c>
    </row>
    <row r="73" spans="1:8" s="4" customFormat="1" ht="12.75">
      <c r="A73" s="47"/>
      <c r="B73" s="48"/>
      <c r="C73" s="19" t="s">
        <v>266</v>
      </c>
      <c r="D73" s="65" t="s">
        <v>175</v>
      </c>
      <c r="E73" s="20">
        <v>48</v>
      </c>
      <c r="F73" s="20" t="s">
        <v>149</v>
      </c>
      <c r="G73" s="21">
        <v>45931</v>
      </c>
      <c r="H73" s="49">
        <v>712749</v>
      </c>
    </row>
    <row r="74" spans="1:8" s="4" customFormat="1" ht="12.75">
      <c r="A74" s="47"/>
      <c r="B74" s="48"/>
      <c r="C74" s="19" t="s">
        <v>48</v>
      </c>
      <c r="D74" s="20" t="s">
        <v>71</v>
      </c>
      <c r="E74" s="20">
        <v>288</v>
      </c>
      <c r="F74" s="123" t="s">
        <v>70</v>
      </c>
      <c r="G74" s="124">
        <v>45929</v>
      </c>
      <c r="H74" s="126">
        <v>13099027</v>
      </c>
    </row>
    <row r="75" spans="1:8" s="4" customFormat="1" ht="12.75">
      <c r="A75" s="47"/>
      <c r="B75" s="48"/>
      <c r="C75" s="19" t="s">
        <v>48</v>
      </c>
      <c r="D75" s="20" t="s">
        <v>71</v>
      </c>
      <c r="E75" s="20">
        <v>96</v>
      </c>
      <c r="F75" s="123" t="s">
        <v>70</v>
      </c>
      <c r="G75" s="124">
        <v>45929</v>
      </c>
      <c r="H75" s="126">
        <v>13115841</v>
      </c>
    </row>
    <row r="76" spans="1:8" s="4" customFormat="1" ht="12.75">
      <c r="A76" s="56"/>
      <c r="B76" s="57"/>
      <c r="C76" s="19" t="s">
        <v>48</v>
      </c>
      <c r="D76" s="20" t="s">
        <v>76</v>
      </c>
      <c r="E76" s="20">
        <v>240</v>
      </c>
      <c r="F76" s="123" t="s">
        <v>70</v>
      </c>
      <c r="G76" s="124">
        <v>45929</v>
      </c>
      <c r="H76" s="126">
        <v>13115841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144</v>
      </c>
      <c r="F77" s="123" t="s">
        <v>70</v>
      </c>
      <c r="G77" s="124">
        <v>45929</v>
      </c>
      <c r="H77" s="126">
        <v>13099027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216</v>
      </c>
      <c r="F79" s="106"/>
      <c r="G79" s="107"/>
      <c r="H79" s="108"/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1656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45927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286C-AF5D-4767-8E58-6B96BEAD2BA0}">
  <sheetPr>
    <pageSetUpPr fitToPage="1"/>
  </sheetPr>
  <dimension ref="A3:P97"/>
  <sheetViews>
    <sheetView workbookViewId="0">
      <selection activeCell="D77" sqref="D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68</v>
      </c>
      <c r="E7" s="123">
        <v>120</v>
      </c>
      <c r="F7" s="20" t="s">
        <v>88</v>
      </c>
      <c r="G7" s="21">
        <v>45931</v>
      </c>
      <c r="H7" s="49">
        <v>247436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/>
      <c r="D8" s="123"/>
      <c r="E8" s="123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66</v>
      </c>
      <c r="D9" s="123" t="s">
        <v>67</v>
      </c>
      <c r="E9" s="123">
        <v>300</v>
      </c>
      <c r="F9" s="20" t="s">
        <v>88</v>
      </c>
      <c r="G9" s="21">
        <v>45931</v>
      </c>
      <c r="H9" s="49">
        <v>247436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22" t="s">
        <v>66</v>
      </c>
      <c r="D10" s="123" t="s">
        <v>63</v>
      </c>
      <c r="E10" s="123">
        <v>300</v>
      </c>
      <c r="F10" s="20" t="s">
        <v>88</v>
      </c>
      <c r="G10" s="21">
        <v>45931</v>
      </c>
      <c r="H10" s="49">
        <v>247436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265</v>
      </c>
      <c r="D12" s="65" t="s">
        <v>63</v>
      </c>
      <c r="E12" s="20">
        <v>120</v>
      </c>
      <c r="F12" s="20" t="s">
        <v>149</v>
      </c>
      <c r="G12" s="21">
        <v>45931</v>
      </c>
      <c r="H12" s="49">
        <v>712749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265</v>
      </c>
      <c r="D13" s="65" t="s">
        <v>67</v>
      </c>
      <c r="E13" s="20">
        <v>120</v>
      </c>
      <c r="F13" s="20" t="s">
        <v>149</v>
      </c>
      <c r="G13" s="21">
        <v>45931</v>
      </c>
      <c r="H13" s="49">
        <v>712749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265</v>
      </c>
      <c r="D14" s="65" t="s">
        <v>68</v>
      </c>
      <c r="E14" s="20">
        <v>120</v>
      </c>
      <c r="F14" s="20" t="s">
        <v>149</v>
      </c>
      <c r="G14" s="21">
        <v>45931</v>
      </c>
      <c r="H14" s="49">
        <v>712749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266</v>
      </c>
      <c r="D16" s="65" t="s">
        <v>62</v>
      </c>
      <c r="E16" s="20">
        <v>48</v>
      </c>
      <c r="F16" s="20" t="s">
        <v>149</v>
      </c>
      <c r="G16" s="21">
        <v>45931</v>
      </c>
      <c r="H16" s="49">
        <v>712749</v>
      </c>
      <c r="J16" s="25" t="s">
        <v>22</v>
      </c>
      <c r="K16" s="26" t="s">
        <v>14</v>
      </c>
      <c r="L16" s="29"/>
      <c r="M16" s="31"/>
    </row>
    <row r="17" spans="1:13">
      <c r="C17" s="19" t="s">
        <v>266</v>
      </c>
      <c r="D17" s="65" t="s">
        <v>63</v>
      </c>
      <c r="E17" s="20">
        <v>48</v>
      </c>
      <c r="F17" s="20" t="s">
        <v>149</v>
      </c>
      <c r="G17" s="21">
        <v>45931</v>
      </c>
      <c r="H17" s="49">
        <v>712749</v>
      </c>
      <c r="J17" s="25" t="s">
        <v>23</v>
      </c>
      <c r="K17" s="26" t="s">
        <v>14</v>
      </c>
      <c r="L17" s="29"/>
      <c r="M17" s="26"/>
    </row>
    <row r="18" spans="1:13">
      <c r="C18" s="19" t="s">
        <v>266</v>
      </c>
      <c r="D18" s="65" t="s">
        <v>197</v>
      </c>
      <c r="E18" s="20">
        <v>48</v>
      </c>
      <c r="F18" s="20" t="s">
        <v>149</v>
      </c>
      <c r="G18" s="21">
        <v>45931</v>
      </c>
      <c r="H18" s="49">
        <v>712749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 t="s">
        <v>3</v>
      </c>
      <c r="D20" s="20" t="s">
        <v>86</v>
      </c>
      <c r="E20" s="20">
        <v>240</v>
      </c>
      <c r="F20" s="20" t="s">
        <v>148</v>
      </c>
      <c r="G20" s="21">
        <v>45943</v>
      </c>
      <c r="H20" s="49">
        <v>73232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150</v>
      </c>
      <c r="F54" s="20" t="s">
        <v>148</v>
      </c>
      <c r="G54" s="21">
        <v>45943</v>
      </c>
      <c r="H54" s="49">
        <v>73232</v>
      </c>
      <c r="J54" s="3"/>
      <c r="K54" s="3"/>
      <c r="L54" s="3"/>
    </row>
    <row r="55" spans="1:15">
      <c r="A55" s="47"/>
      <c r="B55" s="48"/>
      <c r="C55" s="19" t="s">
        <v>3</v>
      </c>
      <c r="D55" s="20" t="s">
        <v>86</v>
      </c>
      <c r="E55" s="20">
        <v>240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22"/>
      <c r="D56" s="123"/>
      <c r="E56" s="123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22"/>
      <c r="D59" s="123"/>
      <c r="E59" s="123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68</v>
      </c>
      <c r="E60" s="20">
        <v>384</v>
      </c>
      <c r="F60" s="20" t="s">
        <v>59</v>
      </c>
      <c r="G60" s="21">
        <v>45937</v>
      </c>
      <c r="H60" s="49">
        <v>326172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133</v>
      </c>
      <c r="E61" s="20">
        <v>384</v>
      </c>
      <c r="F61" s="20" t="s">
        <v>59</v>
      </c>
      <c r="G61" s="21">
        <v>45937</v>
      </c>
      <c r="H61" s="49">
        <v>326172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79</v>
      </c>
      <c r="E62" s="20">
        <v>288</v>
      </c>
      <c r="F62" s="20" t="s">
        <v>59</v>
      </c>
      <c r="G62" s="21">
        <v>45944</v>
      </c>
      <c r="H62" s="49">
        <v>326173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45933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175</v>
      </c>
      <c r="E70" s="123">
        <v>288</v>
      </c>
      <c r="F70" s="20" t="s">
        <v>59</v>
      </c>
      <c r="G70" s="21">
        <v>45944</v>
      </c>
      <c r="H70" s="49">
        <v>326173</v>
      </c>
    </row>
    <row r="71" spans="1:8" s="4" customFormat="1" ht="12.75">
      <c r="A71" s="47"/>
      <c r="B71" s="48"/>
      <c r="C71" s="122" t="s">
        <v>75</v>
      </c>
      <c r="D71" s="123" t="s">
        <v>61</v>
      </c>
      <c r="E71" s="123">
        <v>96</v>
      </c>
      <c r="F71" s="20" t="s">
        <v>77</v>
      </c>
      <c r="G71" s="21">
        <v>45944</v>
      </c>
      <c r="H71" s="49">
        <v>40104097</v>
      </c>
    </row>
    <row r="72" spans="1:8" s="4" customFormat="1" ht="12.75">
      <c r="A72" s="47"/>
      <c r="B72" s="48"/>
      <c r="C72" s="19" t="s">
        <v>75</v>
      </c>
      <c r="D72" s="19" t="s">
        <v>76</v>
      </c>
      <c r="E72" s="20">
        <v>48</v>
      </c>
      <c r="F72" s="20" t="s">
        <v>77</v>
      </c>
      <c r="G72" s="21">
        <v>45944</v>
      </c>
      <c r="H72" s="49">
        <v>40104097</v>
      </c>
    </row>
    <row r="73" spans="1:8" s="4" customFormat="1" ht="12.75">
      <c r="A73" s="47"/>
      <c r="B73" s="48"/>
      <c r="C73" s="19" t="s">
        <v>57</v>
      </c>
      <c r="D73" s="19" t="s">
        <v>58</v>
      </c>
      <c r="E73" s="20">
        <v>1440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1872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45934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5ED6-44FC-4E3C-9ACC-F5E9EA15CB82}">
  <sheetPr>
    <pageSetUpPr fitToPage="1"/>
  </sheetPr>
  <dimension ref="A3:P101"/>
  <sheetViews>
    <sheetView topLeftCell="A66" workbookViewId="0">
      <selection activeCell="H10" sqref="H1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45936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/>
      <c r="D7" s="123"/>
      <c r="E7" s="123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72</v>
      </c>
      <c r="E9" s="20">
        <v>432</v>
      </c>
      <c r="F9" s="20" t="s">
        <v>70</v>
      </c>
      <c r="G9" s="21">
        <v>45950</v>
      </c>
      <c r="H9" s="49">
        <v>13148538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19" t="s">
        <v>58</v>
      </c>
      <c r="E10" s="20">
        <v>144</v>
      </c>
      <c r="F10" s="20" t="s">
        <v>99</v>
      </c>
      <c r="G10" s="21">
        <v>45945</v>
      </c>
      <c r="H10" s="49">
        <v>294533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45937</v>
      </c>
      <c r="H11" s="49">
        <v>326172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53</v>
      </c>
      <c r="D12" s="123" t="s">
        <v>63</v>
      </c>
      <c r="E12" s="123">
        <v>336</v>
      </c>
      <c r="F12" s="20" t="s">
        <v>59</v>
      </c>
      <c r="G12" s="21">
        <v>45944</v>
      </c>
      <c r="H12" s="49">
        <v>326173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123"/>
      <c r="E13" s="123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123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19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05" t="s">
        <v>75</v>
      </c>
      <c r="D17" s="118" t="s">
        <v>89</v>
      </c>
      <c r="E17" s="106">
        <v>48</v>
      </c>
      <c r="F17" s="106" t="s">
        <v>77</v>
      </c>
      <c r="G17" s="107">
        <v>45944</v>
      </c>
      <c r="H17" s="108">
        <v>40104097</v>
      </c>
      <c r="J17" s="25" t="s">
        <v>23</v>
      </c>
      <c r="K17" s="26" t="s">
        <v>14</v>
      </c>
      <c r="L17" s="29"/>
      <c r="M17" s="26"/>
    </row>
    <row r="18" spans="1:13">
      <c r="C18" s="105" t="s">
        <v>75</v>
      </c>
      <c r="D18" s="118" t="s">
        <v>89</v>
      </c>
      <c r="E18" s="106">
        <v>192</v>
      </c>
      <c r="F18" s="106"/>
      <c r="G18" s="107"/>
      <c r="H18" s="108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21"/>
      <c r="H54" s="49"/>
      <c r="J54" s="3"/>
      <c r="K54" s="3"/>
      <c r="L54" s="3"/>
    </row>
    <row r="55" spans="1:15">
      <c r="A55" s="12"/>
      <c r="B55" s="125"/>
      <c r="C55" s="19"/>
      <c r="D55" s="20"/>
      <c r="E55" s="20"/>
      <c r="F55" s="20"/>
      <c r="G55" s="21"/>
      <c r="H55" s="49"/>
      <c r="J55" s="3"/>
      <c r="K55" s="3"/>
      <c r="L55" s="3"/>
    </row>
    <row r="56" spans="1:15">
      <c r="A56" s="12"/>
      <c r="B56" s="125"/>
      <c r="C56" s="19" t="s">
        <v>75</v>
      </c>
      <c r="D56" s="20" t="s">
        <v>68</v>
      </c>
      <c r="E56" s="20">
        <v>192</v>
      </c>
      <c r="F56" s="20" t="s">
        <v>77</v>
      </c>
      <c r="G56" s="21">
        <v>45944</v>
      </c>
      <c r="H56" s="49">
        <v>40104097</v>
      </c>
      <c r="J56" s="3"/>
      <c r="K56" s="3"/>
      <c r="L56" s="3"/>
    </row>
    <row r="57" spans="1:15">
      <c r="A57" s="47"/>
      <c r="B57" s="48"/>
      <c r="C57" s="19"/>
      <c r="D57" s="65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240</v>
      </c>
      <c r="F59" s="20" t="s">
        <v>70</v>
      </c>
      <c r="G59" s="21">
        <v>45950</v>
      </c>
      <c r="H59" s="49">
        <v>13148499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107</v>
      </c>
      <c r="E60" s="20">
        <v>48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48</v>
      </c>
      <c r="F61" s="90" t="s">
        <v>77</v>
      </c>
      <c r="G61" s="91">
        <v>45944</v>
      </c>
      <c r="H61" s="93">
        <v>40104097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288</v>
      </c>
      <c r="F62" s="135" t="s">
        <v>70</v>
      </c>
      <c r="G62" s="136">
        <v>45943</v>
      </c>
      <c r="H62" s="137">
        <v>13131888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89"/>
      <c r="D63" s="99"/>
      <c r="E63" s="90">
        <v>48</v>
      </c>
      <c r="F63" s="135"/>
      <c r="G63" s="136"/>
      <c r="H63" s="137"/>
      <c r="M63" s="3"/>
      <c r="N63" s="81"/>
      <c r="O63" s="3"/>
    </row>
    <row r="64" spans="1:15" s="4" customFormat="1" ht="12.75">
      <c r="A64" s="47"/>
      <c r="B64" s="48"/>
      <c r="C64" s="89" t="s">
        <v>48</v>
      </c>
      <c r="D64" s="99" t="s">
        <v>65</v>
      </c>
      <c r="E64" s="90">
        <v>192</v>
      </c>
      <c r="F64" s="135" t="s">
        <v>70</v>
      </c>
      <c r="G64" s="136">
        <v>45943</v>
      </c>
      <c r="H64" s="137">
        <v>13131888</v>
      </c>
      <c r="M64" s="3"/>
      <c r="N64" s="81"/>
      <c r="O64" s="3"/>
    </row>
    <row r="65" spans="1:8" s="4" customFormat="1" ht="12.75">
      <c r="A65" s="47"/>
      <c r="B65" s="48"/>
      <c r="C65" s="89" t="s">
        <v>48</v>
      </c>
      <c r="D65" s="99" t="s">
        <v>65</v>
      </c>
      <c r="E65" s="90">
        <v>384</v>
      </c>
      <c r="F65" s="135" t="s">
        <v>70</v>
      </c>
      <c r="G65" s="136">
        <v>45950</v>
      </c>
      <c r="H65" s="137">
        <v>13148499</v>
      </c>
    </row>
    <row r="66" spans="1:8" s="4" customFormat="1" ht="12.75">
      <c r="A66" s="47"/>
      <c r="B66" s="48"/>
      <c r="C66" s="89" t="s">
        <v>75</v>
      </c>
      <c r="D66" s="90" t="s">
        <v>79</v>
      </c>
      <c r="E66" s="90">
        <v>48</v>
      </c>
      <c r="F66" s="90" t="s">
        <v>77</v>
      </c>
      <c r="G66" s="91">
        <v>45944</v>
      </c>
      <c r="H66" s="93">
        <v>40104097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65"/>
      <c r="E68" s="20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1488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45940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48</v>
      </c>
      <c r="D74" s="20" t="s">
        <v>62</v>
      </c>
      <c r="E74" s="20">
        <v>96</v>
      </c>
      <c r="F74" s="123" t="s">
        <v>70</v>
      </c>
      <c r="G74" s="124">
        <v>45943</v>
      </c>
      <c r="H74" s="126">
        <v>13131888</v>
      </c>
    </row>
    <row r="75" spans="1:8" s="4" customFormat="1" ht="12.75">
      <c r="A75" s="47"/>
      <c r="B75" s="48"/>
      <c r="C75" s="19" t="s">
        <v>48</v>
      </c>
      <c r="D75" s="65" t="s">
        <v>62</v>
      </c>
      <c r="E75" s="20">
        <v>96</v>
      </c>
      <c r="F75" s="20" t="s">
        <v>70</v>
      </c>
      <c r="G75" s="21">
        <v>45950</v>
      </c>
      <c r="H75" s="49">
        <v>13148538</v>
      </c>
    </row>
    <row r="76" spans="1:8" s="4" customFormat="1" ht="12.75">
      <c r="A76" s="47"/>
      <c r="B76" s="48"/>
      <c r="C76" s="19" t="s">
        <v>48</v>
      </c>
      <c r="D76" s="65" t="s">
        <v>62</v>
      </c>
      <c r="E76" s="20">
        <v>288</v>
      </c>
      <c r="F76" s="20" t="s">
        <v>70</v>
      </c>
      <c r="G76" s="21">
        <v>45950</v>
      </c>
      <c r="H76" s="49">
        <v>13148499</v>
      </c>
    </row>
    <row r="77" spans="1:8" s="4" customFormat="1" ht="12.75">
      <c r="A77" s="47"/>
      <c r="B77" s="48"/>
      <c r="C77" s="19" t="s">
        <v>75</v>
      </c>
      <c r="D77" s="20" t="s">
        <v>71</v>
      </c>
      <c r="E77" s="20">
        <v>48</v>
      </c>
      <c r="F77" s="20" t="s">
        <v>77</v>
      </c>
      <c r="G77" s="21">
        <v>45944</v>
      </c>
      <c r="H77" s="49">
        <v>40104097</v>
      </c>
    </row>
    <row r="78" spans="1:8" s="4" customFormat="1" ht="12.75">
      <c r="A78" s="47"/>
      <c r="B78" s="48"/>
      <c r="C78" s="19" t="s">
        <v>48</v>
      </c>
      <c r="D78" s="20" t="s">
        <v>71</v>
      </c>
      <c r="E78" s="20">
        <v>192</v>
      </c>
      <c r="F78" s="123" t="s">
        <v>70</v>
      </c>
      <c r="G78" s="124">
        <v>45943</v>
      </c>
      <c r="H78" s="126">
        <v>13131888</v>
      </c>
    </row>
    <row r="79" spans="1:8" s="4" customFormat="1" ht="12.75">
      <c r="A79" s="47"/>
      <c r="B79" s="48"/>
      <c r="C79" s="19" t="s">
        <v>48</v>
      </c>
      <c r="D79" s="65" t="s">
        <v>71</v>
      </c>
      <c r="E79" s="20">
        <v>240</v>
      </c>
      <c r="F79" s="20" t="s">
        <v>70</v>
      </c>
      <c r="G79" s="21">
        <v>45950</v>
      </c>
      <c r="H79" s="49">
        <v>13148499</v>
      </c>
    </row>
    <row r="80" spans="1:8" s="4" customFormat="1" ht="12.75">
      <c r="A80" s="56"/>
      <c r="B80" s="57"/>
      <c r="C80" s="122" t="s">
        <v>48</v>
      </c>
      <c r="D80" s="123" t="s">
        <v>61</v>
      </c>
      <c r="E80" s="123">
        <v>192</v>
      </c>
      <c r="F80" s="123" t="s">
        <v>70</v>
      </c>
      <c r="G80" s="124">
        <v>45943</v>
      </c>
      <c r="H80" s="126">
        <v>13131888</v>
      </c>
    </row>
    <row r="81" spans="1:8" s="4" customFormat="1" ht="12.75">
      <c r="A81" s="56"/>
      <c r="B81" s="57"/>
      <c r="C81" s="19" t="s">
        <v>48</v>
      </c>
      <c r="D81" s="65" t="s">
        <v>61</v>
      </c>
      <c r="E81" s="20">
        <v>336</v>
      </c>
      <c r="F81" s="20" t="s">
        <v>70</v>
      </c>
      <c r="G81" s="21">
        <v>45950</v>
      </c>
      <c r="H81" s="49">
        <v>13148538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1488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45941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22"/>
      <c r="D88" s="123"/>
      <c r="E88" s="123"/>
      <c r="F88" s="123"/>
      <c r="G88" s="124"/>
      <c r="H88" s="126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scale="58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4BC0-AE66-4C56-8D6C-E9EB3BD20247}">
  <sheetPr>
    <pageSetUpPr fitToPage="1"/>
  </sheetPr>
  <dimension ref="A3:P97"/>
  <sheetViews>
    <sheetView topLeftCell="A6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45943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123" t="s">
        <v>133</v>
      </c>
      <c r="E7" s="123">
        <v>384</v>
      </c>
      <c r="F7" s="123" t="s">
        <v>59</v>
      </c>
      <c r="G7" s="124">
        <v>45950</v>
      </c>
      <c r="H7" s="126">
        <v>326506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/>
      <c r="D9" s="123"/>
      <c r="E9" s="123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243</v>
      </c>
      <c r="D10" s="20" t="s">
        <v>225</v>
      </c>
      <c r="E10" s="20">
        <v>150</v>
      </c>
      <c r="F10" s="20" t="s">
        <v>243</v>
      </c>
      <c r="G10" s="21">
        <v>45947</v>
      </c>
      <c r="H10" s="49">
        <v>103.25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243</v>
      </c>
      <c r="D11" s="65" t="s">
        <v>282</v>
      </c>
      <c r="E11" s="20">
        <v>50</v>
      </c>
      <c r="F11" s="20" t="s">
        <v>243</v>
      </c>
      <c r="G11" s="21">
        <v>45947</v>
      </c>
      <c r="H11" s="49">
        <v>103.25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243</v>
      </c>
      <c r="D12" s="65" t="s">
        <v>146</v>
      </c>
      <c r="E12" s="20">
        <v>60</v>
      </c>
      <c r="F12" s="20" t="s">
        <v>243</v>
      </c>
      <c r="G12" s="21">
        <v>45947</v>
      </c>
      <c r="H12" s="49">
        <v>103.25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243</v>
      </c>
      <c r="D13" s="99" t="s">
        <v>244</v>
      </c>
      <c r="E13" s="90">
        <v>180</v>
      </c>
      <c r="F13" s="90" t="s">
        <v>243</v>
      </c>
      <c r="G13" s="91">
        <v>45947</v>
      </c>
      <c r="H13" s="93">
        <v>103.25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9" t="s">
        <v>83</v>
      </c>
      <c r="E15" s="90">
        <v>288</v>
      </c>
      <c r="F15" s="135" t="s">
        <v>70</v>
      </c>
      <c r="G15" s="136">
        <v>45950</v>
      </c>
      <c r="H15" s="137">
        <v>13148538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98</v>
      </c>
      <c r="D19" s="90" t="s">
        <v>83</v>
      </c>
      <c r="E19" s="90">
        <v>192</v>
      </c>
      <c r="F19" s="90" t="s">
        <v>99</v>
      </c>
      <c r="G19" s="91">
        <v>45959</v>
      </c>
      <c r="H19" s="93">
        <v>324697</v>
      </c>
      <c r="J19" s="33" t="s">
        <v>25</v>
      </c>
      <c r="K19" s="26"/>
      <c r="L19" s="29"/>
      <c r="M19" s="26"/>
    </row>
    <row r="20" spans="1:13">
      <c r="C20" s="89" t="s">
        <v>98</v>
      </c>
      <c r="D20" s="90" t="s">
        <v>65</v>
      </c>
      <c r="E20" s="90">
        <v>144</v>
      </c>
      <c r="F20" s="90" t="s">
        <v>99</v>
      </c>
      <c r="G20" s="91">
        <v>45959</v>
      </c>
      <c r="H20" s="93">
        <v>324697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45944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45945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45946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243</v>
      </c>
      <c r="D54" s="123" t="s">
        <v>63</v>
      </c>
      <c r="E54" s="123">
        <v>180</v>
      </c>
      <c r="F54" s="123" t="s">
        <v>243</v>
      </c>
      <c r="G54" s="124">
        <v>45947</v>
      </c>
      <c r="H54" s="126">
        <v>103.25</v>
      </c>
      <c r="J54" s="3"/>
      <c r="K54" s="3"/>
      <c r="L54" s="3"/>
    </row>
    <row r="55" spans="1:15">
      <c r="A55" s="47"/>
      <c r="B55" s="48"/>
      <c r="C55" s="19" t="s">
        <v>243</v>
      </c>
      <c r="D55" s="65" t="s">
        <v>245</v>
      </c>
      <c r="E55" s="20">
        <v>90</v>
      </c>
      <c r="F55" s="20" t="s">
        <v>243</v>
      </c>
      <c r="G55" s="21">
        <v>45947</v>
      </c>
      <c r="H55" s="49">
        <v>103.25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243</v>
      </c>
      <c r="D56" s="65" t="s">
        <v>67</v>
      </c>
      <c r="E56" s="20">
        <v>180</v>
      </c>
      <c r="F56" s="20" t="s">
        <v>243</v>
      </c>
      <c r="G56" s="21">
        <v>45947</v>
      </c>
      <c r="H56" s="49">
        <v>103.25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64</v>
      </c>
      <c r="E57" s="20">
        <v>320</v>
      </c>
      <c r="F57" s="20" t="s">
        <v>243</v>
      </c>
      <c r="G57" s="21">
        <v>45947</v>
      </c>
      <c r="H57" s="49">
        <v>103.25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22" t="s">
        <v>242</v>
      </c>
      <c r="D60" s="123" t="s">
        <v>64</v>
      </c>
      <c r="E60" s="123">
        <v>105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242</v>
      </c>
      <c r="D61" s="20" t="s">
        <v>68</v>
      </c>
      <c r="E61" s="20">
        <v>105</v>
      </c>
      <c r="F61" s="20" t="s">
        <v>77</v>
      </c>
      <c r="G61" s="21">
        <v>45944</v>
      </c>
      <c r="H61" s="49">
        <v>40104097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63</v>
      </c>
      <c r="E62" s="20">
        <v>96</v>
      </c>
      <c r="F62" s="20" t="s">
        <v>77</v>
      </c>
      <c r="G62" s="21">
        <v>45944</v>
      </c>
      <c r="H62" s="49">
        <v>40104097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45947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64</v>
      </c>
      <c r="E70" s="123">
        <v>480</v>
      </c>
      <c r="F70" s="123" t="s">
        <v>59</v>
      </c>
      <c r="G70" s="124">
        <v>45950</v>
      </c>
      <c r="H70" s="126">
        <v>326506</v>
      </c>
    </row>
    <row r="71" spans="1:8" s="4" customFormat="1" ht="12.75">
      <c r="A71" s="47"/>
      <c r="B71" s="48"/>
      <c r="C71" s="19" t="s">
        <v>53</v>
      </c>
      <c r="D71" s="123" t="s">
        <v>67</v>
      </c>
      <c r="E71" s="123">
        <v>384</v>
      </c>
      <c r="F71" s="123" t="s">
        <v>59</v>
      </c>
      <c r="G71" s="124">
        <v>45950</v>
      </c>
      <c r="H71" s="126">
        <v>326506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283</v>
      </c>
      <c r="D74" s="99" t="s">
        <v>221</v>
      </c>
      <c r="E74" s="90">
        <v>105</v>
      </c>
      <c r="F74" s="90" t="s">
        <v>88</v>
      </c>
      <c r="G74" s="91">
        <v>45951</v>
      </c>
      <c r="H74" s="93">
        <v>247683</v>
      </c>
    </row>
    <row r="75" spans="1:8" s="4" customFormat="1" ht="12.75">
      <c r="A75" s="47"/>
      <c r="B75" s="48"/>
      <c r="C75" s="89" t="s">
        <v>283</v>
      </c>
      <c r="D75" s="99" t="s">
        <v>221</v>
      </c>
      <c r="E75" s="90">
        <v>210</v>
      </c>
      <c r="F75" s="90"/>
      <c r="G75" s="91"/>
      <c r="H75" s="93"/>
    </row>
    <row r="76" spans="1:8" s="4" customFormat="1" ht="12.75">
      <c r="A76" s="56"/>
      <c r="B76" s="57"/>
      <c r="C76" s="89" t="s">
        <v>283</v>
      </c>
      <c r="D76" s="90" t="s">
        <v>204</v>
      </c>
      <c r="E76" s="90">
        <v>105</v>
      </c>
      <c r="F76" s="90" t="s">
        <v>88</v>
      </c>
      <c r="G76" s="91">
        <v>45951</v>
      </c>
      <c r="H76" s="93">
        <v>247683</v>
      </c>
    </row>
    <row r="77" spans="1:8" s="4" customFormat="1" ht="12.75">
      <c r="A77" s="56"/>
      <c r="B77" s="57"/>
      <c r="C77" s="89" t="s">
        <v>283</v>
      </c>
      <c r="D77" s="90" t="s">
        <v>204</v>
      </c>
      <c r="E77" s="90">
        <v>210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45948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EDF1-402C-4CA8-9119-A11F01603545}">
  <sheetPr>
    <pageSetUpPr fitToPage="1"/>
  </sheetPr>
  <dimension ref="A3:P97"/>
  <sheetViews>
    <sheetView topLeftCell="A45" workbookViewId="0">
      <selection activeCell="E42" sqref="E4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88</v>
      </c>
      <c r="G8" s="21">
        <v>45951</v>
      </c>
      <c r="H8" s="49">
        <v>247683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94</v>
      </c>
      <c r="D9" s="65" t="s">
        <v>107</v>
      </c>
      <c r="E9" s="20">
        <v>216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20" t="s">
        <v>61</v>
      </c>
      <c r="E10" s="20">
        <v>48</v>
      </c>
      <c r="F10" s="20" t="s">
        <v>99</v>
      </c>
      <c r="G10" s="21">
        <v>45959</v>
      </c>
      <c r="H10" s="49">
        <v>324697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58</v>
      </c>
      <c r="E11" s="20">
        <v>96</v>
      </c>
      <c r="F11" s="20" t="s">
        <v>99</v>
      </c>
      <c r="G11" s="21">
        <v>45959</v>
      </c>
      <c r="H11" s="49">
        <v>324697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54</v>
      </c>
      <c r="F12" s="90" t="s">
        <v>88</v>
      </c>
      <c r="G12" s="91">
        <v>45951</v>
      </c>
      <c r="H12" s="93">
        <v>247683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83</v>
      </c>
      <c r="E13" s="90">
        <v>216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/>
      <c r="D14" s="90"/>
      <c r="E14" s="90"/>
      <c r="F14" s="90"/>
      <c r="G14" s="91"/>
      <c r="H14" s="93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53</v>
      </c>
      <c r="D15" s="90" t="s">
        <v>65</v>
      </c>
      <c r="E15" s="90">
        <v>384</v>
      </c>
      <c r="F15" s="135" t="s">
        <v>59</v>
      </c>
      <c r="G15" s="136">
        <v>45957</v>
      </c>
      <c r="H15" s="137">
        <v>326507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89" t="s">
        <v>94</v>
      </c>
      <c r="D17" s="90" t="s">
        <v>101</v>
      </c>
      <c r="E17" s="90">
        <v>54</v>
      </c>
      <c r="F17" s="90" t="s">
        <v>88</v>
      </c>
      <c r="G17" s="91">
        <v>45951</v>
      </c>
      <c r="H17" s="93">
        <v>247683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0" t="s">
        <v>101</v>
      </c>
      <c r="E18" s="90">
        <v>162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45953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140</v>
      </c>
      <c r="D55" s="65" t="s">
        <v>61</v>
      </c>
      <c r="E55" s="20">
        <v>144</v>
      </c>
      <c r="F55" s="20" t="s">
        <v>140</v>
      </c>
      <c r="G55" s="21">
        <v>45954</v>
      </c>
      <c r="H55" s="49">
        <v>125090003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141</v>
      </c>
      <c r="E56" s="20">
        <v>144</v>
      </c>
      <c r="F56" s="20" t="s">
        <v>140</v>
      </c>
      <c r="G56" s="21">
        <v>45954</v>
      </c>
      <c r="H56" s="49">
        <v>125090003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240</v>
      </c>
      <c r="F57" s="20" t="s">
        <v>140</v>
      </c>
      <c r="G57" s="21">
        <v>45954</v>
      </c>
      <c r="H57" s="49">
        <v>125090003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64</v>
      </c>
      <c r="E58" s="20">
        <v>336</v>
      </c>
      <c r="F58" s="20" t="s">
        <v>140</v>
      </c>
      <c r="G58" s="21">
        <v>45954</v>
      </c>
      <c r="H58" s="49">
        <v>125090003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140</v>
      </c>
      <c r="D59" s="65" t="s">
        <v>68</v>
      </c>
      <c r="E59" s="20">
        <v>288</v>
      </c>
      <c r="F59" s="20" t="s">
        <v>140</v>
      </c>
      <c r="G59" s="21">
        <v>45954</v>
      </c>
      <c r="H59" s="49">
        <v>125090003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140</v>
      </c>
      <c r="D60" s="65" t="s">
        <v>68</v>
      </c>
      <c r="E60" s="20">
        <v>96</v>
      </c>
      <c r="F60" s="20" t="s">
        <v>140</v>
      </c>
      <c r="G60" s="124">
        <v>45960</v>
      </c>
      <c r="H60" s="126">
        <v>125100324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140</v>
      </c>
      <c r="D62" s="65" t="s">
        <v>141</v>
      </c>
      <c r="E62" s="20">
        <v>96</v>
      </c>
      <c r="F62" s="20" t="s">
        <v>140</v>
      </c>
      <c r="G62" s="124">
        <v>45960</v>
      </c>
      <c r="H62" s="126">
        <v>125100324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45954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63</v>
      </c>
      <c r="E70" s="123">
        <v>480</v>
      </c>
      <c r="F70" s="123" t="s">
        <v>59</v>
      </c>
      <c r="G70" s="124">
        <v>45957</v>
      </c>
      <c r="H70" s="126">
        <v>326507</v>
      </c>
    </row>
    <row r="71" spans="1:8" s="4" customFormat="1" ht="12.75">
      <c r="A71" s="47"/>
      <c r="B71" s="48"/>
      <c r="C71" s="19" t="s">
        <v>53</v>
      </c>
      <c r="D71" s="20" t="s">
        <v>164</v>
      </c>
      <c r="E71" s="20">
        <v>384</v>
      </c>
      <c r="F71" s="123" t="s">
        <v>59</v>
      </c>
      <c r="G71" s="124">
        <v>45957</v>
      </c>
      <c r="H71" s="126">
        <v>326507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65"/>
      <c r="E73" s="20"/>
      <c r="F73" s="20"/>
      <c r="G73" s="21"/>
      <c r="H73" s="49"/>
    </row>
    <row r="74" spans="1:8" s="4" customFormat="1" ht="12.75">
      <c r="A74" s="47"/>
      <c r="B74" s="48"/>
      <c r="C74" s="19" t="s">
        <v>53</v>
      </c>
      <c r="D74" s="65" t="s">
        <v>133</v>
      </c>
      <c r="E74" s="20">
        <v>384</v>
      </c>
      <c r="F74" s="20" t="s">
        <v>59</v>
      </c>
      <c r="G74" s="21">
        <v>45958</v>
      </c>
      <c r="H74" s="49">
        <v>326830</v>
      </c>
    </row>
    <row r="75" spans="1:8" s="4" customFormat="1" ht="12.75">
      <c r="A75" s="47"/>
      <c r="B75" s="48"/>
      <c r="C75" s="19" t="s">
        <v>53</v>
      </c>
      <c r="D75" s="65" t="s">
        <v>79</v>
      </c>
      <c r="E75" s="20">
        <v>384</v>
      </c>
      <c r="F75" s="20" t="s">
        <v>59</v>
      </c>
      <c r="G75" s="21">
        <v>45958</v>
      </c>
      <c r="H75" s="49">
        <v>326830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45955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A3C-2CA5-4943-A10A-6E24D833D820}">
  <dimension ref="A3:P102"/>
  <sheetViews>
    <sheetView topLeftCell="A45" workbookViewId="0">
      <selection activeCell="H66" sqref="H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64</v>
      </c>
      <c r="E7" s="20">
        <v>480</v>
      </c>
      <c r="F7" s="20" t="s">
        <v>59</v>
      </c>
      <c r="G7" s="21">
        <v>45958</v>
      </c>
      <c r="H7" s="49">
        <v>326830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140</v>
      </c>
      <c r="D11" s="65" t="s">
        <v>61</v>
      </c>
      <c r="E11" s="123">
        <v>96</v>
      </c>
      <c r="F11" s="20" t="s">
        <v>140</v>
      </c>
      <c r="G11" s="124">
        <v>45960</v>
      </c>
      <c r="H11" s="126">
        <v>125100324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140</v>
      </c>
      <c r="D12" s="65" t="s">
        <v>64</v>
      </c>
      <c r="E12" s="20">
        <v>288</v>
      </c>
      <c r="F12" s="20" t="s">
        <v>140</v>
      </c>
      <c r="G12" s="124">
        <v>45960</v>
      </c>
      <c r="H12" s="126">
        <v>125100324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140</v>
      </c>
      <c r="D13" s="65" t="s">
        <v>63</v>
      </c>
      <c r="E13" s="20">
        <v>192</v>
      </c>
      <c r="F13" s="20" t="s">
        <v>140</v>
      </c>
      <c r="G13" s="124">
        <v>45960</v>
      </c>
      <c r="H13" s="126">
        <v>125100324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/>
      <c r="D16" s="123"/>
      <c r="E16" s="123"/>
      <c r="F16" s="124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45961</v>
      </c>
      <c r="H17" s="49">
        <v>247808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108</v>
      </c>
      <c r="F18" s="20" t="s">
        <v>88</v>
      </c>
      <c r="G18" s="21">
        <v>45961</v>
      </c>
      <c r="H18" s="49">
        <v>247808</v>
      </c>
      <c r="J18" s="25" t="s">
        <v>24</v>
      </c>
      <c r="K18" s="26" t="s">
        <v>14</v>
      </c>
      <c r="L18" s="29"/>
      <c r="M18" s="26"/>
    </row>
    <row r="19" spans="1:13">
      <c r="C19" s="19" t="s">
        <v>48</v>
      </c>
      <c r="D19" s="20" t="s">
        <v>72</v>
      </c>
      <c r="E19" s="20">
        <v>192</v>
      </c>
      <c r="F19" s="20" t="s">
        <v>70</v>
      </c>
      <c r="G19" s="21">
        <v>45971</v>
      </c>
      <c r="H19" s="49">
        <v>13185182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150</v>
      </c>
      <c r="D54" s="20" t="s">
        <v>74</v>
      </c>
      <c r="E54" s="20">
        <v>25</v>
      </c>
      <c r="F54" s="20" t="s">
        <v>151</v>
      </c>
      <c r="G54" s="21">
        <v>45961</v>
      </c>
      <c r="H54" s="49">
        <v>10072025</v>
      </c>
      <c r="J54" s="3"/>
      <c r="K54" s="3"/>
      <c r="L54" s="3"/>
    </row>
    <row r="55" spans="1:15">
      <c r="A55" s="47"/>
      <c r="B55" s="48"/>
      <c r="C55" s="19" t="s">
        <v>150</v>
      </c>
      <c r="D55" s="20" t="s">
        <v>63</v>
      </c>
      <c r="E55" s="20">
        <v>50</v>
      </c>
      <c r="F55" s="20" t="s">
        <v>151</v>
      </c>
      <c r="G55" s="21">
        <v>45961</v>
      </c>
      <c r="H55" s="49">
        <v>10072025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150</v>
      </c>
      <c r="D56" s="20" t="s">
        <v>81</v>
      </c>
      <c r="E56" s="20">
        <v>30</v>
      </c>
      <c r="F56" s="20" t="s">
        <v>151</v>
      </c>
      <c r="G56" s="21">
        <v>45961</v>
      </c>
      <c r="H56" s="49">
        <v>10072025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150</v>
      </c>
      <c r="D57" s="20" t="s">
        <v>67</v>
      </c>
      <c r="E57" s="20">
        <v>50</v>
      </c>
      <c r="F57" s="20" t="s">
        <v>151</v>
      </c>
      <c r="G57" s="21">
        <v>45961</v>
      </c>
      <c r="H57" s="49">
        <v>10072025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150</v>
      </c>
      <c r="D58" s="20" t="s">
        <v>64</v>
      </c>
      <c r="E58" s="20">
        <v>80</v>
      </c>
      <c r="F58" s="20" t="s">
        <v>151</v>
      </c>
      <c r="G58" s="21">
        <v>45961</v>
      </c>
      <c r="H58" s="49">
        <v>10072025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240</v>
      </c>
      <c r="F60" s="20" t="s">
        <v>88</v>
      </c>
      <c r="G60" s="21">
        <v>45961</v>
      </c>
      <c r="H60" s="49">
        <v>247808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63</v>
      </c>
      <c r="E61" s="20">
        <v>240</v>
      </c>
      <c r="F61" s="20" t="s">
        <v>88</v>
      </c>
      <c r="G61" s="21">
        <v>45961</v>
      </c>
      <c r="H61" s="49">
        <v>247808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67</v>
      </c>
      <c r="E62" s="20">
        <v>120</v>
      </c>
      <c r="F62" s="20" t="s">
        <v>88</v>
      </c>
      <c r="G62" s="21">
        <v>45961</v>
      </c>
      <c r="H62" s="49">
        <v>247808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68</v>
      </c>
      <c r="E63" s="20">
        <v>120</v>
      </c>
      <c r="F63" s="20" t="s">
        <v>88</v>
      </c>
      <c r="G63" s="21">
        <v>45961</v>
      </c>
      <c r="H63" s="49">
        <v>247808</v>
      </c>
      <c r="M63" s="3"/>
      <c r="N63" s="81"/>
      <c r="O63" s="3"/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120</v>
      </c>
      <c r="F64" s="90" t="s">
        <v>88</v>
      </c>
      <c r="G64" s="91">
        <v>45961</v>
      </c>
      <c r="H64" s="93">
        <v>247808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288</v>
      </c>
      <c r="F65" s="136" t="s">
        <v>70</v>
      </c>
      <c r="G65" s="136">
        <v>45971</v>
      </c>
      <c r="H65" s="137">
        <v>13185182</v>
      </c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48</v>
      </c>
      <c r="F66" s="136" t="s">
        <v>70</v>
      </c>
      <c r="G66" s="136">
        <v>45971</v>
      </c>
      <c r="H66" s="137">
        <v>13185182</v>
      </c>
    </row>
    <row r="67" spans="1:8" s="4" customFormat="1" ht="12.75">
      <c r="A67" s="47"/>
      <c r="B67" s="48"/>
      <c r="C67" s="89" t="s">
        <v>75</v>
      </c>
      <c r="D67" s="90" t="s">
        <v>134</v>
      </c>
      <c r="E67" s="90">
        <v>96</v>
      </c>
      <c r="F67" s="90" t="s">
        <v>77</v>
      </c>
      <c r="G67" s="91">
        <v>45964</v>
      </c>
      <c r="H67" s="93">
        <v>40107463</v>
      </c>
    </row>
    <row r="68" spans="1:8" s="4" customFormat="1" ht="12.75">
      <c r="A68" s="47"/>
      <c r="B68" s="48"/>
      <c r="C68" s="19"/>
      <c r="D68" s="20"/>
      <c r="E68" s="20"/>
      <c r="F68" s="20"/>
      <c r="G68" s="21"/>
      <c r="H68" s="49"/>
    </row>
    <row r="69" spans="1:8" s="4" customFormat="1" ht="12.75">
      <c r="A69" s="47"/>
      <c r="B69" s="48"/>
      <c r="C69" s="19"/>
      <c r="D69" s="20"/>
      <c r="E69" s="70">
        <f>SUM(E53:E68)</f>
        <v>1507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45961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/>
      <c r="D73" s="20"/>
      <c r="E73" s="20"/>
      <c r="F73" s="124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4"/>
      <c r="G74" s="124"/>
      <c r="H74" s="126"/>
    </row>
    <row r="75" spans="1:8" s="4" customFormat="1" ht="12.75">
      <c r="A75" s="47"/>
      <c r="B75" s="48"/>
      <c r="C75" s="122" t="s">
        <v>48</v>
      </c>
      <c r="D75" s="123" t="s">
        <v>61</v>
      </c>
      <c r="E75" s="123">
        <v>384</v>
      </c>
      <c r="F75" s="124" t="s">
        <v>70</v>
      </c>
      <c r="G75" s="124">
        <v>45971</v>
      </c>
      <c r="H75" s="126">
        <v>13185182</v>
      </c>
    </row>
    <row r="76" spans="1:8" s="4" customFormat="1" ht="12.75">
      <c r="A76" s="47"/>
      <c r="B76" s="48"/>
      <c r="C76" s="19" t="s">
        <v>284</v>
      </c>
      <c r="D76" s="20" t="s">
        <v>61</v>
      </c>
      <c r="E76" s="20">
        <v>96</v>
      </c>
      <c r="F76" s="20" t="s">
        <v>77</v>
      </c>
      <c r="G76" s="21">
        <v>45964</v>
      </c>
      <c r="H76" s="49">
        <v>40107463</v>
      </c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96</v>
      </c>
      <c r="F77" s="20" t="s">
        <v>77</v>
      </c>
      <c r="G77" s="21">
        <v>45964</v>
      </c>
      <c r="H77" s="49">
        <v>40107463</v>
      </c>
    </row>
    <row r="78" spans="1:8" s="4" customFormat="1" ht="12.75">
      <c r="A78" s="47"/>
      <c r="B78" s="48"/>
      <c r="C78" s="19" t="s">
        <v>75</v>
      </c>
      <c r="D78" s="20" t="s">
        <v>286</v>
      </c>
      <c r="E78" s="20">
        <v>48</v>
      </c>
      <c r="F78" s="124"/>
      <c r="G78" s="124"/>
      <c r="H78" s="126"/>
    </row>
    <row r="79" spans="1:8" s="4" customFormat="1" ht="12.75">
      <c r="A79" s="47"/>
      <c r="B79" s="48"/>
      <c r="C79" s="19" t="s">
        <v>48</v>
      </c>
      <c r="D79" s="20" t="s">
        <v>62</v>
      </c>
      <c r="E79" s="20">
        <v>144</v>
      </c>
      <c r="F79" s="124" t="s">
        <v>70</v>
      </c>
      <c r="G79" s="124">
        <v>45971</v>
      </c>
      <c r="H79" s="126">
        <v>13185182</v>
      </c>
    </row>
    <row r="80" spans="1:8" s="4" customFormat="1" ht="12.75">
      <c r="A80" s="56"/>
      <c r="B80" s="57"/>
      <c r="C80" s="19" t="s">
        <v>75</v>
      </c>
      <c r="D80" s="65" t="s">
        <v>63</v>
      </c>
      <c r="E80" s="20">
        <v>192</v>
      </c>
      <c r="F80" s="20" t="s">
        <v>77</v>
      </c>
      <c r="G80" s="21">
        <v>45964</v>
      </c>
      <c r="H80" s="49">
        <v>40107463</v>
      </c>
    </row>
    <row r="81" spans="1:8" s="4" customFormat="1" ht="12.75">
      <c r="A81" s="56"/>
      <c r="B81" s="57"/>
      <c r="C81" s="19" t="s">
        <v>75</v>
      </c>
      <c r="D81" s="20" t="s">
        <v>71</v>
      </c>
      <c r="E81" s="20">
        <v>48</v>
      </c>
      <c r="F81" s="20" t="s">
        <v>77</v>
      </c>
      <c r="G81" s="21">
        <v>45964</v>
      </c>
      <c r="H81" s="49">
        <v>40107463</v>
      </c>
    </row>
    <row r="82" spans="1:8" s="4" customFormat="1" ht="12.75">
      <c r="A82" s="56"/>
      <c r="B82" s="57"/>
      <c r="C82" s="19" t="s">
        <v>48</v>
      </c>
      <c r="D82" s="20" t="s">
        <v>71</v>
      </c>
      <c r="E82" s="20">
        <v>96</v>
      </c>
      <c r="F82" s="124" t="s">
        <v>70</v>
      </c>
      <c r="G82" s="124">
        <v>45971</v>
      </c>
      <c r="H82" s="126">
        <v>13185182</v>
      </c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SUM(E72:E85)</f>
        <v>1104</v>
      </c>
      <c r="F86" s="36"/>
      <c r="G86" s="36"/>
      <c r="H86" s="38"/>
    </row>
    <row r="87" spans="1:8" s="4" customFormat="1" ht="13.5" thickBot="1">
      <c r="A87" s="7" t="s">
        <v>55</v>
      </c>
      <c r="B87" s="8">
        <f>B71+1</f>
        <v>45962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E01-A764-44BD-8A1E-39CF695EBC48}">
  <dimension ref="A3:P97"/>
  <sheetViews>
    <sheetView topLeftCell="A41"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45964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20" t="s">
        <v>77</v>
      </c>
      <c r="G7" s="21">
        <v>45964</v>
      </c>
      <c r="H7" s="49">
        <v>40107463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20" t="s">
        <v>77</v>
      </c>
      <c r="G8" s="21">
        <v>45964</v>
      </c>
      <c r="H8" s="49">
        <v>40107463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20" t="s">
        <v>68</v>
      </c>
      <c r="E9" s="20">
        <v>105</v>
      </c>
      <c r="F9" s="20" t="s">
        <v>77</v>
      </c>
      <c r="G9" s="21">
        <v>45964</v>
      </c>
      <c r="H9" s="49">
        <v>40107463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124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124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45964</v>
      </c>
      <c r="H12" s="49">
        <v>40107463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64</v>
      </c>
      <c r="E13" s="20">
        <v>144</v>
      </c>
      <c r="F13" s="20" t="s">
        <v>77</v>
      </c>
      <c r="G13" s="21">
        <v>45964</v>
      </c>
      <c r="H13" s="49">
        <v>40107463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45965</v>
      </c>
      <c r="H16" s="49">
        <v>326832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20" t="s">
        <v>59</v>
      </c>
      <c r="G17" s="21">
        <v>45965</v>
      </c>
      <c r="H17" s="49">
        <v>326832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61</v>
      </c>
      <c r="E18" s="20">
        <v>288</v>
      </c>
      <c r="F18" s="20" t="s">
        <v>59</v>
      </c>
      <c r="G18" s="21">
        <v>45965</v>
      </c>
      <c r="H18" s="49">
        <v>326832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45965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45966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4"/>
      <c r="G54" s="124"/>
      <c r="H54" s="126"/>
      <c r="J54" s="3"/>
      <c r="K54" s="3"/>
      <c r="L54" s="3"/>
    </row>
    <row r="55" spans="1:15">
      <c r="A55" s="47"/>
      <c r="B55" s="48"/>
      <c r="C55" s="19"/>
      <c r="D55" s="65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243</v>
      </c>
      <c r="D56" s="123" t="s">
        <v>63</v>
      </c>
      <c r="E56" s="123">
        <v>180</v>
      </c>
      <c r="F56" s="123" t="s">
        <v>243</v>
      </c>
      <c r="G56" s="124">
        <v>45968</v>
      </c>
      <c r="H56" s="126" t="s">
        <v>285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245</v>
      </c>
      <c r="E57" s="20">
        <v>90</v>
      </c>
      <c r="F57" s="20" t="s">
        <v>243</v>
      </c>
      <c r="G57" s="21">
        <v>45968</v>
      </c>
      <c r="H57" s="49" t="s">
        <v>285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243</v>
      </c>
      <c r="D58" s="65" t="s">
        <v>67</v>
      </c>
      <c r="E58" s="20">
        <v>180</v>
      </c>
      <c r="F58" s="20" t="s">
        <v>243</v>
      </c>
      <c r="G58" s="21">
        <v>45968</v>
      </c>
      <c r="H58" s="49" t="s">
        <v>285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243</v>
      </c>
      <c r="D59" s="65" t="s">
        <v>64</v>
      </c>
      <c r="E59" s="20">
        <v>440</v>
      </c>
      <c r="F59" s="20" t="s">
        <v>243</v>
      </c>
      <c r="G59" s="21">
        <v>45968</v>
      </c>
      <c r="H59" s="49" t="s">
        <v>285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243</v>
      </c>
      <c r="D60" s="65" t="s">
        <v>74</v>
      </c>
      <c r="E60" s="20">
        <v>150</v>
      </c>
      <c r="F60" s="20" t="s">
        <v>243</v>
      </c>
      <c r="G60" s="21">
        <v>45968</v>
      </c>
      <c r="H60" s="49" t="s">
        <v>285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243</v>
      </c>
      <c r="D61" s="65" t="s">
        <v>282</v>
      </c>
      <c r="E61" s="20">
        <v>50</v>
      </c>
      <c r="F61" s="20" t="s">
        <v>243</v>
      </c>
      <c r="G61" s="21">
        <v>45968</v>
      </c>
      <c r="H61" s="49" t="s">
        <v>285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4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22" t="s">
        <v>3</v>
      </c>
      <c r="D63" s="123" t="s">
        <v>86</v>
      </c>
      <c r="E63" s="123">
        <v>360</v>
      </c>
      <c r="F63" s="124" t="s">
        <v>148</v>
      </c>
      <c r="G63" s="124">
        <v>45971</v>
      </c>
      <c r="H63" s="126">
        <v>73824</v>
      </c>
    </row>
    <row r="64" spans="1:15" s="4" customFormat="1" ht="12.75">
      <c r="A64" s="47"/>
      <c r="B64" s="48"/>
      <c r="C64" s="122" t="s">
        <v>3</v>
      </c>
      <c r="D64" s="123" t="s">
        <v>86</v>
      </c>
      <c r="E64" s="123">
        <v>20</v>
      </c>
      <c r="F64" s="124" t="s">
        <v>148</v>
      </c>
      <c r="G64" s="124">
        <v>45978</v>
      </c>
      <c r="H64" s="126">
        <v>73930</v>
      </c>
    </row>
    <row r="65" spans="1:8" s="4" customFormat="1" ht="12.75">
      <c r="A65" s="47"/>
      <c r="B65" s="48"/>
      <c r="C65" s="19"/>
      <c r="D65" s="65"/>
      <c r="E65" s="20"/>
      <c r="F65" s="124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1470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45968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48</v>
      </c>
      <c r="F70" s="124" t="s">
        <v>70</v>
      </c>
      <c r="G70" s="124">
        <v>45971</v>
      </c>
      <c r="H70" s="126">
        <v>13202379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336</v>
      </c>
      <c r="F71" s="124" t="s">
        <v>70</v>
      </c>
      <c r="G71" s="124">
        <v>45971</v>
      </c>
      <c r="H71" s="126">
        <v>13202379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480</v>
      </c>
      <c r="F72" s="124" t="s">
        <v>70</v>
      </c>
      <c r="G72" s="124">
        <v>45971</v>
      </c>
      <c r="H72" s="126">
        <v>13202379</v>
      </c>
    </row>
    <row r="73" spans="1:8" s="4" customFormat="1" ht="12.75">
      <c r="A73" s="47"/>
      <c r="B73" s="48"/>
      <c r="C73" s="89" t="s">
        <v>48</v>
      </c>
      <c r="D73" s="90" t="s">
        <v>65</v>
      </c>
      <c r="E73" s="90">
        <v>288</v>
      </c>
      <c r="F73" s="136" t="s">
        <v>70</v>
      </c>
      <c r="G73" s="136">
        <v>45971</v>
      </c>
      <c r="H73" s="137">
        <v>13202379</v>
      </c>
    </row>
    <row r="74" spans="1:8" s="4" customFormat="1" ht="12.75">
      <c r="A74" s="47"/>
      <c r="B74" s="48"/>
      <c r="C74" s="89" t="s">
        <v>48</v>
      </c>
      <c r="D74" s="90" t="s">
        <v>65</v>
      </c>
      <c r="E74" s="90">
        <v>288</v>
      </c>
      <c r="F74" s="136"/>
      <c r="G74" s="136"/>
      <c r="H74" s="137"/>
    </row>
    <row r="75" spans="1:8" s="4" customFormat="1" ht="12.75">
      <c r="A75" s="47"/>
      <c r="B75" s="48"/>
      <c r="C75" s="19"/>
      <c r="D75" s="65"/>
      <c r="E75" s="20"/>
      <c r="F75" s="124"/>
      <c r="G75" s="124"/>
      <c r="H75" s="126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45969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24E-7002-4E92-BD2A-2C8C4DD6A16F}">
  <dimension ref="A3:P97"/>
  <sheetViews>
    <sheetView workbookViewId="0">
      <selection activeCell="F76" sqref="F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61</v>
      </c>
      <c r="E7" s="20">
        <v>384</v>
      </c>
      <c r="F7" s="20" t="s">
        <v>59</v>
      </c>
      <c r="G7" s="21">
        <v>45973</v>
      </c>
      <c r="H7" s="49">
        <v>327339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45973</v>
      </c>
      <c r="H8" s="49">
        <v>327339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45973</v>
      </c>
      <c r="H9" s="49">
        <v>327339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239</v>
      </c>
      <c r="D12" s="118" t="s">
        <v>89</v>
      </c>
      <c r="E12" s="106">
        <v>108</v>
      </c>
      <c r="F12" s="106" t="s">
        <v>88</v>
      </c>
      <c r="G12" s="107">
        <v>45975</v>
      </c>
      <c r="H12" s="108">
        <v>247947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05" t="s">
        <v>239</v>
      </c>
      <c r="D13" s="118" t="s">
        <v>89</v>
      </c>
      <c r="E13" s="106">
        <v>216</v>
      </c>
      <c r="F13" s="106"/>
      <c r="G13" s="107"/>
      <c r="H13" s="108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45973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45974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9" t="s">
        <v>239</v>
      </c>
      <c r="D54" s="135" t="s">
        <v>101</v>
      </c>
      <c r="E54" s="135">
        <v>54</v>
      </c>
      <c r="F54" s="135" t="s">
        <v>88</v>
      </c>
      <c r="G54" s="136">
        <v>45975</v>
      </c>
      <c r="H54" s="137">
        <v>247947</v>
      </c>
      <c r="J54" s="3"/>
      <c r="K54" s="3"/>
      <c r="L54" s="3"/>
    </row>
    <row r="55" spans="1:15">
      <c r="A55" s="47"/>
      <c r="B55" s="48"/>
      <c r="C55" s="89" t="s">
        <v>239</v>
      </c>
      <c r="D55" s="89" t="s">
        <v>101</v>
      </c>
      <c r="E55" s="90">
        <v>270</v>
      </c>
      <c r="F55" s="90"/>
      <c r="G55" s="91"/>
      <c r="H55" s="93"/>
      <c r="J55" s="3"/>
      <c r="K55" s="3"/>
      <c r="L55" s="3"/>
      <c r="M55" s="3"/>
      <c r="N55" s="81"/>
      <c r="O55" s="3"/>
    </row>
    <row r="56" spans="1:15">
      <c r="A56" s="47"/>
      <c r="B56" s="48"/>
      <c r="C56" s="149" t="s">
        <v>239</v>
      </c>
      <c r="D56" s="135" t="s">
        <v>102</v>
      </c>
      <c r="E56" s="135">
        <v>378</v>
      </c>
      <c r="F56" s="136" t="s">
        <v>88</v>
      </c>
      <c r="G56" s="136">
        <v>45975</v>
      </c>
      <c r="H56" s="137">
        <v>247947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9" t="s">
        <v>239</v>
      </c>
      <c r="D57" s="135" t="s">
        <v>102</v>
      </c>
      <c r="E57" s="135">
        <v>216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283</v>
      </c>
      <c r="D60" s="99" t="s">
        <v>221</v>
      </c>
      <c r="E60" s="90">
        <v>315</v>
      </c>
      <c r="F60" s="90" t="s">
        <v>165</v>
      </c>
      <c r="G60" s="91">
        <v>45975</v>
      </c>
      <c r="H60" s="93">
        <v>113490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283</v>
      </c>
      <c r="D61" s="99" t="s">
        <v>221</v>
      </c>
      <c r="E61" s="90">
        <v>105</v>
      </c>
      <c r="F61" s="90" t="s">
        <v>88</v>
      </c>
      <c r="G61" s="91">
        <v>45975</v>
      </c>
      <c r="H61" s="93">
        <v>247947</v>
      </c>
      <c r="M61" s="3"/>
      <c r="N61" s="81"/>
      <c r="O61" s="3"/>
    </row>
    <row r="62" spans="1:15" s="4" customFormat="1" ht="12.75">
      <c r="A62" s="47"/>
      <c r="B62" s="48"/>
      <c r="C62" s="89" t="s">
        <v>283</v>
      </c>
      <c r="D62" s="90" t="s">
        <v>204</v>
      </c>
      <c r="E62" s="90">
        <v>105</v>
      </c>
      <c r="F62" s="90" t="s">
        <v>165</v>
      </c>
      <c r="G62" s="91">
        <v>45975</v>
      </c>
      <c r="H62" s="93">
        <v>113490</v>
      </c>
      <c r="M62" s="3"/>
      <c r="N62" s="81"/>
      <c r="O62" s="3"/>
    </row>
    <row r="63" spans="1:15" s="4" customFormat="1" ht="12.75">
      <c r="A63" s="47"/>
      <c r="B63" s="48"/>
      <c r="C63" s="89" t="s">
        <v>283</v>
      </c>
      <c r="D63" s="90" t="s">
        <v>204</v>
      </c>
      <c r="E63" s="90">
        <v>105</v>
      </c>
      <c r="F63" s="90" t="s">
        <v>88</v>
      </c>
      <c r="G63" s="91">
        <v>45975</v>
      </c>
      <c r="H63" s="93">
        <v>247947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1548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45975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22" t="s">
        <v>3</v>
      </c>
      <c r="D74" s="123" t="s">
        <v>86</v>
      </c>
      <c r="E74" s="123">
        <v>50</v>
      </c>
      <c r="F74" s="124" t="s">
        <v>148</v>
      </c>
      <c r="G74" s="124">
        <v>45978</v>
      </c>
      <c r="H74" s="126">
        <v>73930</v>
      </c>
    </row>
    <row r="75" spans="1:8" s="4" customFormat="1" ht="12.75">
      <c r="A75" s="47"/>
      <c r="B75" s="48"/>
      <c r="C75" s="122" t="s">
        <v>3</v>
      </c>
      <c r="D75" s="123" t="s">
        <v>86</v>
      </c>
      <c r="E75" s="123">
        <v>360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89" t="s">
        <v>283</v>
      </c>
      <c r="D78" s="99" t="s">
        <v>221</v>
      </c>
      <c r="E78" s="90">
        <v>630</v>
      </c>
      <c r="F78" s="90"/>
      <c r="G78" s="91"/>
      <c r="H78" s="93"/>
    </row>
    <row r="79" spans="1:8" s="4" customFormat="1" ht="12.75">
      <c r="A79" s="56"/>
      <c r="B79" s="57"/>
      <c r="C79" s="89" t="s">
        <v>283</v>
      </c>
      <c r="D79" s="90" t="s">
        <v>204</v>
      </c>
      <c r="E79" s="90">
        <v>420</v>
      </c>
      <c r="F79" s="90"/>
      <c r="G79" s="91"/>
      <c r="H79" s="93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45976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D13-2C02-4B31-B86D-7B58B793267F}">
  <dimension ref="A3:P97"/>
  <sheetViews>
    <sheetView topLeftCell="A39" workbookViewId="0">
      <selection activeCell="C7" sqref="C7:E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300</v>
      </c>
      <c r="F7" s="20" t="s">
        <v>88</v>
      </c>
      <c r="G7" s="21">
        <v>45980</v>
      </c>
      <c r="H7" s="49">
        <v>247981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67</v>
      </c>
      <c r="E8" s="20">
        <v>180</v>
      </c>
      <c r="F8" s="20" t="s">
        <v>88</v>
      </c>
      <c r="G8" s="21">
        <v>45980</v>
      </c>
      <c r="H8" s="49">
        <v>247981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64</v>
      </c>
      <c r="E9" s="20">
        <v>420</v>
      </c>
      <c r="F9" s="20" t="s">
        <v>88</v>
      </c>
      <c r="G9" s="21">
        <v>45980</v>
      </c>
      <c r="H9" s="49">
        <v>247981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68</v>
      </c>
      <c r="E10" s="20">
        <v>180</v>
      </c>
      <c r="F10" s="20" t="s">
        <v>88</v>
      </c>
      <c r="G10" s="21">
        <v>45980</v>
      </c>
      <c r="H10" s="49">
        <v>247981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69</v>
      </c>
      <c r="E11" s="20">
        <v>180</v>
      </c>
      <c r="F11" s="20" t="s">
        <v>88</v>
      </c>
      <c r="G11" s="21">
        <v>45980</v>
      </c>
      <c r="H11" s="49">
        <v>247981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80</v>
      </c>
      <c r="E12" s="20">
        <v>180</v>
      </c>
      <c r="F12" s="20" t="s">
        <v>88</v>
      </c>
      <c r="G12" s="21">
        <v>45980</v>
      </c>
      <c r="H12" s="49">
        <v>247981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45981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64</v>
      </c>
      <c r="E54" s="123">
        <v>432</v>
      </c>
      <c r="F54" s="123" t="s">
        <v>59</v>
      </c>
      <c r="G54" s="124">
        <v>45986</v>
      </c>
      <c r="H54" s="126">
        <v>327816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46000</v>
      </c>
      <c r="H55" s="49">
        <v>328290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123" t="s">
        <v>59</v>
      </c>
      <c r="G56" s="124">
        <v>45986</v>
      </c>
      <c r="H56" s="126">
        <v>327816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134</v>
      </c>
      <c r="E57" s="20">
        <v>384</v>
      </c>
      <c r="F57" s="123" t="s">
        <v>59</v>
      </c>
      <c r="G57" s="124">
        <v>45986</v>
      </c>
      <c r="H57" s="126">
        <v>327816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45982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57</v>
      </c>
      <c r="D70" s="123" t="s">
        <v>58</v>
      </c>
      <c r="E70" s="123">
        <v>575</v>
      </c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65"/>
      <c r="E72" s="20"/>
      <c r="F72" s="20"/>
      <c r="G72" s="21"/>
      <c r="H72" s="49"/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480</v>
      </c>
      <c r="F73" s="20" t="s">
        <v>59</v>
      </c>
      <c r="G73" s="21">
        <v>46000</v>
      </c>
      <c r="H73" s="49">
        <v>328290</v>
      </c>
    </row>
    <row r="74" spans="1:8" s="4" customFormat="1" ht="12.75">
      <c r="A74" s="47"/>
      <c r="B74" s="48"/>
      <c r="C74" s="19" t="s">
        <v>53</v>
      </c>
      <c r="D74" s="65" t="s">
        <v>61</v>
      </c>
      <c r="E74" s="20">
        <v>384</v>
      </c>
      <c r="F74" s="20" t="s">
        <v>59</v>
      </c>
      <c r="G74" s="21">
        <v>46000</v>
      </c>
      <c r="H74" s="49">
        <v>328290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45983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880-55BD-42C0-970A-5DA7FF18EF1F}">
  <dimension ref="A3:P98"/>
  <sheetViews>
    <sheetView topLeftCell="A39" workbookViewId="0">
      <selection activeCell="C18" sqref="C18:H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45985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123" t="s">
        <v>77</v>
      </c>
      <c r="G7" s="124">
        <v>45994</v>
      </c>
      <c r="H7" s="126">
        <v>40111857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123" t="s">
        <v>77</v>
      </c>
      <c r="G8" s="124">
        <v>45994</v>
      </c>
      <c r="H8" s="126">
        <v>40111857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63</v>
      </c>
      <c r="E9" s="20">
        <v>96</v>
      </c>
      <c r="F9" s="123" t="s">
        <v>77</v>
      </c>
      <c r="G9" s="124">
        <v>45994</v>
      </c>
      <c r="H9" s="126">
        <v>40111857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19" t="s">
        <v>76</v>
      </c>
      <c r="E10" s="20">
        <v>144</v>
      </c>
      <c r="F10" s="123" t="s">
        <v>77</v>
      </c>
      <c r="G10" s="124">
        <v>45994</v>
      </c>
      <c r="H10" s="126">
        <v>40111857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71</v>
      </c>
      <c r="E11" s="20">
        <v>144</v>
      </c>
      <c r="F11" s="123" t="s">
        <v>77</v>
      </c>
      <c r="G11" s="124">
        <v>45994</v>
      </c>
      <c r="H11" s="126">
        <v>40111857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123" t="s">
        <v>78</v>
      </c>
      <c r="E12" s="123">
        <v>144</v>
      </c>
      <c r="F12" s="123" t="s">
        <v>77</v>
      </c>
      <c r="G12" s="124">
        <v>45994</v>
      </c>
      <c r="H12" s="126">
        <v>40111857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192</v>
      </c>
      <c r="F13" s="123" t="s">
        <v>77</v>
      </c>
      <c r="G13" s="124">
        <v>45994</v>
      </c>
      <c r="H13" s="126">
        <v>40111857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20" t="s">
        <v>107</v>
      </c>
      <c r="E14" s="20">
        <v>48</v>
      </c>
      <c r="F14" s="123" t="s">
        <v>77</v>
      </c>
      <c r="G14" s="124">
        <v>45994</v>
      </c>
      <c r="H14" s="126">
        <v>40111857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64</v>
      </c>
      <c r="E15" s="20">
        <v>192</v>
      </c>
      <c r="F15" s="123" t="s">
        <v>77</v>
      </c>
      <c r="G15" s="124">
        <v>45994</v>
      </c>
      <c r="H15" s="126">
        <v>40111857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68</v>
      </c>
      <c r="E16" s="20">
        <v>96</v>
      </c>
      <c r="F16" s="123" t="s">
        <v>77</v>
      </c>
      <c r="G16" s="124">
        <v>45994</v>
      </c>
      <c r="H16" s="126">
        <v>40111857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134</v>
      </c>
      <c r="E17" s="90">
        <v>96</v>
      </c>
      <c r="F17" s="135" t="s">
        <v>77</v>
      </c>
      <c r="G17" s="136">
        <v>45994</v>
      </c>
      <c r="H17" s="137">
        <v>40111857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134</v>
      </c>
      <c r="E18" s="90">
        <v>96</v>
      </c>
      <c r="F18" s="135"/>
      <c r="G18" s="136"/>
      <c r="H18" s="137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45986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M43" s="69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M44" s="69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123"/>
      <c r="G48" s="124"/>
      <c r="H48" s="126"/>
      <c r="J48" s="73"/>
      <c r="K48" s="74"/>
      <c r="L48" s="75"/>
    </row>
    <row r="49" spans="1:15">
      <c r="A49" s="47"/>
      <c r="B49" s="48"/>
      <c r="C49" s="19"/>
      <c r="D49" s="20"/>
      <c r="E49" s="20"/>
      <c r="F49" s="123"/>
      <c r="G49" s="124"/>
      <c r="H49" s="126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J50" s="3"/>
      <c r="K50" s="3"/>
      <c r="L50" s="3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3"/>
      <c r="K51" s="3"/>
      <c r="L51" s="3"/>
    </row>
    <row r="52" spans="1:15" ht="15.75" thickBot="1">
      <c r="A52" s="39" t="s">
        <v>52</v>
      </c>
      <c r="B52" s="40">
        <f>B37+1</f>
        <v>45988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  <c r="J52" s="3"/>
      <c r="K52" s="3"/>
      <c r="L52" s="3"/>
      <c r="M52" s="3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  <c r="M53" s="3"/>
    </row>
    <row r="54" spans="1:15">
      <c r="A54" s="12"/>
      <c r="B54" s="125"/>
      <c r="C54" s="19"/>
      <c r="D54" s="20"/>
      <c r="E54" s="20"/>
      <c r="F54" s="123"/>
      <c r="G54" s="124"/>
      <c r="H54" s="126"/>
      <c r="J54" s="3"/>
      <c r="K54" s="3"/>
      <c r="L54" s="3"/>
      <c r="M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123"/>
      <c r="G57" s="124"/>
      <c r="H57" s="126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M58" s="3"/>
      <c r="N58" s="81"/>
      <c r="O58" s="3"/>
    </row>
    <row r="59" spans="1:15">
      <c r="A59" s="47"/>
      <c r="B59" s="48"/>
      <c r="C59" s="122"/>
      <c r="D59" s="123"/>
      <c r="E59" s="123"/>
      <c r="F59" s="123"/>
      <c r="G59" s="124"/>
      <c r="H59" s="126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M60" s="4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4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65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65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45989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45990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13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13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13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13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13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13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13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13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13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13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885-10B2-42AD-926F-182D8442B953}">
  <dimension ref="A3:P102"/>
  <sheetViews>
    <sheetView topLeftCell="A54" workbookViewId="0">
      <selection activeCell="C61" sqref="C61:H6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180</v>
      </c>
      <c r="F7" s="20" t="s">
        <v>88</v>
      </c>
      <c r="G7" s="21">
        <v>46001</v>
      </c>
      <c r="H7" s="49">
        <v>248195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46001</v>
      </c>
      <c r="H8" s="49">
        <v>248195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67</v>
      </c>
      <c r="E9" s="20">
        <v>120</v>
      </c>
      <c r="F9" s="20" t="s">
        <v>88</v>
      </c>
      <c r="G9" s="21">
        <v>46001</v>
      </c>
      <c r="H9" s="49">
        <v>248195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46001</v>
      </c>
      <c r="H10" s="49">
        <v>248195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46001</v>
      </c>
      <c r="H11" s="49">
        <v>248195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69</v>
      </c>
      <c r="E12" s="20">
        <v>120</v>
      </c>
      <c r="F12" s="20" t="s">
        <v>88</v>
      </c>
      <c r="G12" s="21">
        <v>46001</v>
      </c>
      <c r="H12" s="49">
        <v>248195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287</v>
      </c>
      <c r="E14" s="20">
        <v>108</v>
      </c>
      <c r="F14" s="20" t="s">
        <v>88</v>
      </c>
      <c r="G14" s="21">
        <v>46001</v>
      </c>
      <c r="H14" s="49">
        <v>248195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65" t="s">
        <v>287</v>
      </c>
      <c r="E15" s="20">
        <v>108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65" t="s">
        <v>91</v>
      </c>
      <c r="E16" s="20">
        <v>108</v>
      </c>
      <c r="F16" s="20" t="s">
        <v>88</v>
      </c>
      <c r="G16" s="21">
        <v>46001</v>
      </c>
      <c r="H16" s="49">
        <v>248195</v>
      </c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65" t="s">
        <v>91</v>
      </c>
      <c r="E17" s="20">
        <v>108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05" t="s">
        <v>85</v>
      </c>
      <c r="D18" s="106" t="s">
        <v>104</v>
      </c>
      <c r="E18" s="106">
        <v>54</v>
      </c>
      <c r="F18" s="106" t="s">
        <v>88</v>
      </c>
      <c r="G18" s="107">
        <v>46001</v>
      </c>
      <c r="H18" s="108">
        <v>248195</v>
      </c>
      <c r="J18" s="25" t="s">
        <v>24</v>
      </c>
      <c r="K18" s="26" t="s">
        <v>14</v>
      </c>
      <c r="L18" s="29"/>
      <c r="M18" s="26"/>
    </row>
    <row r="19" spans="1:13">
      <c r="C19" s="105" t="s">
        <v>85</v>
      </c>
      <c r="D19" s="106" t="s">
        <v>104</v>
      </c>
      <c r="E19" s="106">
        <v>54</v>
      </c>
      <c r="F19" s="106"/>
      <c r="G19" s="107"/>
      <c r="H19" s="108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45993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45994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45995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239</v>
      </c>
      <c r="D54" s="123" t="s">
        <v>107</v>
      </c>
      <c r="E54" s="123">
        <v>108</v>
      </c>
      <c r="F54" s="123" t="s">
        <v>88</v>
      </c>
      <c r="G54" s="124">
        <v>46000</v>
      </c>
      <c r="H54" s="126">
        <v>248197</v>
      </c>
      <c r="J54" s="3"/>
      <c r="K54" s="3"/>
      <c r="L54" s="3"/>
    </row>
    <row r="55" spans="1:15">
      <c r="A55" s="47"/>
      <c r="B55" s="48"/>
      <c r="C55" s="122" t="s">
        <v>239</v>
      </c>
      <c r="D55" s="123" t="s">
        <v>107</v>
      </c>
      <c r="E55" s="123">
        <v>216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64</v>
      </c>
      <c r="E56" s="20">
        <v>96</v>
      </c>
      <c r="F56" s="20" t="s">
        <v>77</v>
      </c>
      <c r="G56" s="21">
        <v>46006</v>
      </c>
      <c r="H56" s="49">
        <v>40113524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64</v>
      </c>
      <c r="E57" s="20">
        <v>96</v>
      </c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239</v>
      </c>
      <c r="D58" s="89" t="s">
        <v>83</v>
      </c>
      <c r="E58" s="90">
        <v>162</v>
      </c>
      <c r="F58" s="135" t="s">
        <v>88</v>
      </c>
      <c r="G58" s="136">
        <v>46000</v>
      </c>
      <c r="H58" s="137">
        <v>248197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/>
      <c r="D59" s="89"/>
      <c r="E59" s="90"/>
      <c r="F59" s="135"/>
      <c r="G59" s="136"/>
      <c r="H59" s="137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73</v>
      </c>
      <c r="D60" s="90" t="s">
        <v>244</v>
      </c>
      <c r="E60" s="90">
        <v>60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0" t="s">
        <v>204</v>
      </c>
      <c r="E61" s="90">
        <v>315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89" t="s">
        <v>211</v>
      </c>
      <c r="D62" s="99" t="s">
        <v>288</v>
      </c>
      <c r="E62" s="90">
        <v>210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89" t="s">
        <v>211</v>
      </c>
      <c r="D63" s="90" t="s">
        <v>217</v>
      </c>
      <c r="E63" s="90">
        <v>210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1473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45996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242</v>
      </c>
      <c r="D70" s="65" t="s">
        <v>74</v>
      </c>
      <c r="E70" s="20">
        <v>105</v>
      </c>
      <c r="F70" s="20" t="s">
        <v>77</v>
      </c>
      <c r="G70" s="21">
        <v>46006</v>
      </c>
      <c r="H70" s="49">
        <v>40113524</v>
      </c>
    </row>
    <row r="71" spans="1:8" s="4" customFormat="1" ht="12.75">
      <c r="A71" s="44"/>
      <c r="B71" s="45"/>
      <c r="C71" s="19" t="s">
        <v>242</v>
      </c>
      <c r="D71" s="65" t="s">
        <v>74</v>
      </c>
      <c r="E71" s="20">
        <v>105</v>
      </c>
      <c r="F71" s="20"/>
      <c r="G71" s="21"/>
      <c r="H71" s="49"/>
    </row>
    <row r="72" spans="1:8" s="4" customFormat="1" ht="12.75">
      <c r="A72" s="47"/>
      <c r="B72" s="48"/>
      <c r="C72" s="19" t="s">
        <v>242</v>
      </c>
      <c r="D72" s="65" t="s">
        <v>64</v>
      </c>
      <c r="E72" s="20">
        <v>105</v>
      </c>
      <c r="F72" s="20" t="s">
        <v>77</v>
      </c>
      <c r="G72" s="21">
        <v>46006</v>
      </c>
      <c r="H72" s="49">
        <v>40113524</v>
      </c>
    </row>
    <row r="73" spans="1:8" s="4" customFormat="1" ht="12.75">
      <c r="A73" s="47"/>
      <c r="B73" s="48"/>
      <c r="C73" s="19" t="s">
        <v>242</v>
      </c>
      <c r="D73" s="65" t="s">
        <v>78</v>
      </c>
      <c r="E73" s="20">
        <v>105</v>
      </c>
      <c r="F73" s="20" t="s">
        <v>77</v>
      </c>
      <c r="G73" s="21">
        <v>46006</v>
      </c>
      <c r="H73" s="49">
        <v>40113524</v>
      </c>
    </row>
    <row r="74" spans="1:8" s="4" customFormat="1" ht="12.75">
      <c r="A74" s="47"/>
      <c r="B74" s="48"/>
      <c r="C74" s="19" t="s">
        <v>242</v>
      </c>
      <c r="D74" s="65" t="s">
        <v>78</v>
      </c>
      <c r="E74" s="20">
        <v>105</v>
      </c>
      <c r="F74" s="20"/>
      <c r="G74" s="21"/>
      <c r="H74" s="49"/>
    </row>
    <row r="75" spans="1:8" s="4" customFormat="1" ht="12.75">
      <c r="A75" s="47"/>
      <c r="B75" s="48"/>
      <c r="C75" s="19" t="s">
        <v>75</v>
      </c>
      <c r="D75" s="65" t="s">
        <v>78</v>
      </c>
      <c r="E75" s="20">
        <v>48</v>
      </c>
      <c r="F75" s="20" t="s">
        <v>77</v>
      </c>
      <c r="G75" s="21">
        <v>46006</v>
      </c>
      <c r="H75" s="49">
        <v>40113524</v>
      </c>
    </row>
    <row r="76" spans="1:8" s="4" customFormat="1" ht="12.75">
      <c r="A76" s="47"/>
      <c r="B76" s="48"/>
      <c r="C76" s="19" t="s">
        <v>75</v>
      </c>
      <c r="D76" s="65" t="s">
        <v>78</v>
      </c>
      <c r="E76" s="20">
        <v>96</v>
      </c>
      <c r="F76" s="20"/>
      <c r="G76" s="21"/>
      <c r="H76" s="49"/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144</v>
      </c>
      <c r="F77" s="20" t="s">
        <v>77</v>
      </c>
      <c r="G77" s="21">
        <v>46006</v>
      </c>
      <c r="H77" s="49">
        <v>40113524</v>
      </c>
    </row>
    <row r="78" spans="1:8" s="4" customFormat="1" ht="12.75">
      <c r="A78" s="56"/>
      <c r="B78" s="57"/>
      <c r="C78" s="19" t="s">
        <v>75</v>
      </c>
      <c r="D78" s="65" t="s">
        <v>84</v>
      </c>
      <c r="E78" s="20">
        <v>96</v>
      </c>
      <c r="F78" s="20" t="s">
        <v>77</v>
      </c>
      <c r="G78" s="21">
        <v>46006</v>
      </c>
      <c r="H78" s="49">
        <v>40113524</v>
      </c>
    </row>
    <row r="79" spans="1:8" s="4" customFormat="1" ht="12.75">
      <c r="A79" s="56"/>
      <c r="B79" s="57"/>
      <c r="C79" s="19" t="s">
        <v>75</v>
      </c>
      <c r="D79" s="65" t="s">
        <v>84</v>
      </c>
      <c r="E79" s="20">
        <v>96</v>
      </c>
      <c r="F79" s="20"/>
      <c r="G79" s="21"/>
      <c r="H79" s="49"/>
    </row>
    <row r="80" spans="1:8" s="4" customFormat="1" ht="12.75">
      <c r="A80" s="56"/>
      <c r="B80" s="57"/>
      <c r="C80" s="19" t="s">
        <v>75</v>
      </c>
      <c r="D80" s="65" t="s">
        <v>176</v>
      </c>
      <c r="E80" s="20">
        <v>48</v>
      </c>
      <c r="F80" s="20" t="s">
        <v>77</v>
      </c>
      <c r="G80" s="21">
        <v>46006</v>
      </c>
      <c r="H80" s="49">
        <v>40113524</v>
      </c>
    </row>
    <row r="81" spans="1:8" s="4" customFormat="1" ht="12.75">
      <c r="A81" s="56"/>
      <c r="B81" s="57"/>
      <c r="C81" s="19" t="s">
        <v>75</v>
      </c>
      <c r="D81" s="65" t="s">
        <v>176</v>
      </c>
      <c r="E81" s="20">
        <v>96</v>
      </c>
      <c r="F81" s="20"/>
      <c r="G81" s="21"/>
      <c r="H81" s="49"/>
    </row>
    <row r="82" spans="1:8" s="4" customFormat="1" ht="12.75">
      <c r="A82" s="56"/>
      <c r="B82" s="57"/>
      <c r="C82" s="19" t="s">
        <v>75</v>
      </c>
      <c r="D82" s="65" t="s">
        <v>63</v>
      </c>
      <c r="E82" s="20">
        <v>192</v>
      </c>
      <c r="F82" s="20" t="s">
        <v>77</v>
      </c>
      <c r="G82" s="21">
        <v>46006</v>
      </c>
      <c r="H82" s="49">
        <v>40113524</v>
      </c>
    </row>
    <row r="83" spans="1:8" s="4" customFormat="1" ht="12.75">
      <c r="A83" s="56"/>
      <c r="B83" s="57"/>
      <c r="C83" s="19" t="s">
        <v>75</v>
      </c>
      <c r="D83" s="65" t="s">
        <v>61</v>
      </c>
      <c r="E83" s="20">
        <v>48</v>
      </c>
      <c r="F83" s="20" t="s">
        <v>77</v>
      </c>
      <c r="G83" s="21">
        <v>46006</v>
      </c>
      <c r="H83" s="49">
        <v>40113524</v>
      </c>
    </row>
    <row r="84" spans="1:8" s="4" customFormat="1" ht="12.75">
      <c r="A84" s="56"/>
      <c r="B84" s="57"/>
      <c r="C84" s="19" t="s">
        <v>75</v>
      </c>
      <c r="D84" s="65" t="s">
        <v>61</v>
      </c>
      <c r="E84" s="20">
        <v>96</v>
      </c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1485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45997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FFDC-7056-4178-8BCA-B6845D92DBB5}">
  <dimension ref="A3:P99"/>
  <sheetViews>
    <sheetView topLeftCell="A54" workbookViewId="0">
      <selection activeCell="C75" sqref="C75:E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48</v>
      </c>
      <c r="D9" s="123" t="s">
        <v>61</v>
      </c>
      <c r="E9" s="123">
        <v>576</v>
      </c>
      <c r="F9" s="123" t="s">
        <v>70</v>
      </c>
      <c r="G9" s="124">
        <v>46003</v>
      </c>
      <c r="H9" s="126">
        <v>13293882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19" t="s">
        <v>76</v>
      </c>
      <c r="E10" s="20">
        <v>96</v>
      </c>
      <c r="F10" s="123" t="s">
        <v>70</v>
      </c>
      <c r="G10" s="124">
        <v>46003</v>
      </c>
      <c r="H10" s="126">
        <v>13293882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19" t="s">
        <v>76</v>
      </c>
      <c r="E11" s="20">
        <v>144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288</v>
      </c>
      <c r="F12" s="123" t="s">
        <v>70</v>
      </c>
      <c r="G12" s="124">
        <v>46003</v>
      </c>
      <c r="H12" s="126">
        <v>13293882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192</v>
      </c>
      <c r="F14" s="135" t="s">
        <v>70</v>
      </c>
      <c r="G14" s="136">
        <v>46003</v>
      </c>
      <c r="H14" s="137">
        <v>13293882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135"/>
      <c r="G15" s="136"/>
      <c r="H15" s="137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83</v>
      </c>
      <c r="E17" s="90">
        <v>48</v>
      </c>
      <c r="F17" s="90" t="s">
        <v>77</v>
      </c>
      <c r="G17" s="91">
        <v>46006</v>
      </c>
      <c r="H17" s="93">
        <v>40113524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83</v>
      </c>
      <c r="E18" s="90">
        <v>96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1776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22"/>
      <c r="D25" s="123"/>
      <c r="E25" s="123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19"/>
      <c r="E26" s="20"/>
      <c r="F26" s="123"/>
      <c r="G26" s="124"/>
      <c r="H26" s="126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19"/>
      <c r="E27" s="20"/>
      <c r="F27" s="123"/>
      <c r="G27" s="124"/>
      <c r="H27" s="126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123"/>
      <c r="G28" s="124"/>
      <c r="H28" s="126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123"/>
      <c r="G29" s="124"/>
      <c r="H29" s="126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75</v>
      </c>
      <c r="D54" s="65" t="s">
        <v>68</v>
      </c>
      <c r="E54" s="20">
        <v>48</v>
      </c>
      <c r="F54" s="20" t="s">
        <v>77</v>
      </c>
      <c r="G54" s="21">
        <v>46006</v>
      </c>
      <c r="H54" s="49">
        <v>40113524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68</v>
      </c>
      <c r="E55" s="20">
        <v>96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75</v>
      </c>
      <c r="D57" s="99" t="s">
        <v>65</v>
      </c>
      <c r="E57" s="90">
        <v>96</v>
      </c>
      <c r="F57" s="90" t="s">
        <v>77</v>
      </c>
      <c r="G57" s="91">
        <v>46006</v>
      </c>
      <c r="H57" s="93">
        <v>40113524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9" t="s">
        <v>65</v>
      </c>
      <c r="E58" s="90">
        <v>96</v>
      </c>
      <c r="F58" s="90"/>
      <c r="G58" s="91"/>
      <c r="H58" s="93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75</v>
      </c>
      <c r="D59" s="99" t="s">
        <v>134</v>
      </c>
      <c r="E59" s="90">
        <v>96</v>
      </c>
      <c r="F59" s="90"/>
      <c r="G59" s="91"/>
      <c r="H59" s="93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80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216</v>
      </c>
      <c r="F63" s="90" t="s">
        <v>88</v>
      </c>
      <c r="G63" s="91">
        <v>46020</v>
      </c>
      <c r="H63" s="93">
        <v>248322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324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89" t="s">
        <v>53</v>
      </c>
      <c r="D66" s="99" t="s">
        <v>65</v>
      </c>
      <c r="E66" s="90">
        <v>384</v>
      </c>
      <c r="F66" s="90" t="s">
        <v>59</v>
      </c>
      <c r="G66" s="91">
        <v>46013</v>
      </c>
      <c r="H66" s="93">
        <v>328678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1452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46003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53</v>
      </c>
      <c r="D72" s="123" t="s">
        <v>63</v>
      </c>
      <c r="E72" s="123">
        <v>384</v>
      </c>
      <c r="F72" s="123" t="s">
        <v>59</v>
      </c>
      <c r="G72" s="124">
        <v>46013</v>
      </c>
      <c r="H72" s="126">
        <v>328677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53</v>
      </c>
      <c r="D75" s="20" t="s">
        <v>68</v>
      </c>
      <c r="E75" s="20">
        <v>384</v>
      </c>
      <c r="F75" s="123" t="s">
        <v>59</v>
      </c>
      <c r="G75" s="124">
        <v>46013</v>
      </c>
      <c r="H75" s="126">
        <v>328677</v>
      </c>
    </row>
    <row r="76" spans="1:8" s="4" customFormat="1" ht="12.75">
      <c r="A76" s="47"/>
      <c r="B76" s="48"/>
      <c r="C76" s="19" t="s">
        <v>53</v>
      </c>
      <c r="D76" s="65" t="s">
        <v>133</v>
      </c>
      <c r="E76" s="20">
        <v>384</v>
      </c>
      <c r="F76" s="123" t="s">
        <v>59</v>
      </c>
      <c r="G76" s="124">
        <v>46013</v>
      </c>
      <c r="H76" s="126">
        <v>328678</v>
      </c>
    </row>
    <row r="77" spans="1:8" s="4" customFormat="1" ht="12.75">
      <c r="A77" s="47"/>
      <c r="B77" s="48"/>
      <c r="C77" s="19" t="s">
        <v>53</v>
      </c>
      <c r="D77" s="65" t="s">
        <v>290</v>
      </c>
      <c r="E77" s="20">
        <v>384</v>
      </c>
      <c r="F77" s="123" t="s">
        <v>59</v>
      </c>
      <c r="G77" s="124">
        <v>46013</v>
      </c>
      <c r="H77" s="126">
        <v>328678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1536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46004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1EB6-D5DD-406B-A3F6-DADA08012CDC}">
  <dimension ref="A3:P97"/>
  <sheetViews>
    <sheetView topLeftCell="A48" workbookViewId="0">
      <selection activeCell="G64" sqref="G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46006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67</v>
      </c>
      <c r="E7" s="20">
        <v>48</v>
      </c>
      <c r="F7" s="123" t="s">
        <v>59</v>
      </c>
      <c r="G7" s="124">
        <v>46013</v>
      </c>
      <c r="H7" s="126">
        <v>328678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289</v>
      </c>
      <c r="E8" s="20">
        <v>48</v>
      </c>
      <c r="F8" s="123" t="s">
        <v>59</v>
      </c>
      <c r="G8" s="124">
        <v>46013</v>
      </c>
      <c r="H8" s="126">
        <v>328678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64</v>
      </c>
      <c r="E9" s="20">
        <v>480</v>
      </c>
      <c r="F9" s="123" t="s">
        <v>59</v>
      </c>
      <c r="G9" s="124">
        <v>46013</v>
      </c>
      <c r="H9" s="126">
        <v>328677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64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05" t="s">
        <v>94</v>
      </c>
      <c r="D11" s="106" t="s">
        <v>89</v>
      </c>
      <c r="E11" s="106">
        <v>162</v>
      </c>
      <c r="F11" s="106" t="s">
        <v>88</v>
      </c>
      <c r="G11" s="107">
        <v>46020</v>
      </c>
      <c r="H11" s="117">
        <v>248322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94</v>
      </c>
      <c r="D12" s="106" t="s">
        <v>89</v>
      </c>
      <c r="E12" s="106">
        <v>324</v>
      </c>
      <c r="F12" s="106"/>
      <c r="G12" s="107"/>
      <c r="H12" s="117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1542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65" t="s">
        <v>61</v>
      </c>
      <c r="E54" s="20">
        <v>192</v>
      </c>
      <c r="F54" s="20" t="s">
        <v>70</v>
      </c>
      <c r="G54" s="21">
        <v>45662</v>
      </c>
      <c r="H54" s="49">
        <v>13344927</v>
      </c>
      <c r="J54" s="3"/>
      <c r="K54" s="3"/>
      <c r="L54" s="3"/>
    </row>
    <row r="55" spans="1:15">
      <c r="A55" s="47"/>
      <c r="B55" s="48"/>
      <c r="C55" s="122" t="s">
        <v>48</v>
      </c>
      <c r="D55" s="123" t="s">
        <v>61</v>
      </c>
      <c r="E55" s="123">
        <v>528</v>
      </c>
      <c r="F55" s="123" t="s">
        <v>70</v>
      </c>
      <c r="G55" s="124">
        <v>46020</v>
      </c>
      <c r="H55" s="126">
        <v>13322050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19" t="s">
        <v>76</v>
      </c>
      <c r="E56" s="20">
        <v>48</v>
      </c>
      <c r="F56" s="123" t="s">
        <v>70</v>
      </c>
      <c r="G56" s="124">
        <v>46020</v>
      </c>
      <c r="H56" s="126">
        <v>13322050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76</v>
      </c>
      <c r="E57" s="20">
        <v>288</v>
      </c>
      <c r="F57" s="123" t="s">
        <v>70</v>
      </c>
      <c r="G57" s="124">
        <v>46020</v>
      </c>
      <c r="H57" s="126">
        <v>13322082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144</v>
      </c>
      <c r="F58" s="20" t="s">
        <v>70</v>
      </c>
      <c r="G58" s="21">
        <v>45662</v>
      </c>
      <c r="H58" s="49">
        <v>13344927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71</v>
      </c>
      <c r="E60" s="20">
        <v>192</v>
      </c>
      <c r="F60" s="123" t="s">
        <v>70</v>
      </c>
      <c r="G60" s="124">
        <v>46020</v>
      </c>
      <c r="H60" s="126">
        <v>13322082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240</v>
      </c>
      <c r="F61" s="135" t="s">
        <v>70</v>
      </c>
      <c r="G61" s="136">
        <v>46020</v>
      </c>
      <c r="H61" s="137">
        <v>13322050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123">
        <v>180</v>
      </c>
      <c r="F70" s="123" t="s">
        <v>88</v>
      </c>
      <c r="G70" s="124">
        <v>46021</v>
      </c>
      <c r="H70" s="126">
        <v>248372</v>
      </c>
    </row>
    <row r="71" spans="1:8" s="4" customFormat="1" ht="12.75">
      <c r="A71" s="47"/>
      <c r="B71" s="48"/>
      <c r="C71" s="19" t="s">
        <v>66</v>
      </c>
      <c r="D71" s="20" t="s">
        <v>63</v>
      </c>
      <c r="E71" s="20">
        <v>300</v>
      </c>
      <c r="F71" s="123" t="s">
        <v>88</v>
      </c>
      <c r="G71" s="124">
        <v>46021</v>
      </c>
      <c r="H71" s="126">
        <v>248372</v>
      </c>
    </row>
    <row r="72" spans="1:8" s="4" customFormat="1" ht="12.75">
      <c r="A72" s="47"/>
      <c r="B72" s="48"/>
      <c r="C72" s="19" t="s">
        <v>66</v>
      </c>
      <c r="D72" s="20" t="s">
        <v>63</v>
      </c>
      <c r="E72" s="20">
        <v>12</v>
      </c>
      <c r="F72" s="123" t="s">
        <v>292</v>
      </c>
      <c r="G72" s="124">
        <v>46014</v>
      </c>
      <c r="H72" s="126">
        <v>413913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123" t="s">
        <v>88</v>
      </c>
      <c r="G73" s="124">
        <v>46021</v>
      </c>
      <c r="H73" s="126">
        <v>248372</v>
      </c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300</v>
      </c>
      <c r="F74" s="123" t="s">
        <v>88</v>
      </c>
      <c r="G74" s="124">
        <v>46021</v>
      </c>
      <c r="H74" s="126">
        <v>248372</v>
      </c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360</v>
      </c>
      <c r="F75" s="123" t="s">
        <v>88</v>
      </c>
      <c r="G75" s="124">
        <v>46021</v>
      </c>
      <c r="H75" s="126">
        <v>248372</v>
      </c>
    </row>
    <row r="76" spans="1:8" s="4" customFormat="1" ht="12.75">
      <c r="A76" s="56"/>
      <c r="B76" s="57"/>
      <c r="C76" s="19" t="s">
        <v>66</v>
      </c>
      <c r="D76" s="65" t="s">
        <v>64</v>
      </c>
      <c r="E76" s="20">
        <v>18</v>
      </c>
      <c r="F76" s="123" t="s">
        <v>292</v>
      </c>
      <c r="G76" s="124">
        <v>46014</v>
      </c>
      <c r="H76" s="126">
        <v>413913</v>
      </c>
    </row>
    <row r="77" spans="1:8" s="4" customFormat="1" ht="12.75">
      <c r="A77" s="56"/>
      <c r="B77" s="57"/>
      <c r="C77" s="19" t="s">
        <v>66</v>
      </c>
      <c r="D77" s="65" t="s">
        <v>68</v>
      </c>
      <c r="E77" s="20">
        <v>180</v>
      </c>
      <c r="F77" s="123" t="s">
        <v>88</v>
      </c>
      <c r="G77" s="124">
        <v>46021</v>
      </c>
      <c r="H77" s="126">
        <v>248372</v>
      </c>
    </row>
    <row r="78" spans="1:8" s="4" customFormat="1" ht="12.75">
      <c r="A78" s="56"/>
      <c r="B78" s="57"/>
      <c r="C78" s="19" t="s">
        <v>66</v>
      </c>
      <c r="D78" s="65" t="s">
        <v>68</v>
      </c>
      <c r="E78" s="20">
        <v>180</v>
      </c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1590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5E67-85F4-4F9E-ABD1-7DDE8F16D258}">
  <dimension ref="A3:P97"/>
  <sheetViews>
    <sheetView workbookViewId="0">
      <selection activeCell="F21" sqref="F2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46013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136</v>
      </c>
      <c r="D8" s="65" t="s">
        <v>86</v>
      </c>
      <c r="E8" s="20">
        <v>240</v>
      </c>
      <c r="F8" s="20" t="s">
        <v>148</v>
      </c>
      <c r="G8" s="21">
        <v>45662</v>
      </c>
      <c r="H8" s="49">
        <v>74699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71</v>
      </c>
      <c r="E10" s="20">
        <v>240</v>
      </c>
      <c r="F10" s="20" t="s">
        <v>70</v>
      </c>
      <c r="G10" s="21">
        <v>45662</v>
      </c>
      <c r="H10" s="49">
        <v>13344927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240</v>
      </c>
      <c r="F12" s="123" t="s">
        <v>70</v>
      </c>
      <c r="G12" s="124">
        <v>46020</v>
      </c>
      <c r="H12" s="126">
        <v>13322082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72</v>
      </c>
      <c r="E13" s="20">
        <v>192</v>
      </c>
      <c r="F13" s="20" t="s">
        <v>70</v>
      </c>
      <c r="G13" s="21">
        <v>45662</v>
      </c>
      <c r="H13" s="49">
        <v>13344927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65</v>
      </c>
      <c r="E14" s="90">
        <v>192</v>
      </c>
      <c r="F14" s="90" t="s">
        <v>70</v>
      </c>
      <c r="G14" s="91">
        <v>45662</v>
      </c>
      <c r="H14" s="93">
        <v>13344927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90" t="s">
        <v>70</v>
      </c>
      <c r="G15" s="91">
        <v>45662</v>
      </c>
      <c r="H15" s="93">
        <v>13344927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46014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46015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46016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DF12-6BE1-4FCA-9BC9-51F9B75B29E1}">
  <dimension ref="A3:P97"/>
  <sheetViews>
    <sheetView topLeftCell="A39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280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65" t="s">
        <v>76</v>
      </c>
      <c r="E7" s="20">
        <v>192</v>
      </c>
      <c r="F7" s="20" t="s">
        <v>70</v>
      </c>
      <c r="G7" s="21">
        <v>45669</v>
      </c>
      <c r="H7" s="49">
        <v>13351512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71</v>
      </c>
      <c r="E8" s="20">
        <v>144</v>
      </c>
      <c r="F8" s="20" t="s">
        <v>70</v>
      </c>
      <c r="G8" s="21">
        <v>45669</v>
      </c>
      <c r="H8" s="49">
        <v>13351512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57</v>
      </c>
      <c r="D10" s="65" t="s">
        <v>58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175</v>
      </c>
      <c r="E12" s="20">
        <v>192</v>
      </c>
      <c r="F12" s="20" t="s">
        <v>59</v>
      </c>
      <c r="G12" s="21">
        <v>45662</v>
      </c>
      <c r="H12" s="49">
        <v>329127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65" t="s">
        <v>79</v>
      </c>
      <c r="E13" s="20">
        <v>288</v>
      </c>
      <c r="F13" s="20" t="s">
        <v>59</v>
      </c>
      <c r="G13" s="21">
        <v>45662</v>
      </c>
      <c r="H13" s="49">
        <v>329127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46023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46024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46025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D651-77D3-4BF8-BB9A-A2F6E4BC1C1F}">
  <dimension ref="A3:P97"/>
  <sheetViews>
    <sheetView topLeftCell="A29" workbookViewId="0">
      <selection activeCell="C54" sqref="C54:H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175</v>
      </c>
      <c r="E7" s="20">
        <v>192</v>
      </c>
      <c r="F7" s="20" t="s">
        <v>59</v>
      </c>
      <c r="G7" s="21">
        <v>45662</v>
      </c>
      <c r="H7" s="49">
        <v>329127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288</v>
      </c>
      <c r="F9" s="20" t="s">
        <v>70</v>
      </c>
      <c r="G9" s="21">
        <v>45669</v>
      </c>
      <c r="H9" s="49">
        <v>13351512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61</v>
      </c>
      <c r="E10" s="20">
        <v>240</v>
      </c>
      <c r="F10" s="20" t="s">
        <v>99</v>
      </c>
      <c r="G10" s="21">
        <v>45663</v>
      </c>
      <c r="H10" s="49">
        <v>442823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65" t="s">
        <v>58</v>
      </c>
      <c r="E11" s="20">
        <v>96</v>
      </c>
      <c r="F11" s="20" t="s">
        <v>99</v>
      </c>
      <c r="G11" s="21">
        <v>45663</v>
      </c>
      <c r="H11" s="49">
        <v>442823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72</v>
      </c>
      <c r="E12" s="20">
        <v>192</v>
      </c>
      <c r="F12" s="20" t="s">
        <v>70</v>
      </c>
      <c r="G12" s="21">
        <v>45669</v>
      </c>
      <c r="H12" s="49">
        <v>13351512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65</v>
      </c>
      <c r="E13" s="90">
        <v>144</v>
      </c>
      <c r="F13" s="90" t="s">
        <v>70</v>
      </c>
      <c r="G13" s="91">
        <v>45669</v>
      </c>
      <c r="H13" s="93">
        <v>13351512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98</v>
      </c>
      <c r="D14" s="99" t="s">
        <v>65</v>
      </c>
      <c r="E14" s="90">
        <v>96</v>
      </c>
      <c r="F14" s="90" t="s">
        <v>99</v>
      </c>
      <c r="G14" s="91">
        <v>45663</v>
      </c>
      <c r="H14" s="93">
        <v>442823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48</v>
      </c>
      <c r="F15" s="90" t="s">
        <v>99</v>
      </c>
      <c r="G15" s="91">
        <v>45663</v>
      </c>
      <c r="H15" s="93">
        <v>442823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48</v>
      </c>
      <c r="D16" s="99" t="s">
        <v>83</v>
      </c>
      <c r="E16" s="90">
        <v>192</v>
      </c>
      <c r="F16" s="90" t="s">
        <v>70</v>
      </c>
      <c r="G16" s="91">
        <v>45669</v>
      </c>
      <c r="H16" s="93">
        <v>13351512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65" t="s">
        <v>68</v>
      </c>
      <c r="E54" s="20">
        <v>180</v>
      </c>
      <c r="F54" s="123" t="s">
        <v>88</v>
      </c>
      <c r="G54" s="124">
        <v>46043</v>
      </c>
      <c r="H54" s="126">
        <v>248572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123" t="s">
        <v>88</v>
      </c>
      <c r="G55" s="124">
        <v>46043</v>
      </c>
      <c r="H55" s="126">
        <v>248572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300</v>
      </c>
      <c r="F56" s="123" t="s">
        <v>88</v>
      </c>
      <c r="G56" s="124">
        <v>46043</v>
      </c>
      <c r="H56" s="126">
        <v>248572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63</v>
      </c>
      <c r="E57" s="20">
        <v>300</v>
      </c>
      <c r="F57" s="123" t="s">
        <v>88</v>
      </c>
      <c r="G57" s="124">
        <v>46043</v>
      </c>
      <c r="H57" s="126">
        <v>248572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66</v>
      </c>
      <c r="D58" s="123" t="s">
        <v>69</v>
      </c>
      <c r="E58" s="123">
        <v>120</v>
      </c>
      <c r="F58" s="123" t="s">
        <v>88</v>
      </c>
      <c r="G58" s="124">
        <v>46043</v>
      </c>
      <c r="H58" s="126">
        <v>248572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66</v>
      </c>
      <c r="D59" s="99" t="s">
        <v>80</v>
      </c>
      <c r="E59" s="90">
        <v>120</v>
      </c>
      <c r="F59" s="135" t="s">
        <v>88</v>
      </c>
      <c r="G59" s="136">
        <v>46043</v>
      </c>
      <c r="H59" s="137">
        <v>248572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162</v>
      </c>
      <c r="F61" s="90" t="s">
        <v>88</v>
      </c>
      <c r="G61" s="91">
        <v>46041</v>
      </c>
      <c r="H61" s="93">
        <v>248569</v>
      </c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83</v>
      </c>
      <c r="E62" s="90">
        <v>162</v>
      </c>
      <c r="F62" s="90" t="s">
        <v>88</v>
      </c>
      <c r="G62" s="91">
        <v>46041</v>
      </c>
      <c r="H62" s="93">
        <v>248569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1404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46031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94</v>
      </c>
      <c r="D70" s="20" t="s">
        <v>107</v>
      </c>
      <c r="E70" s="20">
        <v>162</v>
      </c>
      <c r="F70" s="20" t="s">
        <v>88</v>
      </c>
      <c r="G70" s="21">
        <v>46041</v>
      </c>
      <c r="H70" s="49">
        <v>248569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65" t="s">
        <v>68</v>
      </c>
      <c r="E72" s="20">
        <v>384</v>
      </c>
      <c r="F72" s="20" t="s">
        <v>59</v>
      </c>
      <c r="G72" s="21">
        <v>46049</v>
      </c>
      <c r="H72" s="49">
        <v>329865</v>
      </c>
    </row>
    <row r="73" spans="1:8" s="4" customFormat="1" ht="12.75">
      <c r="A73" s="47"/>
      <c r="B73" s="48"/>
      <c r="C73" s="19" t="s">
        <v>53</v>
      </c>
      <c r="D73" s="65" t="s">
        <v>64</v>
      </c>
      <c r="E73" s="20">
        <v>288</v>
      </c>
      <c r="F73" s="20" t="s">
        <v>59</v>
      </c>
      <c r="G73" s="21">
        <v>46049</v>
      </c>
      <c r="H73" s="49">
        <v>329865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250</v>
      </c>
      <c r="F75" s="123" t="s">
        <v>88</v>
      </c>
      <c r="G75" s="124">
        <v>46043</v>
      </c>
      <c r="H75" s="126">
        <v>248572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89" t="s">
        <v>211</v>
      </c>
      <c r="D77" s="90" t="s">
        <v>221</v>
      </c>
      <c r="E77" s="90">
        <v>105</v>
      </c>
      <c r="F77" s="90" t="s">
        <v>88</v>
      </c>
      <c r="G77" s="91">
        <v>46041</v>
      </c>
      <c r="H77" s="93">
        <v>248569</v>
      </c>
    </row>
    <row r="78" spans="1:8" s="4" customFormat="1" ht="12.75">
      <c r="A78" s="56"/>
      <c r="B78" s="57"/>
      <c r="C78" s="89" t="s">
        <v>211</v>
      </c>
      <c r="D78" s="90" t="s">
        <v>204</v>
      </c>
      <c r="E78" s="90">
        <v>105</v>
      </c>
      <c r="F78" s="90" t="s">
        <v>88</v>
      </c>
      <c r="G78" s="91">
        <v>46041</v>
      </c>
      <c r="H78" s="93">
        <v>248569</v>
      </c>
    </row>
    <row r="79" spans="1:8" s="4" customFormat="1" ht="12.75">
      <c r="A79" s="56"/>
      <c r="B79" s="57"/>
      <c r="C79" s="89" t="s">
        <v>211</v>
      </c>
      <c r="D79" s="99" t="s">
        <v>288</v>
      </c>
      <c r="E79" s="90">
        <v>105</v>
      </c>
      <c r="F79" s="90" t="s">
        <v>88</v>
      </c>
      <c r="G79" s="91">
        <v>46041</v>
      </c>
      <c r="H79" s="93">
        <v>248569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46032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8D19-0682-4ACD-AD57-49F1250C19B9}">
  <dimension ref="A3:P100"/>
  <sheetViews>
    <sheetView workbookViewId="0">
      <selection activeCell="E16" sqref="E16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46034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22" t="s">
        <v>242</v>
      </c>
      <c r="D11" s="123" t="s">
        <v>175</v>
      </c>
      <c r="E11" s="123">
        <v>105</v>
      </c>
      <c r="F11" s="123" t="s">
        <v>77</v>
      </c>
      <c r="G11" s="124">
        <v>46044</v>
      </c>
      <c r="H11" s="126">
        <v>40118408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19" t="s">
        <v>64</v>
      </c>
      <c r="E12" s="20">
        <v>105</v>
      </c>
      <c r="F12" s="123" t="s">
        <v>77</v>
      </c>
      <c r="G12" s="124">
        <v>45672</v>
      </c>
      <c r="H12" s="126">
        <v>40117589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109" t="s">
        <v>68</v>
      </c>
      <c r="E13" s="20">
        <v>105</v>
      </c>
      <c r="F13" s="123" t="s">
        <v>77</v>
      </c>
      <c r="G13" s="124">
        <v>45672</v>
      </c>
      <c r="H13" s="126">
        <v>40117589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107</v>
      </c>
      <c r="E14" s="20">
        <v>48</v>
      </c>
      <c r="F14" s="123" t="s">
        <v>77</v>
      </c>
      <c r="G14" s="124">
        <v>45672</v>
      </c>
      <c r="H14" s="126">
        <v>40117589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284</v>
      </c>
      <c r="D15" s="20" t="s">
        <v>63</v>
      </c>
      <c r="E15" s="20">
        <v>48</v>
      </c>
      <c r="F15" s="123" t="s">
        <v>77</v>
      </c>
      <c r="G15" s="124">
        <v>45672</v>
      </c>
      <c r="H15" s="126">
        <v>40117589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 t="s">
        <v>48</v>
      </c>
      <c r="D16" s="20" t="s">
        <v>76</v>
      </c>
      <c r="E16" s="123">
        <v>192</v>
      </c>
      <c r="F16" s="123" t="s">
        <v>70</v>
      </c>
      <c r="G16" s="21">
        <v>45676</v>
      </c>
      <c r="H16" s="126">
        <v>13374031</v>
      </c>
      <c r="J16" s="25" t="s">
        <v>22</v>
      </c>
      <c r="K16" s="26" t="s">
        <v>14</v>
      </c>
      <c r="L16" s="29"/>
      <c r="M16" s="31"/>
    </row>
    <row r="17" spans="1:13">
      <c r="C17" s="122" t="s">
        <v>48</v>
      </c>
      <c r="D17" s="123" t="s">
        <v>76</v>
      </c>
      <c r="E17" s="123">
        <v>336</v>
      </c>
      <c r="F17" s="20" t="s">
        <v>70</v>
      </c>
      <c r="G17" s="21">
        <v>45676</v>
      </c>
      <c r="H17" s="49">
        <v>13370050</v>
      </c>
      <c r="J17" s="25" t="s">
        <v>23</v>
      </c>
      <c r="K17" s="26" t="s">
        <v>14</v>
      </c>
      <c r="L17" s="29"/>
      <c r="M17" s="26"/>
    </row>
    <row r="18" spans="1:13">
      <c r="C18" s="19" t="s">
        <v>48</v>
      </c>
      <c r="D18" s="65" t="s">
        <v>76</v>
      </c>
      <c r="E18" s="20">
        <v>192</v>
      </c>
      <c r="F18" s="20" t="s">
        <v>70</v>
      </c>
      <c r="G18" s="21">
        <v>45676</v>
      </c>
      <c r="H18" s="49">
        <v>13358592</v>
      </c>
      <c r="J18" s="25" t="s">
        <v>24</v>
      </c>
      <c r="K18" s="26" t="s">
        <v>14</v>
      </c>
      <c r="L18" s="29"/>
      <c r="M18" s="26"/>
    </row>
    <row r="19" spans="1:13">
      <c r="C19" s="19" t="s">
        <v>75</v>
      </c>
      <c r="D19" s="20" t="s">
        <v>76</v>
      </c>
      <c r="E19" s="20">
        <v>144</v>
      </c>
      <c r="F19" s="123" t="s">
        <v>77</v>
      </c>
      <c r="G19" s="124">
        <v>45672</v>
      </c>
      <c r="H19" s="126">
        <v>40117589</v>
      </c>
      <c r="J19" s="33" t="s">
        <v>25</v>
      </c>
      <c r="K19" s="26"/>
      <c r="L19" s="29"/>
      <c r="M19" s="26"/>
    </row>
    <row r="20" spans="1:13">
      <c r="C20" s="122" t="s">
        <v>75</v>
      </c>
      <c r="D20" s="123" t="s">
        <v>76</v>
      </c>
      <c r="E20" s="123">
        <v>240</v>
      </c>
      <c r="F20" s="123" t="s">
        <v>77</v>
      </c>
      <c r="G20" s="124">
        <v>46044</v>
      </c>
      <c r="H20" s="126">
        <v>40118408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46035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46036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22"/>
      <c r="D40" s="20"/>
      <c r="E40" s="123"/>
      <c r="F40" s="123"/>
      <c r="G40" s="124"/>
      <c r="H40" s="126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65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22" t="s">
        <v>48</v>
      </c>
      <c r="D55" s="20" t="s">
        <v>72</v>
      </c>
      <c r="E55" s="123">
        <v>240</v>
      </c>
      <c r="F55" s="123" t="s">
        <v>70</v>
      </c>
      <c r="G55" s="124">
        <v>45676</v>
      </c>
      <c r="H55" s="126">
        <v>13374031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240</v>
      </c>
      <c r="F56" s="20" t="s">
        <v>70</v>
      </c>
      <c r="G56" s="21">
        <v>45676</v>
      </c>
      <c r="H56" s="49">
        <v>13358592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144</v>
      </c>
      <c r="F57" s="20" t="s">
        <v>70</v>
      </c>
      <c r="G57" s="21">
        <v>45676</v>
      </c>
      <c r="H57" s="49">
        <v>13370050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0" t="s">
        <v>65</v>
      </c>
      <c r="E58" s="90">
        <v>144</v>
      </c>
      <c r="F58" s="90" t="s">
        <v>77</v>
      </c>
      <c r="G58" s="91">
        <v>46044</v>
      </c>
      <c r="H58" s="93">
        <v>40118408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9" t="s">
        <v>65</v>
      </c>
      <c r="E59" s="90">
        <v>144</v>
      </c>
      <c r="F59" s="90" t="s">
        <v>70</v>
      </c>
      <c r="G59" s="91">
        <v>45676</v>
      </c>
      <c r="H59" s="93">
        <v>13358592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9" t="s">
        <v>65</v>
      </c>
      <c r="E60" s="90">
        <v>240</v>
      </c>
      <c r="F60" s="90" t="s">
        <v>70</v>
      </c>
      <c r="G60" s="91">
        <v>45676</v>
      </c>
      <c r="H60" s="93">
        <v>13370050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83</v>
      </c>
      <c r="E61" s="90">
        <v>192</v>
      </c>
      <c r="F61" s="90" t="s">
        <v>70</v>
      </c>
      <c r="G61" s="91">
        <v>45676</v>
      </c>
      <c r="H61" s="93">
        <v>13358592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144</v>
      </c>
      <c r="F62" s="90" t="s">
        <v>70</v>
      </c>
      <c r="G62" s="91">
        <v>45676</v>
      </c>
      <c r="H62" s="93">
        <v>13370050</v>
      </c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9" t="s">
        <v>83</v>
      </c>
      <c r="E63" s="90">
        <v>192</v>
      </c>
      <c r="F63" s="90" t="s">
        <v>70</v>
      </c>
      <c r="G63" s="91">
        <v>46041</v>
      </c>
      <c r="H63" s="93">
        <v>13374031</v>
      </c>
      <c r="M63" s="3"/>
      <c r="N63" s="81"/>
      <c r="O63" s="3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1680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46038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4"/>
      <c r="B72" s="45"/>
      <c r="C72" s="122"/>
      <c r="D72" s="123"/>
      <c r="E72" s="123"/>
      <c r="F72" s="123"/>
      <c r="G72" s="124"/>
      <c r="H72" s="126"/>
    </row>
    <row r="73" spans="1:8" s="4" customFormat="1" ht="12.75">
      <c r="A73" s="47"/>
      <c r="B73" s="48"/>
      <c r="C73" s="19" t="s">
        <v>48</v>
      </c>
      <c r="D73" s="65" t="s">
        <v>61</v>
      </c>
      <c r="E73" s="20">
        <v>240</v>
      </c>
      <c r="F73" s="20" t="s">
        <v>70</v>
      </c>
      <c r="G73" s="21">
        <v>45676</v>
      </c>
      <c r="H73" s="49">
        <v>13358592</v>
      </c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240</v>
      </c>
      <c r="F74" s="20" t="s">
        <v>70</v>
      </c>
      <c r="G74" s="21">
        <v>45676</v>
      </c>
      <c r="H74" s="49">
        <v>13374031</v>
      </c>
    </row>
    <row r="75" spans="1:8" s="4" customFormat="1" ht="12.75">
      <c r="A75" s="47"/>
      <c r="B75" s="48"/>
      <c r="C75" s="19" t="s">
        <v>48</v>
      </c>
      <c r="D75" s="65" t="s">
        <v>61</v>
      </c>
      <c r="E75" s="20">
        <v>288</v>
      </c>
      <c r="F75" s="20" t="s">
        <v>70</v>
      </c>
      <c r="G75" s="21">
        <v>45676</v>
      </c>
      <c r="H75" s="49">
        <v>13370050</v>
      </c>
    </row>
    <row r="76" spans="1:8" s="4" customFormat="1" ht="12.75">
      <c r="A76" s="47"/>
      <c r="B76" s="48"/>
      <c r="C76" s="19" t="s">
        <v>75</v>
      </c>
      <c r="D76" s="65" t="s">
        <v>61</v>
      </c>
      <c r="E76" s="20">
        <v>48</v>
      </c>
      <c r="F76" s="20" t="s">
        <v>77</v>
      </c>
      <c r="G76" s="21">
        <v>46044</v>
      </c>
      <c r="H76" s="49">
        <v>40118408</v>
      </c>
    </row>
    <row r="77" spans="1:8" s="4" customFormat="1" ht="12.75">
      <c r="A77" s="47"/>
      <c r="B77" s="48"/>
      <c r="C77" s="19" t="s">
        <v>75</v>
      </c>
      <c r="D77" s="20" t="s">
        <v>63</v>
      </c>
      <c r="E77" s="20">
        <v>240</v>
      </c>
      <c r="F77" s="123" t="s">
        <v>77</v>
      </c>
      <c r="G77" s="124">
        <v>46044</v>
      </c>
      <c r="H77" s="126">
        <v>40118408</v>
      </c>
    </row>
    <row r="78" spans="1:8" s="4" customFormat="1" ht="12.75">
      <c r="A78" s="56"/>
      <c r="B78" s="57"/>
      <c r="C78" s="19" t="s">
        <v>48</v>
      </c>
      <c r="D78" s="65" t="s">
        <v>301</v>
      </c>
      <c r="E78" s="20">
        <v>144</v>
      </c>
      <c r="F78" s="20" t="s">
        <v>70</v>
      </c>
      <c r="G78" s="21">
        <v>45676</v>
      </c>
      <c r="H78" s="49">
        <v>13358592</v>
      </c>
    </row>
    <row r="79" spans="1:8" s="4" customFormat="1" ht="12.75">
      <c r="A79" s="56"/>
      <c r="B79" s="57"/>
      <c r="C79" s="122" t="s">
        <v>48</v>
      </c>
      <c r="D79" s="20" t="s">
        <v>71</v>
      </c>
      <c r="E79" s="123">
        <v>96</v>
      </c>
      <c r="F79" s="123" t="s">
        <v>70</v>
      </c>
      <c r="G79" s="124">
        <v>46041</v>
      </c>
      <c r="H79" s="126">
        <v>13374031</v>
      </c>
    </row>
    <row r="80" spans="1:8" s="4" customFormat="1" ht="12.75">
      <c r="A80" s="56"/>
      <c r="B80" s="57"/>
      <c r="C80" s="122" t="s">
        <v>75</v>
      </c>
      <c r="D80" s="20" t="s">
        <v>71</v>
      </c>
      <c r="E80" s="123">
        <v>96</v>
      </c>
      <c r="F80" s="123" t="s">
        <v>77</v>
      </c>
      <c r="G80" s="124">
        <v>46041</v>
      </c>
      <c r="H80" s="126">
        <v>40118408</v>
      </c>
    </row>
    <row r="81" spans="1:8" s="4" customFormat="1" ht="12.75">
      <c r="A81" s="56"/>
      <c r="B81" s="57"/>
      <c r="C81" s="19" t="s">
        <v>75</v>
      </c>
      <c r="D81" s="20" t="s">
        <v>78</v>
      </c>
      <c r="E81" s="20">
        <v>96</v>
      </c>
      <c r="F81" s="123" t="s">
        <v>77</v>
      </c>
      <c r="G81" s="124">
        <v>46044</v>
      </c>
      <c r="H81" s="126">
        <v>40118408</v>
      </c>
    </row>
    <row r="82" spans="1:8" s="4" customFormat="1" ht="12.75">
      <c r="A82" s="56"/>
      <c r="B82" s="57"/>
      <c r="C82" s="19" t="s">
        <v>75</v>
      </c>
      <c r="D82" s="20" t="s">
        <v>78</v>
      </c>
      <c r="E82" s="20">
        <v>48</v>
      </c>
      <c r="F82" s="123"/>
      <c r="G82" s="124"/>
      <c r="H82" s="126"/>
    </row>
    <row r="83" spans="1:8" s="4" customFormat="1" ht="13.5" thickBot="1">
      <c r="A83" s="12"/>
      <c r="B83" s="125"/>
      <c r="C83" s="150"/>
      <c r="D83" s="85"/>
      <c r="E83" s="85"/>
      <c r="F83" s="42"/>
      <c r="G83" s="151"/>
      <c r="H83" s="43"/>
    </row>
    <row r="84" spans="1:8" s="4" customFormat="1" ht="13.5" thickBot="1">
      <c r="A84" s="39"/>
      <c r="B84" s="40"/>
      <c r="C84" s="35"/>
      <c r="D84" s="36"/>
      <c r="E84" s="58">
        <f>SUM(E70:E82)</f>
        <v>1536</v>
      </c>
      <c r="F84" s="36"/>
      <c r="G84" s="36"/>
      <c r="H84" s="38"/>
    </row>
    <row r="85" spans="1:8" s="4" customFormat="1" ht="13.5" thickBot="1">
      <c r="A85" s="7" t="s">
        <v>55</v>
      </c>
      <c r="B85" s="8">
        <f>B69+1</f>
        <v>46039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9DC-5FB8-4AE4-B73C-074F17F8EF0B}">
  <dimension ref="A3:P97"/>
  <sheetViews>
    <sheetView topLeftCell="A54" workbookViewId="0">
      <selection activeCell="C73" sqref="C73:H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45676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53</v>
      </c>
      <c r="D7" s="123" t="s">
        <v>63</v>
      </c>
      <c r="E7" s="123">
        <v>336</v>
      </c>
      <c r="F7" s="20" t="s">
        <v>59</v>
      </c>
      <c r="G7" s="21">
        <v>45677</v>
      </c>
      <c r="H7" s="49">
        <v>329670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576</v>
      </c>
      <c r="F8" s="20" t="s">
        <v>59</v>
      </c>
      <c r="G8" s="21">
        <v>45677</v>
      </c>
      <c r="H8" s="49">
        <v>329670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53</v>
      </c>
      <c r="D9" s="123" t="s">
        <v>68</v>
      </c>
      <c r="E9" s="123">
        <v>336</v>
      </c>
      <c r="F9" s="20" t="s">
        <v>59</v>
      </c>
      <c r="G9" s="21">
        <v>45677</v>
      </c>
      <c r="H9" s="49">
        <v>329670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289</v>
      </c>
      <c r="E10" s="20">
        <v>96</v>
      </c>
      <c r="F10" s="20" t="s">
        <v>59</v>
      </c>
      <c r="G10" s="21">
        <v>46048</v>
      </c>
      <c r="H10" s="49">
        <v>329720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20" t="s">
        <v>64</v>
      </c>
      <c r="E12" s="123">
        <v>96</v>
      </c>
      <c r="F12" s="123" t="s">
        <v>77</v>
      </c>
      <c r="G12" s="124">
        <v>46044</v>
      </c>
      <c r="H12" s="126">
        <v>40118408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20"/>
      <c r="E13" s="123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22"/>
      <c r="D14" s="20"/>
      <c r="E14" s="123"/>
      <c r="F14" s="123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22"/>
      <c r="D17" s="20"/>
      <c r="E17" s="123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45677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45678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45679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46048</v>
      </c>
      <c r="H54" s="49">
        <v>329720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48</v>
      </c>
      <c r="F55" s="20" t="s">
        <v>59</v>
      </c>
      <c r="G55" s="21">
        <v>46064</v>
      </c>
      <c r="H55" s="49">
        <v>330460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384</v>
      </c>
      <c r="F56" s="20" t="s">
        <v>59</v>
      </c>
      <c r="G56" s="21">
        <v>46048</v>
      </c>
      <c r="H56" s="49">
        <v>329720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76</v>
      </c>
      <c r="E57" s="20">
        <v>384</v>
      </c>
      <c r="F57" s="20" t="s">
        <v>59</v>
      </c>
      <c r="G57" s="21">
        <v>46048</v>
      </c>
      <c r="H57" s="49">
        <v>329720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76</v>
      </c>
      <c r="E58" s="20">
        <v>288</v>
      </c>
      <c r="F58" s="20" t="s">
        <v>59</v>
      </c>
      <c r="G58" s="21">
        <v>46049</v>
      </c>
      <c r="H58" s="49">
        <v>329865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133</v>
      </c>
      <c r="E59" s="20">
        <v>288</v>
      </c>
      <c r="F59" s="20" t="s">
        <v>59</v>
      </c>
      <c r="G59" s="21">
        <v>46048</v>
      </c>
      <c r="H59" s="49">
        <v>329720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133</v>
      </c>
      <c r="E60" s="20">
        <v>384</v>
      </c>
      <c r="F60" s="20" t="s">
        <v>59</v>
      </c>
      <c r="G60" s="21">
        <v>46064</v>
      </c>
      <c r="H60" s="49">
        <v>330460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1872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45680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175</v>
      </c>
      <c r="E70" s="20">
        <v>384</v>
      </c>
      <c r="F70" s="20" t="s">
        <v>59</v>
      </c>
      <c r="G70" s="21">
        <v>46050</v>
      </c>
      <c r="H70" s="49">
        <v>329867</v>
      </c>
    </row>
    <row r="71" spans="1:8" s="4" customFormat="1" ht="12.75">
      <c r="A71" s="47"/>
      <c r="B71" s="48"/>
      <c r="C71" s="122" t="s">
        <v>53</v>
      </c>
      <c r="D71" s="123" t="s">
        <v>63</v>
      </c>
      <c r="E71" s="123">
        <v>384</v>
      </c>
      <c r="F71" s="20" t="s">
        <v>59</v>
      </c>
      <c r="G71" s="21">
        <v>46050</v>
      </c>
      <c r="H71" s="49">
        <v>329867</v>
      </c>
    </row>
    <row r="72" spans="1:8" s="4" customFormat="1" ht="12.75">
      <c r="A72" s="47"/>
      <c r="B72" s="48"/>
      <c r="C72" s="19" t="s">
        <v>53</v>
      </c>
      <c r="D72" s="65" t="s">
        <v>134</v>
      </c>
      <c r="E72" s="20">
        <v>480</v>
      </c>
      <c r="F72" s="20" t="s">
        <v>59</v>
      </c>
      <c r="G72" s="21">
        <v>46050</v>
      </c>
      <c r="H72" s="49">
        <v>329867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46064</v>
      </c>
      <c r="H73" s="49">
        <v>330460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45681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C66A-1FE0-45DB-873F-29C81379AA98}">
  <dimension ref="A3:Q99"/>
  <sheetViews>
    <sheetView topLeftCell="A48"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107</v>
      </c>
      <c r="E25" s="20">
        <v>96</v>
      </c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94</v>
      </c>
      <c r="D26" s="20" t="s">
        <v>107</v>
      </c>
      <c r="E26" s="20">
        <v>216</v>
      </c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300</v>
      </c>
      <c r="E27" s="90">
        <v>216</v>
      </c>
      <c r="F27" s="90"/>
      <c r="G27" s="91"/>
      <c r="H27" s="9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211</v>
      </c>
      <c r="D30" s="90" t="s">
        <v>221</v>
      </c>
      <c r="E30" s="90">
        <v>315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211</v>
      </c>
      <c r="D31" s="90" t="s">
        <v>204</v>
      </c>
      <c r="E31" s="90">
        <v>315</v>
      </c>
      <c r="F31" s="90"/>
      <c r="G31" s="91"/>
      <c r="H31" s="93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211</v>
      </c>
      <c r="D32" s="99" t="s">
        <v>288</v>
      </c>
      <c r="E32" s="90">
        <v>210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7">
      <c r="A33" s="47"/>
      <c r="B33" s="48"/>
      <c r="C33" s="89" t="s">
        <v>211</v>
      </c>
      <c r="D33" s="90" t="s">
        <v>217</v>
      </c>
      <c r="E33" s="90">
        <v>210</v>
      </c>
      <c r="F33" s="90"/>
      <c r="G33" s="91"/>
      <c r="H33" s="93"/>
      <c r="J33" s="34" t="s">
        <v>40</v>
      </c>
      <c r="K33" s="29"/>
      <c r="L33" s="26" t="s">
        <v>14</v>
      </c>
      <c r="M33" s="26"/>
    </row>
    <row r="34" spans="1:17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7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7" ht="15.75" thickBot="1">
      <c r="A36" s="56"/>
      <c r="B36" s="57"/>
      <c r="C36" s="35"/>
      <c r="D36" s="36"/>
      <c r="E36" s="58">
        <f>SUM(E24:E35)</f>
        <v>1578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7" ht="15.75" thickBot="1">
      <c r="A37" s="39" t="s">
        <v>44</v>
      </c>
      <c r="B37" s="40">
        <f>B23+1</f>
        <v>45685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7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7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7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7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7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7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7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7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  <c r="Q45" s="5" t="s">
        <v>306</v>
      </c>
    </row>
    <row r="46" spans="1:17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7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7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98</v>
      </c>
      <c r="D54" s="65" t="s">
        <v>58</v>
      </c>
      <c r="E54" s="20">
        <v>96</v>
      </c>
      <c r="F54" s="20" t="s">
        <v>99</v>
      </c>
      <c r="G54" s="21">
        <v>46062</v>
      </c>
      <c r="H54" s="49">
        <v>496651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58</v>
      </c>
      <c r="E55" s="20">
        <v>96</v>
      </c>
      <c r="F55" s="20" t="s">
        <v>77</v>
      </c>
      <c r="G55" s="21">
        <v>46062</v>
      </c>
      <c r="H55" s="49">
        <v>40120860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144</v>
      </c>
      <c r="F56" s="20" t="s">
        <v>70</v>
      </c>
      <c r="G56" s="21">
        <v>46055</v>
      </c>
      <c r="H56" s="49">
        <v>13410000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192</v>
      </c>
      <c r="F57" s="20" t="s">
        <v>70</v>
      </c>
      <c r="G57" s="21">
        <v>46062</v>
      </c>
      <c r="H57" s="49">
        <v>13428481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9" t="s">
        <v>75</v>
      </c>
      <c r="D58" s="135" t="s">
        <v>80</v>
      </c>
      <c r="E58" s="135">
        <v>48</v>
      </c>
      <c r="F58" s="90" t="s">
        <v>77</v>
      </c>
      <c r="G58" s="91">
        <v>46062</v>
      </c>
      <c r="H58" s="93">
        <v>40120860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49" t="s">
        <v>98</v>
      </c>
      <c r="D59" s="135" t="s">
        <v>65</v>
      </c>
      <c r="E59" s="135">
        <v>144</v>
      </c>
      <c r="F59" s="90" t="s">
        <v>99</v>
      </c>
      <c r="G59" s="91">
        <v>46062</v>
      </c>
      <c r="H59" s="93">
        <v>496651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46062</v>
      </c>
      <c r="H60" s="93">
        <v>40120860</v>
      </c>
      <c r="J60" s="3"/>
      <c r="K60" s="3"/>
      <c r="L60" s="3"/>
      <c r="M60" s="3"/>
      <c r="N60" s="81"/>
      <c r="O60" s="3"/>
    </row>
    <row r="61" spans="1:15" s="4" customFormat="1" ht="12.7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46055</v>
      </c>
      <c r="H61" s="93">
        <v>13410000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96</v>
      </c>
      <c r="F62" s="90" t="s">
        <v>70</v>
      </c>
      <c r="G62" s="91">
        <v>46062</v>
      </c>
      <c r="H62" s="93">
        <v>13428481</v>
      </c>
    </row>
    <row r="63" spans="1:15" s="4" customFormat="1" ht="12.75">
      <c r="A63" s="47"/>
      <c r="B63" s="48"/>
      <c r="C63" s="149" t="s">
        <v>98</v>
      </c>
      <c r="D63" s="135" t="s">
        <v>83</v>
      </c>
      <c r="E63" s="135">
        <v>192</v>
      </c>
      <c r="F63" s="90" t="s">
        <v>99</v>
      </c>
      <c r="G63" s="91">
        <v>46062</v>
      </c>
      <c r="H63" s="93">
        <v>496651</v>
      </c>
    </row>
    <row r="64" spans="1:15" s="4" customFormat="1" ht="12.75">
      <c r="A64" s="47"/>
      <c r="B64" s="48"/>
      <c r="C64" s="89" t="s">
        <v>48</v>
      </c>
      <c r="D64" s="99" t="s">
        <v>83</v>
      </c>
      <c r="E64" s="90">
        <v>144</v>
      </c>
      <c r="F64" s="90" t="s">
        <v>70</v>
      </c>
      <c r="G64" s="91">
        <v>46055</v>
      </c>
      <c r="H64" s="93">
        <v>13410000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192</v>
      </c>
      <c r="F65" s="90" t="s">
        <v>70</v>
      </c>
      <c r="G65" s="91">
        <v>46062</v>
      </c>
      <c r="H65" s="93">
        <v>13428481</v>
      </c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75</v>
      </c>
      <c r="D70" s="19" t="s">
        <v>63</v>
      </c>
      <c r="E70" s="20">
        <v>240</v>
      </c>
      <c r="F70" s="20" t="s">
        <v>77</v>
      </c>
      <c r="G70" s="21">
        <v>46062</v>
      </c>
      <c r="H70" s="49">
        <v>40120860</v>
      </c>
    </row>
    <row r="71" spans="1:8" s="4" customFormat="1" ht="12.75">
      <c r="A71" s="44"/>
      <c r="B71" s="45"/>
      <c r="C71" s="19" t="s">
        <v>98</v>
      </c>
      <c r="D71" s="65" t="s">
        <v>61</v>
      </c>
      <c r="E71" s="20">
        <v>48</v>
      </c>
      <c r="F71" s="20" t="s">
        <v>99</v>
      </c>
      <c r="G71" s="21">
        <v>46062</v>
      </c>
      <c r="H71" s="49">
        <v>496651</v>
      </c>
    </row>
    <row r="72" spans="1:8" s="4" customFormat="1" ht="12.75">
      <c r="A72" s="44"/>
      <c r="B72" s="45"/>
      <c r="C72" s="19" t="s">
        <v>48</v>
      </c>
      <c r="D72" s="20" t="s">
        <v>61</v>
      </c>
      <c r="E72" s="20">
        <v>192</v>
      </c>
      <c r="F72" s="20" t="s">
        <v>70</v>
      </c>
      <c r="G72" s="21">
        <v>46055</v>
      </c>
      <c r="H72" s="49">
        <v>13410000</v>
      </c>
    </row>
    <row r="73" spans="1:8" s="4" customFormat="1" ht="12.75">
      <c r="A73" s="47"/>
      <c r="B73" s="48"/>
      <c r="C73" s="19" t="s">
        <v>48</v>
      </c>
      <c r="D73" s="20" t="s">
        <v>61</v>
      </c>
      <c r="E73" s="20">
        <v>240</v>
      </c>
      <c r="F73" s="20" t="s">
        <v>70</v>
      </c>
      <c r="G73" s="21">
        <v>46062</v>
      </c>
      <c r="H73" s="49">
        <v>13428481</v>
      </c>
    </row>
    <row r="74" spans="1:8" s="4" customFormat="1" ht="12.75">
      <c r="A74" s="47"/>
      <c r="B74" s="48"/>
      <c r="C74" s="19" t="s">
        <v>75</v>
      </c>
      <c r="D74" s="20" t="s">
        <v>61</v>
      </c>
      <c r="E74" s="20">
        <v>144</v>
      </c>
      <c r="F74" s="20" t="s">
        <v>77</v>
      </c>
      <c r="G74" s="21">
        <v>46062</v>
      </c>
      <c r="H74" s="49">
        <v>40120860</v>
      </c>
    </row>
    <row r="75" spans="1:8" s="4" customFormat="1" ht="12.75">
      <c r="A75" s="47"/>
      <c r="B75" s="48"/>
      <c r="C75" s="122" t="s">
        <v>48</v>
      </c>
      <c r="D75" s="20" t="s">
        <v>71</v>
      </c>
      <c r="E75" s="123">
        <v>432</v>
      </c>
      <c r="F75" s="20" t="s">
        <v>70</v>
      </c>
      <c r="G75" s="21">
        <v>46055</v>
      </c>
      <c r="H75" s="49">
        <v>13410000</v>
      </c>
    </row>
    <row r="76" spans="1:8" s="4" customFormat="1" ht="12.75">
      <c r="A76" s="47"/>
      <c r="B76" s="48"/>
      <c r="C76" s="122" t="s">
        <v>48</v>
      </c>
      <c r="D76" s="123" t="s">
        <v>76</v>
      </c>
      <c r="E76" s="123">
        <v>96</v>
      </c>
      <c r="F76" s="20" t="s">
        <v>70</v>
      </c>
      <c r="G76" s="21">
        <v>46055</v>
      </c>
      <c r="H76" s="49">
        <v>13410000</v>
      </c>
    </row>
    <row r="77" spans="1:8" s="4" customFormat="1" ht="12.75">
      <c r="A77" s="47"/>
      <c r="B77" s="48"/>
      <c r="C77" s="122" t="s">
        <v>48</v>
      </c>
      <c r="D77" s="123" t="s">
        <v>76</v>
      </c>
      <c r="E77" s="123">
        <v>288</v>
      </c>
      <c r="F77" s="20" t="s">
        <v>70</v>
      </c>
      <c r="G77" s="21">
        <v>46062</v>
      </c>
      <c r="H77" s="49">
        <v>13428481</v>
      </c>
    </row>
    <row r="78" spans="1:8" s="4" customFormat="1" ht="12.75">
      <c r="A78" s="56"/>
      <c r="B78" s="57"/>
      <c r="C78" s="122" t="s">
        <v>75</v>
      </c>
      <c r="D78" s="20" t="s">
        <v>76</v>
      </c>
      <c r="E78" s="123">
        <v>96</v>
      </c>
      <c r="F78" s="20" t="s">
        <v>77</v>
      </c>
      <c r="G78" s="21">
        <v>46062</v>
      </c>
      <c r="H78" s="49">
        <v>40120860</v>
      </c>
    </row>
    <row r="79" spans="1:8" s="4" customFormat="1" ht="12.75">
      <c r="A79" s="56"/>
      <c r="B79" s="57"/>
      <c r="C79" s="122"/>
      <c r="D79" s="20"/>
      <c r="E79" s="123"/>
      <c r="F79" s="20"/>
      <c r="G79" s="21"/>
      <c r="H79" s="49"/>
    </row>
    <row r="80" spans="1:8" s="4" customFormat="1" ht="12.75">
      <c r="A80" s="56"/>
      <c r="B80" s="57"/>
      <c r="C80" s="122"/>
      <c r="D80" s="20"/>
      <c r="E80" s="123"/>
      <c r="F80" s="20"/>
      <c r="G80" s="21"/>
      <c r="H80" s="49"/>
    </row>
    <row r="81" spans="1:8" s="4" customFormat="1" ht="12.75">
      <c r="A81" s="56"/>
      <c r="B81" s="57"/>
      <c r="C81" s="122"/>
      <c r="D81" s="20"/>
      <c r="E81" s="123"/>
      <c r="F81" s="20"/>
      <c r="G81" s="21"/>
      <c r="H81" s="49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1776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45688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22"/>
      <c r="D87" s="123"/>
      <c r="E87" s="123"/>
      <c r="F87" s="20"/>
      <c r="G87" s="21"/>
      <c r="H87" s="49"/>
    </row>
    <row r="88" spans="1:8" s="4" customFormat="1" ht="12.75">
      <c r="A88" s="47"/>
      <c r="B88" s="48"/>
      <c r="C88" s="122"/>
      <c r="D88" s="123"/>
      <c r="E88" s="123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22"/>
      <c r="D90" s="20"/>
      <c r="E90" s="123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DA7-F26D-4DF5-9133-5672E0627A73}">
  <dimension ref="A3:P104"/>
  <sheetViews>
    <sheetView topLeftCell="A63" workbookViewId="0">
      <selection activeCell="E26" sqref="E2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3</v>
      </c>
      <c r="D7" s="20" t="s">
        <v>86</v>
      </c>
      <c r="E7" s="123">
        <v>240</v>
      </c>
      <c r="F7" s="123" t="s">
        <v>148</v>
      </c>
      <c r="G7" s="124">
        <v>46055</v>
      </c>
      <c r="H7" s="126">
        <v>75128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3</v>
      </c>
      <c r="D8" s="20" t="s">
        <v>86</v>
      </c>
      <c r="E8" s="123">
        <v>240</v>
      </c>
      <c r="F8" s="123" t="s">
        <v>148</v>
      </c>
      <c r="G8" s="124">
        <v>46062</v>
      </c>
      <c r="H8" s="126">
        <v>75231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242</v>
      </c>
      <c r="D10" s="65" t="s">
        <v>74</v>
      </c>
      <c r="E10" s="20">
        <v>210</v>
      </c>
      <c r="F10" s="20" t="s">
        <v>77</v>
      </c>
      <c r="G10" s="21">
        <v>46062</v>
      </c>
      <c r="H10" s="49">
        <v>40120860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242</v>
      </c>
      <c r="D11" s="65" t="s">
        <v>63</v>
      </c>
      <c r="E11" s="20">
        <v>210</v>
      </c>
      <c r="F11" s="20" t="s">
        <v>77</v>
      </c>
      <c r="G11" s="21">
        <v>46062</v>
      </c>
      <c r="H11" s="49">
        <v>40120860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65" t="s">
        <v>64</v>
      </c>
      <c r="E12" s="20">
        <v>105</v>
      </c>
      <c r="F12" s="20" t="s">
        <v>77</v>
      </c>
      <c r="G12" s="21">
        <v>46062</v>
      </c>
      <c r="H12" s="49">
        <v>40120860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65" t="s">
        <v>68</v>
      </c>
      <c r="E13" s="20">
        <v>105</v>
      </c>
      <c r="F13" s="20" t="s">
        <v>77</v>
      </c>
      <c r="G13" s="21">
        <v>46062</v>
      </c>
      <c r="H13" s="49">
        <v>40120860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65" t="s">
        <v>78</v>
      </c>
      <c r="E14" s="20">
        <v>105</v>
      </c>
      <c r="F14" s="20" t="s">
        <v>77</v>
      </c>
      <c r="G14" s="21">
        <v>46062</v>
      </c>
      <c r="H14" s="49">
        <v>40120860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307</v>
      </c>
      <c r="D16" s="65" t="s">
        <v>213</v>
      </c>
      <c r="E16" s="20">
        <v>60</v>
      </c>
      <c r="F16" s="20" t="s">
        <v>307</v>
      </c>
      <c r="G16" s="21">
        <v>46056</v>
      </c>
      <c r="H16" s="49" t="s">
        <v>308</v>
      </c>
      <c r="J16" s="25" t="s">
        <v>22</v>
      </c>
      <c r="K16" s="26" t="s">
        <v>14</v>
      </c>
      <c r="L16" s="29"/>
      <c r="M16" s="31"/>
    </row>
    <row r="17" spans="1:13">
      <c r="C17" s="19" t="s">
        <v>307</v>
      </c>
      <c r="D17" s="65" t="s">
        <v>111</v>
      </c>
      <c r="E17" s="20">
        <v>60</v>
      </c>
      <c r="F17" s="20" t="s">
        <v>307</v>
      </c>
      <c r="G17" s="21">
        <v>46056</v>
      </c>
      <c r="H17" s="49" t="s">
        <v>308</v>
      </c>
      <c r="J17" s="25" t="s">
        <v>23</v>
      </c>
      <c r="K17" s="26" t="s">
        <v>14</v>
      </c>
      <c r="L17" s="29"/>
      <c r="M17" s="26"/>
    </row>
    <row r="18" spans="1:13">
      <c r="C18" s="19" t="s">
        <v>307</v>
      </c>
      <c r="D18" s="65" t="s">
        <v>112</v>
      </c>
      <c r="E18" s="20">
        <v>60</v>
      </c>
      <c r="F18" s="20" t="s">
        <v>307</v>
      </c>
      <c r="G18" s="21">
        <v>46056</v>
      </c>
      <c r="H18" s="49" t="s">
        <v>308</v>
      </c>
      <c r="J18" s="25" t="s">
        <v>24</v>
      </c>
      <c r="K18" s="26" t="s">
        <v>14</v>
      </c>
      <c r="L18" s="29"/>
      <c r="M18" s="26"/>
    </row>
    <row r="19" spans="1:13">
      <c r="C19" s="89" t="s">
        <v>307</v>
      </c>
      <c r="D19" s="99" t="s">
        <v>309</v>
      </c>
      <c r="E19" s="90">
        <v>60</v>
      </c>
      <c r="F19" s="90" t="s">
        <v>307</v>
      </c>
      <c r="G19" s="91">
        <v>46056</v>
      </c>
      <c r="H19" s="93" t="s">
        <v>308</v>
      </c>
      <c r="J19" s="33" t="s">
        <v>25</v>
      </c>
      <c r="K19" s="26"/>
      <c r="L19" s="29"/>
      <c r="M19" s="26"/>
    </row>
    <row r="20" spans="1:13">
      <c r="C20" s="122"/>
      <c r="D20" s="123"/>
      <c r="E20" s="123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49" t="s">
        <v>75</v>
      </c>
      <c r="D21" s="135" t="s">
        <v>80</v>
      </c>
      <c r="E21" s="135">
        <v>48</v>
      </c>
      <c r="F21" s="90" t="s">
        <v>77</v>
      </c>
      <c r="G21" s="91">
        <v>46062</v>
      </c>
      <c r="H21" s="93">
        <v>40120860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480</v>
      </c>
      <c r="F55" s="20" t="s">
        <v>59</v>
      </c>
      <c r="G55" s="21">
        <v>46063</v>
      </c>
      <c r="H55" s="49">
        <v>330459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68</v>
      </c>
      <c r="E56" s="20">
        <v>384</v>
      </c>
      <c r="F56" s="20" t="s">
        <v>59</v>
      </c>
      <c r="G56" s="21">
        <v>46064</v>
      </c>
      <c r="H56" s="49">
        <v>330460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48</v>
      </c>
      <c r="F57" s="20" t="s">
        <v>59</v>
      </c>
      <c r="G57" s="21">
        <v>46064</v>
      </c>
      <c r="H57" s="49">
        <v>330460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311</v>
      </c>
      <c r="E58" s="20">
        <v>384</v>
      </c>
      <c r="F58" s="20" t="s">
        <v>59</v>
      </c>
      <c r="G58" s="21">
        <v>46064</v>
      </c>
      <c r="H58" s="49">
        <v>330460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53</v>
      </c>
      <c r="D59" s="99" t="s">
        <v>65</v>
      </c>
      <c r="E59" s="90">
        <v>480</v>
      </c>
      <c r="F59" s="90" t="s">
        <v>59</v>
      </c>
      <c r="G59" s="91">
        <v>46063</v>
      </c>
      <c r="H59" s="93">
        <v>330459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20" t="s">
        <v>71</v>
      </c>
      <c r="E70" s="123">
        <v>144</v>
      </c>
      <c r="F70" s="20" t="s">
        <v>70</v>
      </c>
      <c r="G70" s="21">
        <v>46062</v>
      </c>
      <c r="H70" s="49">
        <v>13428481</v>
      </c>
    </row>
    <row r="71" spans="1:8" s="4" customFormat="1" ht="12.75">
      <c r="A71" s="44"/>
      <c r="B71" s="45"/>
      <c r="C71" s="122" t="s">
        <v>75</v>
      </c>
      <c r="D71" s="20" t="s">
        <v>71</v>
      </c>
      <c r="E71" s="123">
        <v>48</v>
      </c>
      <c r="F71" s="20" t="s">
        <v>77</v>
      </c>
      <c r="G71" s="21">
        <v>46062</v>
      </c>
      <c r="H71" s="49">
        <v>40120860</v>
      </c>
    </row>
    <row r="72" spans="1:8" s="4" customFormat="1" ht="12.75">
      <c r="A72" s="44"/>
      <c r="B72" s="45"/>
      <c r="C72" s="122" t="s">
        <v>75</v>
      </c>
      <c r="D72" s="20" t="s">
        <v>84</v>
      </c>
      <c r="E72" s="123">
        <v>48</v>
      </c>
      <c r="F72" s="20" t="s">
        <v>77</v>
      </c>
      <c r="G72" s="21">
        <v>46062</v>
      </c>
      <c r="H72" s="49">
        <v>40120860</v>
      </c>
    </row>
    <row r="73" spans="1:8" s="4" customFormat="1" ht="12.75">
      <c r="A73" s="44"/>
      <c r="B73" s="45"/>
      <c r="C73" s="122" t="s">
        <v>75</v>
      </c>
      <c r="D73" s="20" t="s">
        <v>87</v>
      </c>
      <c r="E73" s="123">
        <v>48</v>
      </c>
      <c r="F73" s="20" t="s">
        <v>77</v>
      </c>
      <c r="G73" s="21">
        <v>46062</v>
      </c>
      <c r="H73" s="49">
        <v>40120860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266</v>
      </c>
      <c r="D75" s="65" t="s">
        <v>63</v>
      </c>
      <c r="E75" s="20">
        <v>96</v>
      </c>
      <c r="F75" s="20" t="s">
        <v>149</v>
      </c>
      <c r="G75" s="21">
        <v>46063</v>
      </c>
      <c r="H75" s="49">
        <v>729699</v>
      </c>
    </row>
    <row r="76" spans="1:8" s="4" customFormat="1" ht="12.75">
      <c r="A76" s="47"/>
      <c r="B76" s="48"/>
      <c r="C76" s="19" t="s">
        <v>266</v>
      </c>
      <c r="D76" s="65" t="s">
        <v>62</v>
      </c>
      <c r="E76" s="20">
        <v>48</v>
      </c>
      <c r="F76" s="20" t="s">
        <v>149</v>
      </c>
      <c r="G76" s="21">
        <v>46063</v>
      </c>
      <c r="H76" s="49">
        <v>729699</v>
      </c>
    </row>
    <row r="77" spans="1:8" s="4" customFormat="1" ht="12.75">
      <c r="A77" s="47"/>
      <c r="B77" s="48"/>
      <c r="C77" s="19" t="s">
        <v>266</v>
      </c>
      <c r="D77" s="65" t="s">
        <v>197</v>
      </c>
      <c r="E77" s="20">
        <v>96</v>
      </c>
      <c r="F77" s="20" t="s">
        <v>149</v>
      </c>
      <c r="G77" s="21">
        <v>46063</v>
      </c>
      <c r="H77" s="49">
        <v>729699</v>
      </c>
    </row>
    <row r="78" spans="1:8" s="4" customFormat="1" ht="12.75">
      <c r="A78" s="47"/>
      <c r="B78" s="48"/>
      <c r="C78" s="19"/>
      <c r="D78" s="65"/>
      <c r="E78" s="20"/>
      <c r="F78" s="123"/>
      <c r="G78" s="124"/>
      <c r="H78" s="148"/>
    </row>
    <row r="79" spans="1:8" s="4" customFormat="1" ht="12.75">
      <c r="A79" s="47"/>
      <c r="B79" s="48"/>
      <c r="C79" s="19" t="s">
        <v>66</v>
      </c>
      <c r="D79" s="20" t="s">
        <v>69</v>
      </c>
      <c r="E79" s="20">
        <v>60</v>
      </c>
      <c r="F79" s="123" t="s">
        <v>88</v>
      </c>
      <c r="G79" s="124">
        <v>46064</v>
      </c>
      <c r="H79" s="126">
        <v>248793</v>
      </c>
    </row>
    <row r="80" spans="1:8" s="4" customFormat="1" ht="12.75">
      <c r="A80" s="56"/>
      <c r="B80" s="57"/>
      <c r="C80" s="19" t="s">
        <v>66</v>
      </c>
      <c r="D80" s="20" t="s">
        <v>67</v>
      </c>
      <c r="E80" s="20">
        <v>120</v>
      </c>
      <c r="F80" s="123" t="s">
        <v>88</v>
      </c>
      <c r="G80" s="124">
        <v>46064</v>
      </c>
      <c r="H80" s="126">
        <v>248793</v>
      </c>
    </row>
    <row r="81" spans="1:8" s="4" customFormat="1" ht="12.75">
      <c r="A81" s="56"/>
      <c r="B81" s="57"/>
      <c r="C81" s="19" t="s">
        <v>66</v>
      </c>
      <c r="D81" s="20" t="s">
        <v>81</v>
      </c>
      <c r="E81" s="20">
        <v>60</v>
      </c>
      <c r="F81" s="123" t="s">
        <v>88</v>
      </c>
      <c r="G81" s="124">
        <v>46064</v>
      </c>
      <c r="H81" s="126">
        <v>248793</v>
      </c>
    </row>
    <row r="82" spans="1:8" s="4" customFormat="1" ht="12.75">
      <c r="A82" s="56"/>
      <c r="B82" s="57"/>
      <c r="C82" s="19" t="s">
        <v>66</v>
      </c>
      <c r="D82" s="20" t="s">
        <v>64</v>
      </c>
      <c r="E82" s="20">
        <v>360</v>
      </c>
      <c r="F82" s="123" t="s">
        <v>88</v>
      </c>
      <c r="G82" s="124">
        <v>46064</v>
      </c>
      <c r="H82" s="126">
        <v>248793</v>
      </c>
    </row>
    <row r="83" spans="1:8" s="4" customFormat="1" ht="12.75">
      <c r="A83" s="56"/>
      <c r="B83" s="57"/>
      <c r="C83" s="122"/>
      <c r="D83" s="123"/>
      <c r="E83" s="123"/>
      <c r="F83" s="20"/>
      <c r="G83" s="21"/>
      <c r="H83" s="22"/>
    </row>
    <row r="84" spans="1:8" s="4" customFormat="1" ht="12.75">
      <c r="A84" s="56"/>
      <c r="B84" s="57"/>
      <c r="C84" s="19" t="s">
        <v>57</v>
      </c>
      <c r="D84" s="65" t="s">
        <v>58</v>
      </c>
      <c r="E84" s="20">
        <v>240</v>
      </c>
      <c r="F84" s="20"/>
      <c r="G84" s="20"/>
      <c r="H84" s="22"/>
    </row>
    <row r="85" spans="1:8" s="4" customFormat="1" ht="12.75">
      <c r="A85" s="12"/>
      <c r="B85" s="125"/>
      <c r="C85" s="150"/>
      <c r="D85" s="152"/>
      <c r="E85" s="85"/>
      <c r="F85" s="85"/>
      <c r="G85" s="85"/>
      <c r="H85" s="153"/>
    </row>
    <row r="86" spans="1:8" s="4" customFormat="1" ht="12.7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46062</v>
      </c>
      <c r="H86" s="93">
        <v>40120860</v>
      </c>
    </row>
    <row r="87" spans="1:8" s="4" customFormat="1" ht="13.5" thickBot="1">
      <c r="A87" s="12"/>
      <c r="B87" s="125"/>
      <c r="C87" s="150"/>
      <c r="D87" s="152"/>
      <c r="E87" s="85"/>
      <c r="F87" s="85"/>
      <c r="G87" s="85"/>
      <c r="H87" s="153"/>
    </row>
    <row r="88" spans="1:8" s="4" customFormat="1" ht="13.5" thickBot="1">
      <c r="A88" s="39"/>
      <c r="B88" s="40"/>
      <c r="C88" s="35"/>
      <c r="D88" s="36"/>
      <c r="E88" s="58">
        <f>SUM(E69:E87)</f>
        <v>1416</v>
      </c>
      <c r="F88" s="36"/>
      <c r="G88" s="36"/>
      <c r="H88" s="38"/>
    </row>
    <row r="89" spans="1:8" s="4" customFormat="1" ht="13.5" thickBot="1">
      <c r="A89" s="7" t="s">
        <v>55</v>
      </c>
      <c r="B89" s="8">
        <f>B68+1</f>
        <v>45695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22"/>
      <c r="D92" s="20"/>
      <c r="E92" s="123"/>
      <c r="F92" s="20"/>
      <c r="G92" s="21"/>
      <c r="H92" s="49"/>
    </row>
    <row r="93" spans="1:8" s="4" customFormat="1" ht="12.75">
      <c r="A93" s="47"/>
      <c r="B93" s="48"/>
      <c r="C93" s="122"/>
      <c r="D93" s="20"/>
      <c r="E93" s="123"/>
      <c r="F93" s="20"/>
      <c r="G93" s="21"/>
      <c r="H93" s="49"/>
    </row>
    <row r="94" spans="1:8" s="4" customFormat="1" ht="12.75">
      <c r="A94" s="47"/>
      <c r="B94" s="48"/>
      <c r="C94" s="122"/>
      <c r="D94" s="20"/>
      <c r="E94" s="123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980-770E-4CA7-88F4-3FB58BDCF808}">
  <dimension ref="A3:P102"/>
  <sheetViews>
    <sheetView topLeftCell="A51" workbookViewId="0">
      <selection activeCell="C79" sqref="C79:H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149</v>
      </c>
      <c r="D8" s="65" t="s">
        <v>74</v>
      </c>
      <c r="E8" s="20">
        <v>60</v>
      </c>
      <c r="F8" s="20" t="s">
        <v>149</v>
      </c>
      <c r="G8" s="21">
        <v>46063</v>
      </c>
      <c r="H8" s="49">
        <v>729699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149</v>
      </c>
      <c r="D9" s="65" t="s">
        <v>63</v>
      </c>
      <c r="E9" s="20">
        <v>120</v>
      </c>
      <c r="F9" s="20" t="s">
        <v>149</v>
      </c>
      <c r="G9" s="21">
        <v>46063</v>
      </c>
      <c r="H9" s="49">
        <v>729699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149</v>
      </c>
      <c r="D10" s="65" t="s">
        <v>67</v>
      </c>
      <c r="E10" s="20">
        <v>60</v>
      </c>
      <c r="F10" s="20" t="s">
        <v>149</v>
      </c>
      <c r="G10" s="21">
        <v>46063</v>
      </c>
      <c r="H10" s="49">
        <v>729699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149</v>
      </c>
      <c r="D11" s="65" t="s">
        <v>68</v>
      </c>
      <c r="E11" s="20">
        <v>300</v>
      </c>
      <c r="F11" s="20" t="s">
        <v>149</v>
      </c>
      <c r="G11" s="21">
        <v>46063</v>
      </c>
      <c r="H11" s="49">
        <v>729699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63</v>
      </c>
      <c r="E13" s="20">
        <v>300</v>
      </c>
      <c r="F13" s="123" t="s">
        <v>88</v>
      </c>
      <c r="G13" s="124">
        <v>46064</v>
      </c>
      <c r="H13" s="126">
        <v>248793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134</v>
      </c>
      <c r="E15" s="20">
        <v>96</v>
      </c>
      <c r="F15" s="20" t="s">
        <v>59</v>
      </c>
      <c r="G15" s="21">
        <v>46064</v>
      </c>
      <c r="H15" s="49">
        <v>330460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64</v>
      </c>
      <c r="E17" s="20">
        <v>96</v>
      </c>
      <c r="F17" s="20" t="s">
        <v>77</v>
      </c>
      <c r="G17" s="21">
        <v>46065</v>
      </c>
      <c r="H17" s="49">
        <v>40122422</v>
      </c>
      <c r="J17" s="25" t="s">
        <v>23</v>
      </c>
      <c r="K17" s="26" t="s">
        <v>14</v>
      </c>
      <c r="L17" s="29"/>
      <c r="M17" s="26"/>
    </row>
    <row r="18" spans="1:13">
      <c r="C18" s="19" t="s">
        <v>94</v>
      </c>
      <c r="D18" s="20" t="s">
        <v>107</v>
      </c>
      <c r="E18" s="20">
        <v>54</v>
      </c>
      <c r="F18" s="20" t="s">
        <v>88</v>
      </c>
      <c r="G18" s="21">
        <v>46069</v>
      </c>
      <c r="H18" s="49">
        <v>248874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 t="s">
        <v>94</v>
      </c>
      <c r="D20" s="20" t="s">
        <v>312</v>
      </c>
      <c r="E20" s="20">
        <v>48</v>
      </c>
      <c r="F20" s="123" t="s">
        <v>88</v>
      </c>
      <c r="G20" s="21" t="s">
        <v>193</v>
      </c>
      <c r="H20" s="126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>
      <c r="C22" s="89" t="s">
        <v>48</v>
      </c>
      <c r="D22" s="90" t="s">
        <v>83</v>
      </c>
      <c r="E22" s="90">
        <v>192</v>
      </c>
      <c r="F22" s="90" t="s">
        <v>70</v>
      </c>
      <c r="G22" s="91">
        <v>46069</v>
      </c>
      <c r="H22" s="93">
        <v>13438147</v>
      </c>
      <c r="J22" s="34" t="s">
        <v>28</v>
      </c>
      <c r="K22" s="26"/>
      <c r="L22" s="26" t="s">
        <v>14</v>
      </c>
      <c r="M22" s="26"/>
    </row>
    <row r="23" spans="1:13">
      <c r="C23" s="89" t="s">
        <v>94</v>
      </c>
      <c r="D23" s="90" t="s">
        <v>83</v>
      </c>
      <c r="E23" s="90">
        <v>162</v>
      </c>
      <c r="F23" s="90" t="s">
        <v>88</v>
      </c>
      <c r="G23" s="91">
        <v>46069</v>
      </c>
      <c r="H23" s="93">
        <v>248874</v>
      </c>
      <c r="J23" s="25" t="s">
        <v>30</v>
      </c>
      <c r="K23" s="26" t="s">
        <v>14</v>
      </c>
      <c r="L23" s="26"/>
      <c r="M23" s="26"/>
    </row>
    <row r="24" spans="1:13">
      <c r="C24" s="122"/>
      <c r="D24" s="123"/>
      <c r="E24" s="123"/>
      <c r="F24" s="20"/>
      <c r="G24" s="21"/>
      <c r="H24" s="49"/>
      <c r="J24" s="33" t="s">
        <v>31</v>
      </c>
      <c r="K24" s="46"/>
      <c r="L24" s="46" t="s">
        <v>14</v>
      </c>
      <c r="M24" s="26"/>
    </row>
    <row r="25" spans="1:13" ht="15.75" thickBot="1">
      <c r="C25" s="35"/>
      <c r="D25" s="36"/>
      <c r="E25" s="37">
        <f>SUM(E7:E24)</f>
        <v>1488</v>
      </c>
      <c r="F25" s="36"/>
      <c r="G25" s="36"/>
      <c r="H25" s="38"/>
      <c r="J25" s="33" t="s">
        <v>32</v>
      </c>
      <c r="K25" s="50"/>
      <c r="L25" s="46" t="s">
        <v>14</v>
      </c>
      <c r="M25" s="26"/>
    </row>
    <row r="26" spans="1:13" ht="15.75" thickBot="1">
      <c r="A26" s="39" t="s">
        <v>29</v>
      </c>
      <c r="B26" s="40">
        <f>B5+1</f>
        <v>45698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34" t="s">
        <v>33</v>
      </c>
      <c r="K26" s="26"/>
      <c r="L26" s="26" t="s">
        <v>14</v>
      </c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65" t="s">
        <v>63</v>
      </c>
      <c r="E28" s="20">
        <v>105</v>
      </c>
      <c r="F28" s="20" t="s">
        <v>77</v>
      </c>
      <c r="G28" s="21">
        <v>46065</v>
      </c>
      <c r="H28" s="49">
        <v>40122422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242</v>
      </c>
      <c r="D29" s="65" t="s">
        <v>61</v>
      </c>
      <c r="E29" s="20">
        <v>105</v>
      </c>
      <c r="F29" s="20" t="s">
        <v>77</v>
      </c>
      <c r="G29" s="21">
        <v>46065</v>
      </c>
      <c r="H29" s="49">
        <v>40122422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22" t="s">
        <v>75</v>
      </c>
      <c r="D31" s="123" t="s">
        <v>61</v>
      </c>
      <c r="E31" s="123">
        <v>192</v>
      </c>
      <c r="F31" s="20" t="s">
        <v>77</v>
      </c>
      <c r="G31" s="21">
        <v>46065</v>
      </c>
      <c r="H31" s="49">
        <v>40122422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65" t="s">
        <v>71</v>
      </c>
      <c r="E32" s="20">
        <v>96</v>
      </c>
      <c r="F32" s="20" t="s">
        <v>77</v>
      </c>
      <c r="G32" s="21">
        <v>46065</v>
      </c>
      <c r="H32" s="49">
        <v>40122422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20" t="s">
        <v>75</v>
      </c>
      <c r="D33" s="20" t="s">
        <v>63</v>
      </c>
      <c r="E33" s="20">
        <v>192</v>
      </c>
      <c r="F33" s="20" t="s">
        <v>77</v>
      </c>
      <c r="G33" s="21">
        <v>46065</v>
      </c>
      <c r="H33" s="49">
        <v>40122422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 t="s">
        <v>75</v>
      </c>
      <c r="D34" s="20" t="s">
        <v>76</v>
      </c>
      <c r="E34" s="20">
        <v>192</v>
      </c>
      <c r="F34" s="20" t="s">
        <v>77</v>
      </c>
      <c r="G34" s="21">
        <v>46065</v>
      </c>
      <c r="H34" s="49">
        <v>40122422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 t="s">
        <v>75</v>
      </c>
      <c r="D35" s="20" t="s">
        <v>78</v>
      </c>
      <c r="E35" s="20">
        <v>96</v>
      </c>
      <c r="F35" s="20" t="s">
        <v>77</v>
      </c>
      <c r="G35" s="21">
        <v>46065</v>
      </c>
      <c r="H35" s="49">
        <v>40122422</v>
      </c>
      <c r="J35" s="34" t="s">
        <v>42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49"/>
      <c r="J36" s="34" t="s">
        <v>43</v>
      </c>
      <c r="K36" s="26"/>
      <c r="L36" s="26" t="s">
        <v>14</v>
      </c>
      <c r="M36" s="26"/>
    </row>
    <row r="37" spans="1:16">
      <c r="A37" s="47"/>
      <c r="B37" s="48"/>
      <c r="C37" s="89" t="s">
        <v>75</v>
      </c>
      <c r="D37" s="90" t="s">
        <v>80</v>
      </c>
      <c r="E37" s="90">
        <v>96</v>
      </c>
      <c r="F37" s="90" t="s">
        <v>77</v>
      </c>
      <c r="G37" s="91">
        <v>46065</v>
      </c>
      <c r="H37" s="93">
        <v>40122422</v>
      </c>
      <c r="J37" s="34" t="s">
        <v>45</v>
      </c>
      <c r="K37" s="63"/>
      <c r="L37" s="26" t="s">
        <v>14</v>
      </c>
      <c r="M37" s="26"/>
    </row>
    <row r="38" spans="1:16">
      <c r="A38" s="47"/>
      <c r="B38" s="48"/>
      <c r="C38" s="19"/>
      <c r="D38" s="20"/>
      <c r="E38" s="20"/>
      <c r="F38" s="20"/>
      <c r="G38" s="21"/>
      <c r="H38" s="49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89" t="s">
        <v>94</v>
      </c>
      <c r="D39" s="90" t="s">
        <v>83</v>
      </c>
      <c r="E39" s="90">
        <v>162</v>
      </c>
      <c r="F39" s="90" t="s">
        <v>88</v>
      </c>
      <c r="G39" s="91">
        <v>46069</v>
      </c>
      <c r="H39" s="93">
        <v>248874</v>
      </c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89" t="s">
        <v>48</v>
      </c>
      <c r="D40" s="90" t="s">
        <v>83</v>
      </c>
      <c r="E40" s="90">
        <v>48</v>
      </c>
      <c r="F40" s="90" t="s">
        <v>70</v>
      </c>
      <c r="G40" s="91">
        <v>46069</v>
      </c>
      <c r="H40" s="93">
        <v>13438147</v>
      </c>
      <c r="J40" s="34" t="s">
        <v>49</v>
      </c>
      <c r="K40" s="26"/>
      <c r="L40" s="26" t="s">
        <v>14</v>
      </c>
      <c r="M40" s="26"/>
      <c r="P40" s="64"/>
    </row>
    <row r="41" spans="1:16" ht="15.75" thickBot="1">
      <c r="A41" s="56"/>
      <c r="B41" s="57"/>
      <c r="C41" s="35"/>
      <c r="D41" s="36"/>
      <c r="E41" s="58">
        <f>SUM(E27:E40)</f>
        <v>1284</v>
      </c>
      <c r="F41" s="36"/>
      <c r="G41" s="59"/>
      <c r="H41" s="38"/>
      <c r="J41" s="54" t="s">
        <v>50</v>
      </c>
      <c r="K41" s="26"/>
      <c r="L41" s="26"/>
      <c r="M41" s="26" t="s">
        <v>14</v>
      </c>
      <c r="P41" s="64"/>
    </row>
    <row r="42" spans="1:16" ht="15.75" thickBot="1">
      <c r="A42" s="39" t="s">
        <v>44</v>
      </c>
      <c r="B42" s="40">
        <f>B26+1</f>
        <v>45699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4" t="s">
        <v>51</v>
      </c>
      <c r="K42" s="26"/>
      <c r="L42" s="26" t="s">
        <v>14</v>
      </c>
      <c r="M42" s="26"/>
      <c r="P42" s="64"/>
    </row>
    <row r="43" spans="1:16">
      <c r="A43" s="44"/>
      <c r="B43" s="45"/>
      <c r="C43" s="14"/>
      <c r="D43" s="15"/>
      <c r="E43" s="15"/>
      <c r="F43" s="15"/>
      <c r="G43" s="16"/>
      <c r="H43" s="17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20"/>
      <c r="F50" s="20"/>
      <c r="G50" s="21"/>
      <c r="H50" s="49"/>
    </row>
    <row r="51" spans="1:15">
      <c r="A51" s="47"/>
      <c r="B51" s="48"/>
      <c r="C51" s="19"/>
      <c r="D51" s="20"/>
      <c r="E51" s="20"/>
      <c r="F51" s="20"/>
      <c r="G51" s="21"/>
      <c r="H51" s="49"/>
      <c r="J51" s="73"/>
      <c r="K51" s="74"/>
      <c r="L51" s="75"/>
    </row>
    <row r="52" spans="1:15">
      <c r="A52" s="47"/>
      <c r="B52" s="48"/>
      <c r="C52" s="19"/>
      <c r="D52" s="20"/>
      <c r="E52" s="20"/>
      <c r="F52" s="20"/>
      <c r="G52" s="21"/>
      <c r="H52" s="49"/>
    </row>
    <row r="53" spans="1:15">
      <c r="A53" s="47"/>
      <c r="B53" s="48"/>
      <c r="C53" s="19"/>
      <c r="D53" s="20"/>
      <c r="E53" s="20"/>
      <c r="F53" s="20"/>
      <c r="G53" s="21"/>
      <c r="H53" s="22"/>
      <c r="J53" s="3"/>
      <c r="K53" s="3"/>
      <c r="L53" s="3"/>
    </row>
    <row r="54" spans="1:15">
      <c r="A54" s="47"/>
      <c r="B54" s="48"/>
      <c r="C54" s="19"/>
      <c r="D54" s="20"/>
      <c r="E54" s="20"/>
      <c r="F54" s="20"/>
      <c r="G54" s="21"/>
      <c r="H54" s="22"/>
      <c r="J54" s="3"/>
      <c r="K54" s="3"/>
      <c r="L54" s="3"/>
    </row>
    <row r="55" spans="1:15">
      <c r="A55" s="47"/>
      <c r="B55" s="48"/>
      <c r="C55" s="19"/>
      <c r="D55" s="20"/>
      <c r="E55" s="70">
        <f>SUM(E43:E54)</f>
        <v>0</v>
      </c>
      <c r="F55" s="20"/>
      <c r="G55" s="21"/>
      <c r="H55" s="22"/>
      <c r="J55" s="3"/>
      <c r="K55" s="3"/>
      <c r="L55" s="3"/>
      <c r="M55" s="3"/>
      <c r="N55" s="81"/>
      <c r="O55" s="3"/>
    </row>
    <row r="56" spans="1:15" ht="15.75" thickBot="1">
      <c r="A56" s="56"/>
      <c r="B56" s="57"/>
      <c r="C56" s="71"/>
      <c r="D56" s="72"/>
      <c r="E56" s="36"/>
      <c r="F56" s="36"/>
      <c r="G56" s="36"/>
      <c r="H56" s="38"/>
      <c r="J56" s="3"/>
      <c r="K56" s="3"/>
      <c r="L56" s="3"/>
      <c r="M56" s="3"/>
      <c r="N56" s="81"/>
      <c r="O56" s="3"/>
    </row>
    <row r="57" spans="1:15" ht="15.75" thickBot="1">
      <c r="A57" s="39" t="s">
        <v>52</v>
      </c>
      <c r="B57" s="40">
        <f>B42+1</f>
        <v>45700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  <c r="J57" s="3"/>
      <c r="K57" s="3"/>
      <c r="L57" s="3"/>
      <c r="M57" s="3"/>
      <c r="N57" s="81"/>
      <c r="O57" s="3"/>
    </row>
    <row r="58" spans="1:15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  <c r="M58" s="3"/>
      <c r="N58" s="81"/>
      <c r="O58" s="3"/>
    </row>
    <row r="59" spans="1:15">
      <c r="A59" s="12"/>
      <c r="B59" s="125"/>
      <c r="C59" s="19" t="s">
        <v>48</v>
      </c>
      <c r="D59" s="65" t="s">
        <v>61</v>
      </c>
      <c r="E59" s="20">
        <v>192</v>
      </c>
      <c r="F59" s="20" t="s">
        <v>70</v>
      </c>
      <c r="G59" s="21">
        <v>46069</v>
      </c>
      <c r="H59" s="49">
        <v>13438147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62</v>
      </c>
      <c r="E60" s="20">
        <v>192</v>
      </c>
      <c r="F60" s="20" t="s">
        <v>70</v>
      </c>
      <c r="G60" s="21">
        <v>46069</v>
      </c>
      <c r="H60" s="49">
        <v>13438147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65" t="s">
        <v>71</v>
      </c>
      <c r="E61" s="20">
        <v>240</v>
      </c>
      <c r="F61" s="20" t="s">
        <v>70</v>
      </c>
      <c r="G61" s="21">
        <v>46069</v>
      </c>
      <c r="H61" s="49">
        <v>13438147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72</v>
      </c>
      <c r="E62" s="20">
        <v>240</v>
      </c>
      <c r="F62" s="20" t="s">
        <v>70</v>
      </c>
      <c r="G62" s="21">
        <v>46069</v>
      </c>
      <c r="H62" s="49">
        <v>13438147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96</v>
      </c>
      <c r="F66" s="90" t="s">
        <v>70</v>
      </c>
      <c r="G66" s="91">
        <v>46069</v>
      </c>
      <c r="H66" s="93">
        <v>13438147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94</v>
      </c>
      <c r="D68" s="90" t="s">
        <v>102</v>
      </c>
      <c r="E68" s="90">
        <v>162</v>
      </c>
      <c r="F68" s="90" t="s">
        <v>165</v>
      </c>
      <c r="G68" s="91">
        <v>46069</v>
      </c>
      <c r="H68" s="93">
        <v>114082</v>
      </c>
    </row>
    <row r="69" spans="1:8" s="4" customFormat="1" ht="12.75">
      <c r="A69" s="47"/>
      <c r="B69" s="48"/>
      <c r="C69" s="149" t="s">
        <v>94</v>
      </c>
      <c r="D69" s="135" t="s">
        <v>80</v>
      </c>
      <c r="E69" s="135">
        <v>270</v>
      </c>
      <c r="F69" s="90" t="s">
        <v>88</v>
      </c>
      <c r="G69" s="91">
        <v>46069</v>
      </c>
      <c r="H69" s="93">
        <v>248874</v>
      </c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/>
      <c r="D71" s="20"/>
      <c r="E71" s="70">
        <f>SUM(E58:E70)</f>
        <v>1392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B57+1</f>
        <v>45701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140</v>
      </c>
      <c r="D75" s="20" t="s">
        <v>63</v>
      </c>
      <c r="E75" s="123">
        <v>240</v>
      </c>
      <c r="F75" s="123" t="s">
        <v>140</v>
      </c>
      <c r="G75" s="124">
        <v>46069</v>
      </c>
      <c r="H75" s="126">
        <v>126010823</v>
      </c>
    </row>
    <row r="76" spans="1:8" s="4" customFormat="1" ht="12.75">
      <c r="A76" s="47"/>
      <c r="B76" s="48"/>
      <c r="C76" s="19" t="s">
        <v>140</v>
      </c>
      <c r="D76" s="20" t="s">
        <v>64</v>
      </c>
      <c r="E76" s="20">
        <v>384</v>
      </c>
      <c r="F76" s="123" t="s">
        <v>140</v>
      </c>
      <c r="G76" s="124">
        <v>46069</v>
      </c>
      <c r="H76" s="126">
        <v>126010823</v>
      </c>
    </row>
    <row r="77" spans="1:8" s="4" customFormat="1" ht="12.75">
      <c r="A77" s="47"/>
      <c r="B77" s="48"/>
      <c r="C77" s="19" t="s">
        <v>140</v>
      </c>
      <c r="D77" s="20" t="s">
        <v>68</v>
      </c>
      <c r="E77" s="20">
        <v>312</v>
      </c>
      <c r="F77" s="123" t="s">
        <v>140</v>
      </c>
      <c r="G77" s="124">
        <v>46069</v>
      </c>
      <c r="H77" s="126">
        <v>126010823</v>
      </c>
    </row>
    <row r="78" spans="1:8" s="4" customFormat="1" ht="12.75">
      <c r="A78" s="47"/>
      <c r="B78" s="48"/>
      <c r="C78" s="19" t="s">
        <v>140</v>
      </c>
      <c r="D78" s="20" t="s">
        <v>310</v>
      </c>
      <c r="E78" s="20">
        <v>216</v>
      </c>
      <c r="F78" s="123" t="s">
        <v>140</v>
      </c>
      <c r="G78" s="124">
        <v>46069</v>
      </c>
      <c r="H78" s="126">
        <v>126010823</v>
      </c>
    </row>
    <row r="79" spans="1:8" s="4" customFormat="1" ht="12.75">
      <c r="A79" s="47"/>
      <c r="B79" s="48"/>
      <c r="C79" s="19" t="s">
        <v>140</v>
      </c>
      <c r="D79" s="65" t="s">
        <v>61</v>
      </c>
      <c r="E79" s="20">
        <v>192</v>
      </c>
      <c r="F79" s="123" t="s">
        <v>140</v>
      </c>
      <c r="G79" s="124">
        <v>46069</v>
      </c>
      <c r="H79" s="126">
        <v>126010823</v>
      </c>
    </row>
    <row r="80" spans="1:8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89" t="s">
        <v>94</v>
      </c>
      <c r="D81" s="90" t="s">
        <v>102</v>
      </c>
      <c r="E81" s="90">
        <v>54</v>
      </c>
      <c r="F81" s="90" t="s">
        <v>165</v>
      </c>
      <c r="G81" s="91">
        <v>46069</v>
      </c>
      <c r="H81" s="93">
        <v>114082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1398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45702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>
      <c r="A98" s="47"/>
      <c r="B98" s="48"/>
      <c r="C98" s="19"/>
      <c r="D98" s="20"/>
      <c r="E98" s="20"/>
      <c r="F98" s="20"/>
      <c r="G98" s="21"/>
      <c r="H98" s="22"/>
    </row>
    <row r="99" spans="1:8">
      <c r="A99" s="47"/>
      <c r="B99" s="48"/>
      <c r="C99" s="19"/>
      <c r="D99" s="20"/>
      <c r="E99" s="20"/>
      <c r="F99" s="20"/>
      <c r="G99" s="21"/>
      <c r="H99" s="22"/>
    </row>
    <row r="100" spans="1:8">
      <c r="A100" s="47"/>
      <c r="B100" s="48"/>
      <c r="C100" s="19"/>
      <c r="D100" s="20"/>
      <c r="E100" s="20"/>
      <c r="F100" s="20"/>
      <c r="G100" s="21"/>
      <c r="H100" s="22"/>
    </row>
    <row r="101" spans="1:8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ht="15.7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6AF-34E1-4F6F-A490-7D627695BB32}">
  <dimension ref="A3:P97"/>
  <sheetViews>
    <sheetView workbookViewId="0">
      <selection activeCell="D37" sqref="D3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140</v>
      </c>
      <c r="D6" s="15" t="s">
        <v>61</v>
      </c>
      <c r="E6" s="15">
        <v>192</v>
      </c>
      <c r="F6" s="15" t="s">
        <v>140</v>
      </c>
      <c r="G6" s="16">
        <v>46069</v>
      </c>
      <c r="H6" s="17">
        <v>126010823</v>
      </c>
    </row>
    <row r="7" spans="1:13" ht="15.75" customHeight="1">
      <c r="A7" s="12"/>
      <c r="B7" s="18"/>
      <c r="C7" s="122" t="s">
        <v>3</v>
      </c>
      <c r="D7" s="123" t="s">
        <v>86</v>
      </c>
      <c r="E7" s="123">
        <v>240</v>
      </c>
      <c r="F7" s="20" t="s">
        <v>148</v>
      </c>
      <c r="G7" s="21">
        <v>46069</v>
      </c>
      <c r="H7" s="49">
        <v>75334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74</v>
      </c>
      <c r="E9" s="20">
        <v>25</v>
      </c>
      <c r="F9" s="20" t="s">
        <v>151</v>
      </c>
      <c r="G9" s="21">
        <v>46070</v>
      </c>
      <c r="H9" s="49">
        <v>1272026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65" t="s">
        <v>63</v>
      </c>
      <c r="E10" s="20">
        <v>60</v>
      </c>
      <c r="F10" s="20" t="s">
        <v>151</v>
      </c>
      <c r="G10" s="21">
        <v>46070</v>
      </c>
      <c r="H10" s="49">
        <v>1272026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65" t="s">
        <v>81</v>
      </c>
      <c r="E11" s="20">
        <v>30</v>
      </c>
      <c r="F11" s="20" t="s">
        <v>151</v>
      </c>
      <c r="G11" s="21">
        <v>46070</v>
      </c>
      <c r="H11" s="49">
        <v>1272026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150</v>
      </c>
      <c r="D12" s="65" t="s">
        <v>67</v>
      </c>
      <c r="E12" s="20">
        <v>30</v>
      </c>
      <c r="F12" s="20" t="s">
        <v>151</v>
      </c>
      <c r="G12" s="21">
        <v>46070</v>
      </c>
      <c r="H12" s="49">
        <v>1272026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150</v>
      </c>
      <c r="D13" s="65" t="s">
        <v>64</v>
      </c>
      <c r="E13" s="20">
        <v>90</v>
      </c>
      <c r="F13" s="20" t="s">
        <v>151</v>
      </c>
      <c r="G13" s="21">
        <v>46070</v>
      </c>
      <c r="H13" s="49">
        <v>1272026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57</v>
      </c>
      <c r="D15" s="65" t="s">
        <v>58</v>
      </c>
      <c r="E15" s="20">
        <v>480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955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65" t="s">
        <v>175</v>
      </c>
      <c r="E25" s="20">
        <v>192</v>
      </c>
      <c r="F25" s="123" t="s">
        <v>59</v>
      </c>
      <c r="G25" s="124">
        <v>46073</v>
      </c>
      <c r="H25" s="126">
        <v>330756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22" t="s">
        <v>53</v>
      </c>
      <c r="D26" s="123" t="s">
        <v>63</v>
      </c>
      <c r="E26" s="123">
        <v>384</v>
      </c>
      <c r="F26" s="123" t="s">
        <v>59</v>
      </c>
      <c r="G26" s="124">
        <v>46073</v>
      </c>
      <c r="H26" s="126">
        <v>330756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53</v>
      </c>
      <c r="D27" s="20" t="s">
        <v>64</v>
      </c>
      <c r="E27" s="20">
        <v>384</v>
      </c>
      <c r="F27" s="123" t="s">
        <v>59</v>
      </c>
      <c r="G27" s="124">
        <v>46073</v>
      </c>
      <c r="H27" s="126">
        <v>330756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67</v>
      </c>
      <c r="E28" s="20">
        <v>144</v>
      </c>
      <c r="F28" s="123" t="s">
        <v>59</v>
      </c>
      <c r="G28" s="124">
        <v>46073</v>
      </c>
      <c r="H28" s="126">
        <v>330756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53</v>
      </c>
      <c r="D29" s="65" t="s">
        <v>233</v>
      </c>
      <c r="E29" s="20">
        <v>144</v>
      </c>
      <c r="F29" s="123" t="s">
        <v>59</v>
      </c>
      <c r="G29" s="124">
        <v>46073</v>
      </c>
      <c r="H29" s="126">
        <v>330756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20" t="s">
        <v>61</v>
      </c>
      <c r="E56" s="20">
        <v>96</v>
      </c>
      <c r="F56" s="20" t="s">
        <v>77</v>
      </c>
      <c r="G56" s="21">
        <v>46078</v>
      </c>
      <c r="H56" s="49">
        <v>40123259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61</v>
      </c>
      <c r="E57" s="20">
        <v>528</v>
      </c>
      <c r="F57" s="20" t="s">
        <v>70</v>
      </c>
      <c r="G57" s="21">
        <v>46076</v>
      </c>
      <c r="H57" s="49">
        <v>13467092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288</v>
      </c>
      <c r="F58" s="20" t="s">
        <v>70</v>
      </c>
      <c r="G58" s="21">
        <v>46076</v>
      </c>
      <c r="H58" s="49">
        <v>13467092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76</v>
      </c>
      <c r="E59" s="20">
        <v>48</v>
      </c>
      <c r="F59" s="20" t="s">
        <v>77</v>
      </c>
      <c r="G59" s="21">
        <v>46078</v>
      </c>
      <c r="H59" s="49">
        <v>40123259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71</v>
      </c>
      <c r="E60" s="20">
        <v>480</v>
      </c>
      <c r="F60" s="20" t="s">
        <v>70</v>
      </c>
      <c r="G60" s="21">
        <v>46078</v>
      </c>
      <c r="H60" s="49">
        <v>13467053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 t="s">
        <v>75</v>
      </c>
      <c r="D71" s="65" t="s">
        <v>107</v>
      </c>
      <c r="E71" s="20">
        <v>48</v>
      </c>
      <c r="F71" s="20" t="s">
        <v>77</v>
      </c>
      <c r="G71" s="21">
        <v>46078</v>
      </c>
      <c r="H71" s="49">
        <v>40123259</v>
      </c>
    </row>
    <row r="72" spans="1:8" s="4" customFormat="1" ht="12.75">
      <c r="A72" s="47"/>
      <c r="B72" s="48"/>
      <c r="C72" s="19" t="s">
        <v>75</v>
      </c>
      <c r="D72" s="65" t="s">
        <v>64</v>
      </c>
      <c r="E72" s="20">
        <v>192</v>
      </c>
      <c r="F72" s="20" t="s">
        <v>77</v>
      </c>
      <c r="G72" s="21">
        <v>46078</v>
      </c>
      <c r="H72" s="49">
        <v>40123259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336</v>
      </c>
      <c r="F73" s="20" t="s">
        <v>70</v>
      </c>
      <c r="G73" s="21">
        <v>46076</v>
      </c>
      <c r="H73" s="49">
        <v>13467092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384</v>
      </c>
      <c r="F74" s="90" t="s">
        <v>70</v>
      </c>
      <c r="G74" s="91">
        <v>46078</v>
      </c>
      <c r="H74" s="93">
        <v>13467053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288</v>
      </c>
      <c r="F75" s="90" t="s">
        <v>70</v>
      </c>
      <c r="G75" s="91">
        <v>46078</v>
      </c>
      <c r="H75" s="93">
        <v>13467053</v>
      </c>
    </row>
    <row r="76" spans="1:8" s="4" customFormat="1" ht="12.75">
      <c r="A76" s="56"/>
      <c r="B76" s="57"/>
      <c r="C76" s="89" t="s">
        <v>75</v>
      </c>
      <c r="D76" s="90" t="s">
        <v>65</v>
      </c>
      <c r="E76" s="90">
        <v>48</v>
      </c>
      <c r="F76" s="90" t="s">
        <v>77</v>
      </c>
      <c r="G76" s="91">
        <v>46078</v>
      </c>
      <c r="H76" s="93">
        <v>40123259</v>
      </c>
    </row>
    <row r="77" spans="1:8" s="4" customFormat="1" ht="12.75">
      <c r="A77" s="56"/>
      <c r="B77" s="57"/>
      <c r="C77" s="89" t="s">
        <v>75</v>
      </c>
      <c r="D77" s="90" t="s">
        <v>80</v>
      </c>
      <c r="E77" s="90">
        <v>96</v>
      </c>
      <c r="F77" s="90" t="s">
        <v>77</v>
      </c>
      <c r="G77" s="91">
        <v>46078</v>
      </c>
      <c r="H77" s="92">
        <v>40123259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45709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3845-433E-45EB-9218-F84507DB39B6}">
  <dimension ref="A3:P104"/>
  <sheetViews>
    <sheetView topLeftCell="A21" workbookViewId="0">
      <selection activeCell="C81" sqref="C81:H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65" t="s">
        <v>76</v>
      </c>
      <c r="E7" s="20">
        <v>105</v>
      </c>
      <c r="F7" s="20" t="s">
        <v>77</v>
      </c>
      <c r="G7" s="21">
        <v>46078</v>
      </c>
      <c r="H7" s="49">
        <v>40123259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65" t="s">
        <v>68</v>
      </c>
      <c r="E8" s="20">
        <v>105</v>
      </c>
      <c r="F8" s="20" t="s">
        <v>77</v>
      </c>
      <c r="G8" s="21">
        <v>46078</v>
      </c>
      <c r="H8" s="49">
        <v>40123259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65" t="s">
        <v>78</v>
      </c>
      <c r="E9" s="20">
        <v>105</v>
      </c>
      <c r="F9" s="20" t="s">
        <v>77</v>
      </c>
      <c r="G9" s="21">
        <v>46078</v>
      </c>
      <c r="H9" s="49">
        <v>40123259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78</v>
      </c>
      <c r="E11" s="20">
        <v>48</v>
      </c>
      <c r="F11" s="20" t="s">
        <v>77</v>
      </c>
      <c r="G11" s="21">
        <v>46078</v>
      </c>
      <c r="H11" s="49">
        <v>40123259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144</v>
      </c>
      <c r="F12" s="20" t="s">
        <v>77</v>
      </c>
      <c r="G12" s="21">
        <v>46078</v>
      </c>
      <c r="H12" s="49">
        <v>40123259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63</v>
      </c>
      <c r="E13" s="20">
        <v>96</v>
      </c>
      <c r="F13" s="20" t="s">
        <v>77</v>
      </c>
      <c r="G13" s="21">
        <v>46078</v>
      </c>
      <c r="H13" s="49">
        <v>40123259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 t="s">
        <v>53</v>
      </c>
      <c r="D15" s="123" t="s">
        <v>318</v>
      </c>
      <c r="E15" s="123">
        <v>96</v>
      </c>
      <c r="F15" s="123" t="s">
        <v>59</v>
      </c>
      <c r="G15" s="124">
        <v>46083</v>
      </c>
      <c r="H15" s="126">
        <v>330926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319</v>
      </c>
      <c r="E16" s="20">
        <v>96</v>
      </c>
      <c r="F16" s="123" t="s">
        <v>59</v>
      </c>
      <c r="G16" s="124">
        <v>46083</v>
      </c>
      <c r="H16" s="126">
        <v>330926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123" t="s">
        <v>59</v>
      </c>
      <c r="G17" s="124">
        <v>46083</v>
      </c>
      <c r="H17" s="126">
        <v>330926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133</v>
      </c>
      <c r="E18" s="20">
        <v>384</v>
      </c>
      <c r="F18" s="20" t="s">
        <v>59</v>
      </c>
      <c r="G18" s="21">
        <v>46087</v>
      </c>
      <c r="H18" s="49">
        <v>331286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 t="s">
        <v>53</v>
      </c>
      <c r="D24" s="15" t="s">
        <v>318</v>
      </c>
      <c r="E24" s="15">
        <v>12</v>
      </c>
      <c r="F24" s="15" t="s">
        <v>59</v>
      </c>
      <c r="G24" s="16">
        <v>46083</v>
      </c>
      <c r="H24" s="17">
        <v>330926</v>
      </c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64</v>
      </c>
      <c r="E25" s="20">
        <v>384</v>
      </c>
      <c r="F25" s="123" t="s">
        <v>59</v>
      </c>
      <c r="G25" s="124">
        <v>46083</v>
      </c>
      <c r="H25" s="126">
        <v>330926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20" t="s">
        <v>64</v>
      </c>
      <c r="E26" s="20">
        <v>480</v>
      </c>
      <c r="F26" s="20" t="s">
        <v>59</v>
      </c>
      <c r="G26" s="21">
        <v>46087</v>
      </c>
      <c r="H26" s="49">
        <v>331286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22" t="s">
        <v>53</v>
      </c>
      <c r="D27" s="123" t="s">
        <v>61</v>
      </c>
      <c r="E27" s="123">
        <v>384</v>
      </c>
      <c r="F27" s="20" t="s">
        <v>59</v>
      </c>
      <c r="G27" s="21">
        <v>46087</v>
      </c>
      <c r="H27" s="49">
        <v>331082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133</v>
      </c>
      <c r="E28" s="20">
        <v>134</v>
      </c>
      <c r="F28" s="20" t="s">
        <v>59</v>
      </c>
      <c r="G28" s="21">
        <v>46087</v>
      </c>
      <c r="H28" s="49">
        <v>331286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123"/>
      <c r="G35" s="124"/>
      <c r="H35" s="126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1394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75</v>
      </c>
      <c r="D54" s="20" t="s">
        <v>61</v>
      </c>
      <c r="E54" s="123">
        <v>96</v>
      </c>
      <c r="F54" s="123" t="s">
        <v>77</v>
      </c>
      <c r="G54" s="124">
        <v>46080</v>
      </c>
      <c r="H54" s="126">
        <v>40123803</v>
      </c>
      <c r="J54" s="3"/>
      <c r="K54" s="3"/>
      <c r="L54" s="3"/>
    </row>
    <row r="55" spans="1:15">
      <c r="A55" s="47"/>
      <c r="B55" s="48"/>
      <c r="C55" s="122" t="s">
        <v>75</v>
      </c>
      <c r="D55" s="20" t="s">
        <v>76</v>
      </c>
      <c r="E55" s="123">
        <v>144</v>
      </c>
      <c r="F55" s="123" t="s">
        <v>77</v>
      </c>
      <c r="G55" s="124">
        <v>46080</v>
      </c>
      <c r="H55" s="126">
        <v>40123803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75</v>
      </c>
      <c r="D56" s="20" t="s">
        <v>63</v>
      </c>
      <c r="E56" s="123">
        <v>144</v>
      </c>
      <c r="F56" s="123" t="s">
        <v>77</v>
      </c>
      <c r="G56" s="124">
        <v>46080</v>
      </c>
      <c r="H56" s="126">
        <v>40123803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71</v>
      </c>
      <c r="E57" s="20">
        <v>96</v>
      </c>
      <c r="F57" s="123" t="s">
        <v>77</v>
      </c>
      <c r="G57" s="124">
        <v>46080</v>
      </c>
      <c r="H57" s="126">
        <v>40123803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84</v>
      </c>
      <c r="E58" s="20">
        <v>96</v>
      </c>
      <c r="F58" s="123" t="s">
        <v>77</v>
      </c>
      <c r="G58" s="124">
        <v>46080</v>
      </c>
      <c r="H58" s="126">
        <v>40123803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176</v>
      </c>
      <c r="E59" s="20">
        <v>48</v>
      </c>
      <c r="F59" s="123" t="s">
        <v>77</v>
      </c>
      <c r="G59" s="124">
        <v>46080</v>
      </c>
      <c r="H59" s="126">
        <v>40123803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78</v>
      </c>
      <c r="E60" s="20">
        <v>144</v>
      </c>
      <c r="F60" s="123" t="s">
        <v>77</v>
      </c>
      <c r="G60" s="124">
        <v>46080</v>
      </c>
      <c r="H60" s="126">
        <v>40123803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79</v>
      </c>
      <c r="E61" s="20">
        <v>96</v>
      </c>
      <c r="F61" s="123" t="s">
        <v>77</v>
      </c>
      <c r="G61" s="124">
        <v>46080</v>
      </c>
      <c r="H61" s="126">
        <v>40123803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68</v>
      </c>
      <c r="E62" s="20">
        <v>96</v>
      </c>
      <c r="F62" s="123" t="s">
        <v>77</v>
      </c>
      <c r="G62" s="124">
        <v>46080</v>
      </c>
      <c r="H62" s="126">
        <v>40123803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64</v>
      </c>
      <c r="E63" s="20">
        <v>96</v>
      </c>
      <c r="F63" s="123" t="s">
        <v>77</v>
      </c>
      <c r="G63" s="124">
        <v>46080</v>
      </c>
      <c r="H63" s="126">
        <v>40123803</v>
      </c>
    </row>
    <row r="64" spans="1:15" s="4" customFormat="1" ht="12.75">
      <c r="A64" s="47"/>
      <c r="B64" s="48"/>
      <c r="C64" s="89" t="s">
        <v>75</v>
      </c>
      <c r="D64" s="90" t="s">
        <v>80</v>
      </c>
      <c r="E64" s="90">
        <v>48</v>
      </c>
      <c r="F64" s="135" t="s">
        <v>77</v>
      </c>
      <c r="G64" s="136">
        <v>46080</v>
      </c>
      <c r="H64" s="137">
        <v>40123803</v>
      </c>
    </row>
    <row r="65" spans="1:8" s="4" customFormat="1" ht="12.75">
      <c r="A65" s="47"/>
      <c r="B65" s="48"/>
      <c r="C65" s="89" t="s">
        <v>75</v>
      </c>
      <c r="D65" s="90" t="s">
        <v>83</v>
      </c>
      <c r="E65" s="90">
        <v>48</v>
      </c>
      <c r="F65" s="135" t="s">
        <v>77</v>
      </c>
      <c r="G65" s="136">
        <v>46080</v>
      </c>
      <c r="H65" s="137">
        <v>40123803</v>
      </c>
    </row>
    <row r="66" spans="1:8" s="4" customFormat="1" ht="12.75">
      <c r="A66" s="47"/>
      <c r="B66" s="48"/>
      <c r="C66" s="89" t="s">
        <v>75</v>
      </c>
      <c r="D66" s="90" t="s">
        <v>321</v>
      </c>
      <c r="E66" s="90">
        <v>96</v>
      </c>
      <c r="F66" s="135" t="s">
        <v>77</v>
      </c>
      <c r="G66" s="136">
        <v>46080</v>
      </c>
      <c r="H66" s="137">
        <v>40123803</v>
      </c>
    </row>
    <row r="67" spans="1:8" s="4" customFormat="1" ht="12.75">
      <c r="A67" s="47"/>
      <c r="B67" s="48"/>
      <c r="C67" s="19"/>
      <c r="D67" s="20"/>
      <c r="E67" s="20"/>
      <c r="F67" s="123"/>
      <c r="G67" s="124"/>
      <c r="H67" s="126"/>
    </row>
    <row r="68" spans="1:8" s="4" customFormat="1" ht="12.75">
      <c r="A68" s="47"/>
      <c r="B68" s="48"/>
      <c r="C68" s="19"/>
      <c r="D68" s="20"/>
      <c r="E68" s="20"/>
      <c r="F68" s="123"/>
      <c r="G68" s="124"/>
      <c r="H68" s="126"/>
    </row>
    <row r="69" spans="1:8" s="4" customFormat="1" ht="12.75">
      <c r="A69" s="47"/>
      <c r="B69" s="48"/>
      <c r="C69" s="89" t="s">
        <v>66</v>
      </c>
      <c r="D69" s="90" t="s">
        <v>80</v>
      </c>
      <c r="E69" s="90">
        <v>120</v>
      </c>
      <c r="F69" s="90" t="s">
        <v>88</v>
      </c>
      <c r="G69" s="91">
        <v>46085</v>
      </c>
      <c r="H69" s="93">
        <v>249010</v>
      </c>
    </row>
    <row r="70" spans="1:8" s="4" customFormat="1" ht="12.75">
      <c r="A70" s="47"/>
      <c r="B70" s="48"/>
      <c r="C70" s="19"/>
      <c r="D70" s="20"/>
      <c r="E70" s="20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70">
        <f>SUM(E53:E70)</f>
        <v>1368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B52+1</f>
        <v>45715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3</v>
      </c>
      <c r="D75" s="20" t="s">
        <v>86</v>
      </c>
      <c r="E75" s="123">
        <v>480</v>
      </c>
      <c r="F75" s="123" t="s">
        <v>148</v>
      </c>
      <c r="G75" s="124">
        <v>46083</v>
      </c>
      <c r="H75" s="126">
        <v>75555</v>
      </c>
    </row>
    <row r="76" spans="1:8" s="4" customFormat="1" ht="12.75">
      <c r="A76" s="47"/>
      <c r="B76" s="48"/>
      <c r="C76" s="122"/>
      <c r="D76" s="20"/>
      <c r="E76" s="123"/>
      <c r="F76" s="123"/>
      <c r="G76" s="124"/>
      <c r="H76" s="126"/>
    </row>
    <row r="77" spans="1:8" s="4" customFormat="1" ht="12.75">
      <c r="A77" s="47"/>
      <c r="B77" s="48"/>
      <c r="C77" s="122" t="s">
        <v>320</v>
      </c>
      <c r="D77" s="20" t="s">
        <v>282</v>
      </c>
      <c r="E77" s="123">
        <v>60</v>
      </c>
      <c r="F77" s="123" t="s">
        <v>73</v>
      </c>
      <c r="G77" s="124">
        <v>46080</v>
      </c>
      <c r="H77" s="126">
        <v>205.26</v>
      </c>
    </row>
    <row r="78" spans="1:8" s="4" customFormat="1" ht="12.75">
      <c r="A78" s="47"/>
      <c r="B78" s="48"/>
      <c r="C78" s="122" t="s">
        <v>73</v>
      </c>
      <c r="D78" s="20" t="s">
        <v>74</v>
      </c>
      <c r="E78" s="123">
        <v>150</v>
      </c>
      <c r="F78" s="123" t="s">
        <v>73</v>
      </c>
      <c r="G78" s="124">
        <v>46080</v>
      </c>
      <c r="H78" s="126">
        <v>205.26</v>
      </c>
    </row>
    <row r="79" spans="1:8" s="4" customFormat="1" ht="12.75">
      <c r="A79" s="47"/>
      <c r="B79" s="48"/>
      <c r="C79" s="19" t="s">
        <v>73</v>
      </c>
      <c r="D79" s="20" t="s">
        <v>63</v>
      </c>
      <c r="E79" s="20">
        <v>120</v>
      </c>
      <c r="F79" s="123" t="s">
        <v>73</v>
      </c>
      <c r="G79" s="124">
        <v>46080</v>
      </c>
      <c r="H79" s="126">
        <v>205.26</v>
      </c>
    </row>
    <row r="80" spans="1:8" s="4" customFormat="1" ht="12.75">
      <c r="A80" s="47"/>
      <c r="B80" s="48"/>
      <c r="C80" s="19" t="s">
        <v>73</v>
      </c>
      <c r="D80" s="20" t="s">
        <v>67</v>
      </c>
      <c r="E80" s="20">
        <v>120</v>
      </c>
      <c r="F80" s="123" t="s">
        <v>73</v>
      </c>
      <c r="G80" s="124">
        <v>46080</v>
      </c>
      <c r="H80" s="126">
        <v>205.26</v>
      </c>
    </row>
    <row r="81" spans="1:8" s="4" customFormat="1" ht="12.75">
      <c r="A81" s="56"/>
      <c r="B81" s="57"/>
      <c r="C81" s="19" t="s">
        <v>73</v>
      </c>
      <c r="D81" s="20" t="s">
        <v>64</v>
      </c>
      <c r="E81" s="20">
        <v>390</v>
      </c>
      <c r="F81" s="123" t="s">
        <v>73</v>
      </c>
      <c r="G81" s="124">
        <v>46080</v>
      </c>
      <c r="H81" s="126">
        <v>205.26</v>
      </c>
    </row>
    <row r="82" spans="1:8" s="4" customFormat="1" ht="12.75">
      <c r="A82" s="56"/>
      <c r="B82" s="57"/>
      <c r="C82" s="19" t="s">
        <v>73</v>
      </c>
      <c r="D82" s="20" t="s">
        <v>245</v>
      </c>
      <c r="E82" s="20">
        <v>60</v>
      </c>
      <c r="F82" s="123" t="s">
        <v>73</v>
      </c>
      <c r="G82" s="124">
        <v>46080</v>
      </c>
      <c r="H82" s="126">
        <v>205.26</v>
      </c>
    </row>
    <row r="83" spans="1:8" s="4" customFormat="1" ht="12.75">
      <c r="A83" s="56"/>
      <c r="B83" s="57"/>
      <c r="C83" s="19"/>
      <c r="D83" s="20"/>
      <c r="E83" s="20"/>
      <c r="F83" s="123"/>
      <c r="G83" s="124"/>
      <c r="H83" s="126"/>
    </row>
    <row r="84" spans="1:8" s="4" customFormat="1" ht="12.75">
      <c r="A84" s="56"/>
      <c r="B84" s="57"/>
      <c r="C84" s="19"/>
      <c r="D84" s="20"/>
      <c r="E84" s="20"/>
      <c r="F84" s="123"/>
      <c r="G84" s="124"/>
      <c r="H84" s="126"/>
    </row>
    <row r="85" spans="1:8" s="4" customFormat="1" ht="12.75">
      <c r="A85" s="56"/>
      <c r="B85" s="57"/>
      <c r="C85" s="19"/>
      <c r="D85" s="20"/>
      <c r="E85" s="20"/>
      <c r="F85" s="123"/>
      <c r="G85" s="124"/>
      <c r="H85" s="126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3.5" thickBot="1">
      <c r="A87" s="56"/>
      <c r="B87" s="57"/>
      <c r="C87" s="19"/>
      <c r="D87" s="20"/>
      <c r="E87" s="20"/>
      <c r="F87" s="20"/>
      <c r="G87" s="20"/>
      <c r="H87" s="22"/>
    </row>
    <row r="88" spans="1:8" s="4" customFormat="1" ht="13.5" thickBot="1">
      <c r="A88" s="39"/>
      <c r="B88" s="40"/>
      <c r="C88" s="35"/>
      <c r="D88" s="36"/>
      <c r="E88" s="58">
        <f>SUM(E74:E87)</f>
        <v>1380</v>
      </c>
      <c r="F88" s="36"/>
      <c r="G88" s="36"/>
      <c r="H88" s="38"/>
    </row>
    <row r="89" spans="1:8" s="4" customFormat="1" ht="13.5" thickBot="1">
      <c r="A89" s="7" t="s">
        <v>55</v>
      </c>
      <c r="B89" s="8">
        <f>B73+1</f>
        <v>45716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8AFB-B7C7-489C-9E1B-044F722F9AEF}">
  <dimension ref="A3:P97"/>
  <sheetViews>
    <sheetView topLeftCell="A5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46084</v>
      </c>
      <c r="H9" s="49">
        <v>331081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59</v>
      </c>
      <c r="G10" s="21">
        <v>46084</v>
      </c>
      <c r="H10" s="49">
        <v>331081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46084</v>
      </c>
      <c r="H11" s="49">
        <v>331081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66</v>
      </c>
      <c r="D25" s="20" t="s">
        <v>81</v>
      </c>
      <c r="E25" s="20">
        <v>60</v>
      </c>
      <c r="F25" s="20" t="s">
        <v>88</v>
      </c>
      <c r="G25" s="21">
        <v>46085</v>
      </c>
      <c r="H25" s="49">
        <v>249010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66</v>
      </c>
      <c r="D26" s="20" t="s">
        <v>67</v>
      </c>
      <c r="E26" s="20">
        <v>180</v>
      </c>
      <c r="F26" s="20" t="s">
        <v>88</v>
      </c>
      <c r="G26" s="21">
        <v>46085</v>
      </c>
      <c r="H26" s="49">
        <v>249010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20" t="s">
        <v>63</v>
      </c>
      <c r="E27" s="20">
        <v>300</v>
      </c>
      <c r="F27" s="20" t="s">
        <v>88</v>
      </c>
      <c r="G27" s="21">
        <v>46085</v>
      </c>
      <c r="H27" s="49">
        <v>249010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22" t="s">
        <v>66</v>
      </c>
      <c r="D28" s="20" t="s">
        <v>64</v>
      </c>
      <c r="E28" s="123">
        <v>360</v>
      </c>
      <c r="F28" s="20" t="s">
        <v>88</v>
      </c>
      <c r="G28" s="21">
        <v>46085</v>
      </c>
      <c r="H28" s="49">
        <v>249010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66</v>
      </c>
      <c r="D29" s="20" t="s">
        <v>68</v>
      </c>
      <c r="E29" s="20">
        <v>180</v>
      </c>
      <c r="F29" s="20" t="s">
        <v>88</v>
      </c>
      <c r="G29" s="21">
        <v>46085</v>
      </c>
      <c r="H29" s="49">
        <v>249010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66</v>
      </c>
      <c r="D30" s="20" t="s">
        <v>69</v>
      </c>
      <c r="E30" s="20">
        <v>120</v>
      </c>
      <c r="F30" s="20" t="s">
        <v>88</v>
      </c>
      <c r="G30" s="21">
        <v>46085</v>
      </c>
      <c r="H30" s="49">
        <v>249010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73</v>
      </c>
      <c r="D32" s="20" t="s">
        <v>245</v>
      </c>
      <c r="E32" s="20">
        <v>60</v>
      </c>
      <c r="F32" s="123" t="s">
        <v>73</v>
      </c>
      <c r="G32" s="124">
        <v>46080</v>
      </c>
      <c r="H32" s="126">
        <v>205.26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73</v>
      </c>
      <c r="D33" s="90" t="s">
        <v>65</v>
      </c>
      <c r="E33" s="90">
        <v>60</v>
      </c>
      <c r="F33" s="135" t="s">
        <v>73</v>
      </c>
      <c r="G33" s="136">
        <v>46080</v>
      </c>
      <c r="H33" s="137">
        <v>205.26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73</v>
      </c>
      <c r="D34" s="90" t="s">
        <v>244</v>
      </c>
      <c r="E34" s="90">
        <v>60</v>
      </c>
      <c r="F34" s="135" t="s">
        <v>73</v>
      </c>
      <c r="G34" s="136">
        <v>46080</v>
      </c>
      <c r="H34" s="137">
        <v>205.26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1380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73</v>
      </c>
      <c r="D53" s="15" t="s">
        <v>64</v>
      </c>
      <c r="E53" s="15">
        <v>180</v>
      </c>
      <c r="F53" s="15" t="s">
        <v>73</v>
      </c>
      <c r="G53" s="16">
        <v>46080</v>
      </c>
      <c r="H53" s="17">
        <v>205.26</v>
      </c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46087</v>
      </c>
      <c r="H54" s="49">
        <v>331082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20" t="s">
        <v>59</v>
      </c>
      <c r="G55" s="21">
        <v>46087</v>
      </c>
      <c r="H55" s="49">
        <v>331082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65" t="s">
        <v>134</v>
      </c>
      <c r="E57" s="20">
        <v>384</v>
      </c>
      <c r="F57" s="20" t="s">
        <v>59</v>
      </c>
      <c r="G57" s="21">
        <v>46087</v>
      </c>
      <c r="H57" s="49">
        <v>331082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134</v>
      </c>
      <c r="E58" s="20">
        <v>384</v>
      </c>
      <c r="F58" s="20" t="s">
        <v>59</v>
      </c>
      <c r="G58" s="21">
        <v>46087</v>
      </c>
      <c r="H58" s="49">
        <v>331286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123" t="s">
        <v>86</v>
      </c>
      <c r="E70" s="123">
        <v>300</v>
      </c>
      <c r="F70" s="20" t="s">
        <v>148</v>
      </c>
      <c r="G70" s="21">
        <v>46090</v>
      </c>
      <c r="H70" s="49">
        <v>75648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21">
        <v>46092</v>
      </c>
      <c r="H72" s="49">
        <v>331509</v>
      </c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336</v>
      </c>
      <c r="F73" s="20" t="s">
        <v>59</v>
      </c>
      <c r="G73" s="21">
        <v>46092</v>
      </c>
      <c r="H73" s="49">
        <v>331509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 t="s">
        <v>57</v>
      </c>
      <c r="D76" s="65" t="s">
        <v>58</v>
      </c>
      <c r="E76" s="20">
        <v>480</v>
      </c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1452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46088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65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E21-1D34-4C9E-B97B-AFD37159547C}">
  <dimension ref="A3:P97"/>
  <sheetViews>
    <sheetView topLeftCell="A45" workbookViewId="0">
      <selection activeCell="H32" sqref="H3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288</v>
      </c>
      <c r="F7" s="20" t="s">
        <v>59</v>
      </c>
      <c r="G7" s="21">
        <v>46092</v>
      </c>
      <c r="H7" s="49">
        <v>331509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288</v>
      </c>
      <c r="F8" s="20" t="s">
        <v>59</v>
      </c>
      <c r="G8" s="21">
        <v>46092</v>
      </c>
      <c r="H8" s="49">
        <v>331509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65" t="s">
        <v>107</v>
      </c>
      <c r="E10" s="20">
        <v>108</v>
      </c>
      <c r="F10" s="20" t="s">
        <v>88</v>
      </c>
      <c r="G10" s="21">
        <v>46092</v>
      </c>
      <c r="H10" s="49">
        <v>400025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239</v>
      </c>
      <c r="D11" s="65" t="s">
        <v>107</v>
      </c>
      <c r="E11" s="20">
        <v>216</v>
      </c>
      <c r="F11" s="20" t="s">
        <v>165</v>
      </c>
      <c r="G11" s="21">
        <v>46097</v>
      </c>
      <c r="H11" s="49">
        <v>114316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162</v>
      </c>
      <c r="F12" s="90" t="s">
        <v>88</v>
      </c>
      <c r="G12" s="91">
        <v>46092</v>
      </c>
      <c r="H12" s="93">
        <v>400025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102</v>
      </c>
      <c r="E13" s="90">
        <v>108</v>
      </c>
      <c r="F13" s="90" t="s">
        <v>88</v>
      </c>
      <c r="G13" s="91">
        <v>46092</v>
      </c>
      <c r="H13" s="93">
        <v>400025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239</v>
      </c>
      <c r="D14" s="99" t="s">
        <v>102</v>
      </c>
      <c r="E14" s="90">
        <v>270</v>
      </c>
      <c r="F14" s="90" t="s">
        <v>165</v>
      </c>
      <c r="G14" s="91">
        <v>46097</v>
      </c>
      <c r="H14" s="93">
        <v>114316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65" t="s">
        <v>61</v>
      </c>
      <c r="E25" s="20">
        <v>192</v>
      </c>
      <c r="F25" s="20" t="s">
        <v>77</v>
      </c>
      <c r="G25" s="21">
        <v>46092</v>
      </c>
      <c r="H25" s="49">
        <v>40125437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242</v>
      </c>
      <c r="D27" s="65" t="s">
        <v>74</v>
      </c>
      <c r="E27" s="20">
        <v>210</v>
      </c>
      <c r="F27" s="20" t="s">
        <v>77</v>
      </c>
      <c r="G27" s="21">
        <v>46092</v>
      </c>
      <c r="H27" s="49">
        <v>40125437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19" t="s">
        <v>63</v>
      </c>
      <c r="E28" s="20">
        <v>210</v>
      </c>
      <c r="F28" s="20" t="s">
        <v>77</v>
      </c>
      <c r="G28" s="21">
        <v>46092</v>
      </c>
      <c r="H28" s="49">
        <v>40125437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22" t="s">
        <v>242</v>
      </c>
      <c r="D29" s="123" t="s">
        <v>64</v>
      </c>
      <c r="E29" s="123">
        <v>105</v>
      </c>
      <c r="F29" s="20" t="s">
        <v>77</v>
      </c>
      <c r="G29" s="21">
        <v>46092</v>
      </c>
      <c r="H29" s="49">
        <v>40125437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242</v>
      </c>
      <c r="D30" s="20" t="s">
        <v>78</v>
      </c>
      <c r="E30" s="20">
        <v>105</v>
      </c>
      <c r="F30" s="20" t="s">
        <v>77</v>
      </c>
      <c r="G30" s="21">
        <v>46092</v>
      </c>
      <c r="H30" s="49">
        <v>40125437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264</v>
      </c>
      <c r="D31" s="99" t="s">
        <v>221</v>
      </c>
      <c r="E31" s="90">
        <v>210</v>
      </c>
      <c r="F31" s="90" t="s">
        <v>88</v>
      </c>
      <c r="G31" s="91">
        <v>46092</v>
      </c>
      <c r="H31" s="93">
        <v>400025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264</v>
      </c>
      <c r="D32" s="99" t="s">
        <v>221</v>
      </c>
      <c r="E32" s="90">
        <v>105</v>
      </c>
      <c r="F32" s="90" t="s">
        <v>165</v>
      </c>
      <c r="G32" s="91">
        <v>46097</v>
      </c>
      <c r="H32" s="93">
        <v>114316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90" t="s">
        <v>264</v>
      </c>
      <c r="D33" s="90" t="s">
        <v>217</v>
      </c>
      <c r="E33" s="90">
        <v>105</v>
      </c>
      <c r="F33" s="90" t="s">
        <v>88</v>
      </c>
      <c r="G33" s="91">
        <v>46092</v>
      </c>
      <c r="H33" s="93">
        <v>400025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19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22"/>
      <c r="D44" s="123"/>
      <c r="E44" s="123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322</v>
      </c>
      <c r="E54" s="20">
        <v>288</v>
      </c>
      <c r="F54" s="20" t="s">
        <v>59</v>
      </c>
      <c r="G54" s="21">
        <v>46094</v>
      </c>
      <c r="H54" s="49">
        <v>331511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20" t="s">
        <v>59</v>
      </c>
      <c r="G55" s="21">
        <v>46094</v>
      </c>
      <c r="H55" s="49">
        <v>331511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20" t="s">
        <v>59</v>
      </c>
      <c r="G56" s="21">
        <v>46094</v>
      </c>
      <c r="H56" s="49">
        <v>331511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59</v>
      </c>
      <c r="G57" s="21">
        <v>46094</v>
      </c>
      <c r="H57" s="49">
        <v>331511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46097</v>
      </c>
      <c r="H58" s="49">
        <v>331512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20" t="s">
        <v>322</v>
      </c>
      <c r="E70" s="20">
        <v>288</v>
      </c>
      <c r="F70" s="20" t="s">
        <v>59</v>
      </c>
      <c r="G70" s="124">
        <v>46097</v>
      </c>
      <c r="H70" s="126">
        <v>331512</v>
      </c>
    </row>
    <row r="71" spans="1:8" s="4" customFormat="1" ht="12.75">
      <c r="A71" s="47"/>
      <c r="B71" s="48"/>
      <c r="C71" s="19" t="s">
        <v>53</v>
      </c>
      <c r="D71" s="20" t="s">
        <v>63</v>
      </c>
      <c r="E71" s="20">
        <v>336</v>
      </c>
      <c r="F71" s="20" t="s">
        <v>59</v>
      </c>
      <c r="G71" s="124">
        <v>46097</v>
      </c>
      <c r="H71" s="126">
        <v>331512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124">
        <v>46097</v>
      </c>
      <c r="H72" s="126">
        <v>331512</v>
      </c>
    </row>
    <row r="73" spans="1:8" s="4" customFormat="1" ht="12.75">
      <c r="A73" s="47"/>
      <c r="B73" s="48"/>
      <c r="C73" s="19" t="s">
        <v>53</v>
      </c>
      <c r="D73" s="20" t="s">
        <v>64</v>
      </c>
      <c r="E73" s="20">
        <v>384</v>
      </c>
      <c r="F73" s="123" t="s">
        <v>59</v>
      </c>
      <c r="G73" s="124">
        <v>46100</v>
      </c>
      <c r="H73" s="126">
        <v>331696</v>
      </c>
    </row>
    <row r="74" spans="1:8" s="4" customFormat="1" ht="12.75">
      <c r="A74" s="47"/>
      <c r="B74" s="48"/>
      <c r="C74" s="19" t="s">
        <v>53</v>
      </c>
      <c r="D74" s="20" t="s">
        <v>133</v>
      </c>
      <c r="E74" s="20">
        <v>192</v>
      </c>
      <c r="F74" s="123" t="s">
        <v>59</v>
      </c>
      <c r="G74" s="124">
        <v>46100</v>
      </c>
      <c r="H74" s="126">
        <v>331696</v>
      </c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1536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46095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30A0-6F4F-420F-A389-2DC3896ADFB5}">
  <dimension ref="A3:P97"/>
  <sheetViews>
    <sheetView topLeftCell="A4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123" t="s">
        <v>59</v>
      </c>
      <c r="G7" s="124">
        <v>46100</v>
      </c>
      <c r="H7" s="126">
        <v>331696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123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322</v>
      </c>
      <c r="E9" s="20">
        <v>192</v>
      </c>
      <c r="F9" s="123" t="s">
        <v>59</v>
      </c>
      <c r="G9" s="124">
        <v>46100</v>
      </c>
      <c r="H9" s="126">
        <v>331696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123" t="s">
        <v>59</v>
      </c>
      <c r="G10" s="124">
        <v>46105</v>
      </c>
      <c r="H10" s="126">
        <v>331832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336</v>
      </c>
      <c r="F12" s="123" t="s">
        <v>59</v>
      </c>
      <c r="G12" s="124">
        <v>46100</v>
      </c>
      <c r="H12" s="126">
        <v>331696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180</v>
      </c>
      <c r="F54" s="20" t="s">
        <v>148</v>
      </c>
      <c r="G54" s="21">
        <v>46104</v>
      </c>
      <c r="H54" s="22">
        <v>75894</v>
      </c>
      <c r="J54" s="3"/>
      <c r="K54" s="3"/>
      <c r="L54" s="3"/>
    </row>
    <row r="55" spans="1:15">
      <c r="A55" s="47"/>
      <c r="B55" s="48"/>
      <c r="C55" s="19" t="s">
        <v>75</v>
      </c>
      <c r="D55" s="19" t="s">
        <v>71</v>
      </c>
      <c r="E55" s="20">
        <v>48</v>
      </c>
      <c r="F55" s="20" t="s">
        <v>77</v>
      </c>
      <c r="G55" s="21">
        <v>46111</v>
      </c>
      <c r="H55" s="49">
        <v>40128183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61</v>
      </c>
      <c r="E56" s="20">
        <v>384</v>
      </c>
      <c r="F56" s="20" t="s">
        <v>70</v>
      </c>
      <c r="G56" s="21">
        <v>46104</v>
      </c>
      <c r="H56" s="49">
        <v>13534679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192</v>
      </c>
      <c r="F57" s="20" t="s">
        <v>70</v>
      </c>
      <c r="G57" s="21">
        <v>46104</v>
      </c>
      <c r="H57" s="49">
        <v>13534679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71</v>
      </c>
      <c r="E58" s="20">
        <v>144</v>
      </c>
      <c r="F58" s="20" t="s">
        <v>70</v>
      </c>
      <c r="G58" s="21">
        <v>46104</v>
      </c>
      <c r="H58" s="49">
        <v>13534679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144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72</v>
      </c>
      <c r="E60" s="20">
        <v>96</v>
      </c>
      <c r="F60" s="20" t="s">
        <v>70</v>
      </c>
      <c r="G60" s="21">
        <v>46104</v>
      </c>
      <c r="H60" s="49">
        <v>13534679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46104</v>
      </c>
      <c r="H61" s="93">
        <v>13534679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192</v>
      </c>
      <c r="F62" s="90" t="s">
        <v>70</v>
      </c>
      <c r="G62" s="91">
        <v>46104</v>
      </c>
      <c r="H62" s="93">
        <v>13534679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9" t="s">
        <v>65</v>
      </c>
      <c r="E63" s="90">
        <v>48</v>
      </c>
      <c r="F63" s="90" t="s">
        <v>99</v>
      </c>
      <c r="G63" s="91">
        <v>46112</v>
      </c>
      <c r="H63" s="93">
        <v>580884</v>
      </c>
    </row>
    <row r="64" spans="1:15" s="4" customFormat="1" ht="12.75">
      <c r="A64" s="47"/>
      <c r="B64" s="48"/>
      <c r="C64" s="89" t="s">
        <v>75</v>
      </c>
      <c r="D64" s="90" t="s">
        <v>65</v>
      </c>
      <c r="E64" s="90">
        <v>48</v>
      </c>
      <c r="F64" s="90" t="s">
        <v>77</v>
      </c>
      <c r="G64" s="91">
        <v>46111</v>
      </c>
      <c r="H64" s="93">
        <v>40128183</v>
      </c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SUM(E56:E62)+E54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3</v>
      </c>
      <c r="D70" s="20" t="s">
        <v>135</v>
      </c>
      <c r="E70" s="20">
        <v>54</v>
      </c>
      <c r="F70" s="20" t="s">
        <v>148</v>
      </c>
      <c r="G70" s="21">
        <v>46104</v>
      </c>
      <c r="H70" s="49">
        <v>75894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144</v>
      </c>
      <c r="F71" s="123" t="s">
        <v>59</v>
      </c>
      <c r="G71" s="124">
        <v>46105</v>
      </c>
      <c r="H71" s="126">
        <v>331832</v>
      </c>
    </row>
    <row r="72" spans="1:8" s="4" customFormat="1" ht="12.75">
      <c r="A72" s="47"/>
      <c r="B72" s="48"/>
      <c r="C72" s="122" t="s">
        <v>53</v>
      </c>
      <c r="D72" s="123" t="s">
        <v>61</v>
      </c>
      <c r="E72" s="123">
        <v>288</v>
      </c>
      <c r="F72" s="123" t="s">
        <v>59</v>
      </c>
      <c r="G72" s="124">
        <v>46106</v>
      </c>
      <c r="H72" s="126">
        <v>332097</v>
      </c>
    </row>
    <row r="73" spans="1:8" s="4" customFormat="1" ht="12.75">
      <c r="A73" s="47"/>
      <c r="B73" s="48"/>
      <c r="C73" s="122" t="s">
        <v>53</v>
      </c>
      <c r="D73" s="123" t="s">
        <v>323</v>
      </c>
      <c r="E73" s="123">
        <v>288</v>
      </c>
      <c r="F73" s="123" t="s">
        <v>59</v>
      </c>
      <c r="G73" s="124">
        <v>46106</v>
      </c>
      <c r="H73" s="126">
        <v>332097</v>
      </c>
    </row>
    <row r="74" spans="1:8" s="4" customFormat="1" ht="12.75">
      <c r="A74" s="47"/>
      <c r="B74" s="48"/>
      <c r="C74" s="122" t="s">
        <v>53</v>
      </c>
      <c r="D74" s="123" t="s">
        <v>177</v>
      </c>
      <c r="E74" s="123">
        <v>192</v>
      </c>
      <c r="F74" s="123" t="s">
        <v>59</v>
      </c>
      <c r="G74" s="124">
        <v>46105</v>
      </c>
      <c r="H74" s="126">
        <v>331832</v>
      </c>
    </row>
    <row r="75" spans="1:8" s="4" customFormat="1" ht="12.75">
      <c r="A75" s="47"/>
      <c r="B75" s="48"/>
      <c r="C75" s="19" t="s">
        <v>53</v>
      </c>
      <c r="D75" s="65" t="s">
        <v>233</v>
      </c>
      <c r="E75" s="20">
        <v>192</v>
      </c>
      <c r="F75" s="123" t="s">
        <v>59</v>
      </c>
      <c r="G75" s="124">
        <v>46105</v>
      </c>
      <c r="H75" s="126">
        <v>331832</v>
      </c>
    </row>
    <row r="76" spans="1:8" s="4" customFormat="1" ht="12.75">
      <c r="A76" s="56"/>
      <c r="B76" s="57"/>
      <c r="C76" s="19"/>
      <c r="D76" s="20"/>
      <c r="E76" s="20"/>
      <c r="F76" s="123"/>
      <c r="G76" s="124"/>
      <c r="H76" s="126"/>
    </row>
    <row r="77" spans="1:8" s="4" customFormat="1" ht="12.75">
      <c r="A77" s="56"/>
      <c r="B77" s="57"/>
      <c r="C77" s="19" t="s">
        <v>53</v>
      </c>
      <c r="D77" s="65" t="s">
        <v>318</v>
      </c>
      <c r="E77" s="20">
        <v>288</v>
      </c>
      <c r="F77" s="123" t="s">
        <v>59</v>
      </c>
      <c r="G77" s="124">
        <v>46106</v>
      </c>
      <c r="H77" s="126">
        <v>332097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89" t="s">
        <v>48</v>
      </c>
      <c r="D79" s="90" t="s">
        <v>83</v>
      </c>
      <c r="E79" s="90">
        <v>72</v>
      </c>
      <c r="F79" s="90" t="s">
        <v>70</v>
      </c>
      <c r="G79" s="91">
        <v>46104</v>
      </c>
      <c r="H79" s="93">
        <v>13534679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1518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46102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91A0-5D74-4D0E-B025-475FEF06952A}">
  <dimension ref="A3:P102"/>
  <sheetViews>
    <sheetView topLeftCell="A51" workbookViewId="0">
      <selection activeCell="J72" sqref="J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57</v>
      </c>
      <c r="D8" s="65" t="s">
        <v>58</v>
      </c>
      <c r="E8" s="20">
        <v>288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336</v>
      </c>
      <c r="F9" s="123" t="s">
        <v>59</v>
      </c>
      <c r="G9" s="124">
        <v>46105</v>
      </c>
      <c r="H9" s="126">
        <v>331832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46107</v>
      </c>
      <c r="H10" s="49">
        <v>400214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120</v>
      </c>
      <c r="F11" s="20" t="s">
        <v>88</v>
      </c>
      <c r="G11" s="21">
        <v>46107</v>
      </c>
      <c r="H11" s="49">
        <v>400214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81</v>
      </c>
      <c r="E12" s="20">
        <v>60</v>
      </c>
      <c r="F12" s="20" t="s">
        <v>88</v>
      </c>
      <c r="G12" s="21">
        <v>46107</v>
      </c>
      <c r="H12" s="49">
        <v>400214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63</v>
      </c>
      <c r="E13" s="20">
        <v>180</v>
      </c>
      <c r="F13" s="20" t="s">
        <v>88</v>
      </c>
      <c r="G13" s="21">
        <v>46107</v>
      </c>
      <c r="H13" s="49">
        <v>400214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180</v>
      </c>
      <c r="F14" s="20" t="s">
        <v>88</v>
      </c>
      <c r="G14" s="21">
        <v>46107</v>
      </c>
      <c r="H14" s="49">
        <v>400214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66</v>
      </c>
      <c r="D16" s="90" t="s">
        <v>80</v>
      </c>
      <c r="E16" s="90">
        <v>120</v>
      </c>
      <c r="F16" s="90" t="s">
        <v>88</v>
      </c>
      <c r="G16" s="91">
        <v>46107</v>
      </c>
      <c r="H16" s="93">
        <v>400214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20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20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322</v>
      </c>
      <c r="E25" s="20">
        <v>288</v>
      </c>
      <c r="F25" s="123" t="s">
        <v>59</v>
      </c>
      <c r="G25" s="124">
        <v>46106</v>
      </c>
      <c r="H25" s="126">
        <v>332097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65" t="s">
        <v>318</v>
      </c>
      <c r="E26" s="20">
        <v>288</v>
      </c>
      <c r="F26" s="123" t="s">
        <v>59</v>
      </c>
      <c r="G26" s="124">
        <v>46106</v>
      </c>
      <c r="H26" s="126">
        <v>332097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65" t="s">
        <v>69</v>
      </c>
      <c r="E27" s="20">
        <v>60</v>
      </c>
      <c r="F27" s="20" t="s">
        <v>88</v>
      </c>
      <c r="G27" s="21">
        <v>46107</v>
      </c>
      <c r="H27" s="49">
        <v>400214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636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20" t="s">
        <v>68</v>
      </c>
      <c r="E54" s="20">
        <v>180</v>
      </c>
      <c r="F54" s="20" t="s">
        <v>88</v>
      </c>
      <c r="G54" s="21">
        <v>46107</v>
      </c>
      <c r="H54" s="49">
        <v>400214</v>
      </c>
      <c r="J54" s="3"/>
      <c r="K54" s="3"/>
      <c r="L54" s="3"/>
    </row>
    <row r="55" spans="1:15">
      <c r="A55" s="47"/>
      <c r="B55" s="48"/>
      <c r="C55" s="19" t="s">
        <v>98</v>
      </c>
      <c r="D55" s="20" t="s">
        <v>61</v>
      </c>
      <c r="E55" s="20">
        <v>240</v>
      </c>
      <c r="F55" s="20" t="s">
        <v>99</v>
      </c>
      <c r="G55" s="21">
        <v>46112</v>
      </c>
      <c r="H55" s="49">
        <v>580884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61</v>
      </c>
      <c r="E56" s="20">
        <v>336</v>
      </c>
      <c r="F56" s="20" t="s">
        <v>70</v>
      </c>
      <c r="G56" s="21">
        <v>46111</v>
      </c>
      <c r="H56" s="49">
        <v>13552646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61</v>
      </c>
      <c r="E57" s="123">
        <v>48</v>
      </c>
      <c r="F57" s="123" t="s">
        <v>77</v>
      </c>
      <c r="G57" s="124">
        <v>46111</v>
      </c>
      <c r="H57" s="126">
        <v>40128183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61</v>
      </c>
      <c r="E58" s="123">
        <v>144</v>
      </c>
      <c r="F58" s="123" t="s">
        <v>77</v>
      </c>
      <c r="G58" s="124">
        <v>46118</v>
      </c>
      <c r="H58" s="126">
        <v>40129279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240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19" t="s">
        <v>76</v>
      </c>
      <c r="E60" s="20">
        <v>192</v>
      </c>
      <c r="F60" s="20" t="s">
        <v>77</v>
      </c>
      <c r="G60" s="124">
        <v>46118</v>
      </c>
      <c r="H60" s="126">
        <v>40129279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87</v>
      </c>
      <c r="E62" s="20">
        <v>48</v>
      </c>
      <c r="F62" s="20" t="s">
        <v>77</v>
      </c>
      <c r="G62" s="21">
        <v>46111</v>
      </c>
      <c r="H62" s="49">
        <v>40128183</v>
      </c>
      <c r="M62" s="3"/>
      <c r="N62" s="81"/>
      <c r="O62" s="3"/>
    </row>
    <row r="63" spans="1:15" s="4" customFormat="1" ht="12.75">
      <c r="A63" s="47"/>
      <c r="B63" s="48"/>
      <c r="C63" s="105" t="s">
        <v>75</v>
      </c>
      <c r="D63" s="106" t="s">
        <v>89</v>
      </c>
      <c r="E63" s="106">
        <v>48</v>
      </c>
      <c r="F63" s="106" t="s">
        <v>77</v>
      </c>
      <c r="G63" s="107">
        <v>46111</v>
      </c>
      <c r="H63" s="108">
        <v>40128183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48</v>
      </c>
      <c r="D70" s="20" t="s">
        <v>72</v>
      </c>
      <c r="E70" s="20">
        <v>144</v>
      </c>
      <c r="F70" s="20" t="s">
        <v>70</v>
      </c>
      <c r="G70" s="21">
        <v>46111</v>
      </c>
      <c r="H70" s="49">
        <v>13552646</v>
      </c>
    </row>
    <row r="71" spans="1:8" s="4" customFormat="1" ht="12.75">
      <c r="A71" s="44"/>
      <c r="B71" s="45"/>
      <c r="C71" s="19" t="s">
        <v>98</v>
      </c>
      <c r="D71" s="65" t="s">
        <v>58</v>
      </c>
      <c r="E71" s="20">
        <v>144</v>
      </c>
      <c r="F71" s="20" t="s">
        <v>99</v>
      </c>
      <c r="G71" s="21">
        <v>46112</v>
      </c>
      <c r="H71" s="49">
        <v>580884</v>
      </c>
    </row>
    <row r="72" spans="1:8" s="4" customFormat="1" ht="12.75">
      <c r="A72" s="44"/>
      <c r="B72" s="45"/>
      <c r="C72" s="19" t="s">
        <v>75</v>
      </c>
      <c r="D72" s="19" t="s">
        <v>64</v>
      </c>
      <c r="E72" s="20">
        <v>192</v>
      </c>
      <c r="F72" s="20" t="s">
        <v>77</v>
      </c>
      <c r="G72" s="124">
        <v>46118</v>
      </c>
      <c r="H72" s="126">
        <v>40129279</v>
      </c>
    </row>
    <row r="73" spans="1:8" s="4" customFormat="1" ht="12.75">
      <c r="A73" s="47"/>
      <c r="B73" s="48"/>
      <c r="C73" s="19" t="s">
        <v>75</v>
      </c>
      <c r="D73" s="19" t="s">
        <v>68</v>
      </c>
      <c r="E73" s="20">
        <v>240</v>
      </c>
      <c r="F73" s="20" t="s">
        <v>77</v>
      </c>
      <c r="G73" s="124">
        <v>46118</v>
      </c>
      <c r="H73" s="126">
        <v>40129279</v>
      </c>
    </row>
    <row r="74" spans="1:8" s="4" customFormat="1" ht="12.75">
      <c r="A74" s="47"/>
      <c r="B74" s="48"/>
      <c r="C74" s="19"/>
      <c r="D74" s="109"/>
      <c r="E74" s="20"/>
      <c r="F74" s="20"/>
      <c r="G74" s="124"/>
      <c r="H74" s="126"/>
    </row>
    <row r="75" spans="1:8" s="4" customFormat="1" ht="12.75">
      <c r="A75" s="47"/>
      <c r="B75" s="48"/>
      <c r="C75" s="19"/>
      <c r="D75" s="65"/>
      <c r="E75" s="20"/>
      <c r="F75" s="20"/>
      <c r="G75" s="124"/>
      <c r="H75" s="126"/>
    </row>
    <row r="76" spans="1:8" s="4" customFormat="1" ht="12.75">
      <c r="A76" s="47"/>
      <c r="B76" s="48"/>
      <c r="C76" s="89" t="s">
        <v>66</v>
      </c>
      <c r="D76" s="90" t="s">
        <v>80</v>
      </c>
      <c r="E76" s="90">
        <v>120</v>
      </c>
      <c r="F76" s="90" t="s">
        <v>88</v>
      </c>
      <c r="G76" s="91">
        <v>46107</v>
      </c>
      <c r="H76" s="93">
        <v>400214</v>
      </c>
    </row>
    <row r="77" spans="1:8" s="4" customFormat="1" ht="12.75">
      <c r="A77" s="47"/>
      <c r="B77" s="48"/>
      <c r="C77" s="19"/>
      <c r="D77" s="65"/>
      <c r="E77" s="20"/>
      <c r="F77" s="20"/>
      <c r="G77" s="21"/>
      <c r="H77" s="49"/>
    </row>
    <row r="78" spans="1:8" s="4" customFormat="1" ht="12.75">
      <c r="A78" s="47"/>
      <c r="B78" s="48"/>
      <c r="C78" s="19"/>
      <c r="D78" s="20"/>
      <c r="E78" s="20"/>
      <c r="F78" s="20"/>
      <c r="G78" s="21"/>
      <c r="H78" s="49"/>
    </row>
    <row r="79" spans="1:8" s="4" customFormat="1" ht="12.75">
      <c r="A79" s="47"/>
      <c r="B79" s="48"/>
      <c r="C79" s="89" t="s">
        <v>48</v>
      </c>
      <c r="D79" s="90" t="s">
        <v>65</v>
      </c>
      <c r="E79" s="90">
        <v>144</v>
      </c>
      <c r="F79" s="90" t="s">
        <v>70</v>
      </c>
      <c r="G79" s="91">
        <v>46111</v>
      </c>
      <c r="H79" s="93">
        <v>13552646</v>
      </c>
    </row>
    <row r="80" spans="1:8" s="4" customFormat="1" ht="12.75">
      <c r="A80" s="56"/>
      <c r="B80" s="57"/>
      <c r="C80" s="89" t="s">
        <v>98</v>
      </c>
      <c r="D80" s="90" t="s">
        <v>83</v>
      </c>
      <c r="E80" s="90">
        <v>48</v>
      </c>
      <c r="F80" s="90" t="s">
        <v>99</v>
      </c>
      <c r="G80" s="91">
        <v>46112</v>
      </c>
      <c r="H80" s="93">
        <v>580884</v>
      </c>
    </row>
    <row r="81" spans="1:8" s="4" customFormat="1" ht="12.75">
      <c r="A81" s="56"/>
      <c r="B81" s="57"/>
      <c r="C81" s="89" t="s">
        <v>75</v>
      </c>
      <c r="D81" s="90" t="s">
        <v>83</v>
      </c>
      <c r="E81" s="90">
        <v>96</v>
      </c>
      <c r="F81" s="90" t="s">
        <v>77</v>
      </c>
      <c r="G81" s="91">
        <v>46111</v>
      </c>
      <c r="H81" s="93">
        <v>40128183</v>
      </c>
    </row>
    <row r="82" spans="1:8" s="4" customFormat="1" ht="12.75">
      <c r="A82" s="56"/>
      <c r="B82" s="57"/>
      <c r="C82" s="89" t="s">
        <v>48</v>
      </c>
      <c r="D82" s="90" t="s">
        <v>83</v>
      </c>
      <c r="E82" s="90">
        <v>144</v>
      </c>
      <c r="F82" s="90" t="s">
        <v>70</v>
      </c>
      <c r="G82" s="91">
        <v>46111</v>
      </c>
      <c r="H82" s="93">
        <v>13552646</v>
      </c>
    </row>
    <row r="83" spans="1:8" s="4" customFormat="1" ht="12.75">
      <c r="A83" s="56"/>
      <c r="B83" s="57"/>
      <c r="C83" s="89" t="s">
        <v>75</v>
      </c>
      <c r="D83" s="90" t="s">
        <v>134</v>
      </c>
      <c r="E83" s="90">
        <v>96</v>
      </c>
      <c r="F83" s="90" t="s">
        <v>77</v>
      </c>
      <c r="G83" s="91">
        <v>46111</v>
      </c>
      <c r="H83" s="93">
        <v>40128183</v>
      </c>
    </row>
    <row r="84" spans="1:8" s="4" customFormat="1" ht="12.75">
      <c r="A84" s="56"/>
      <c r="B84" s="57"/>
      <c r="C84" s="89" t="s">
        <v>75</v>
      </c>
      <c r="D84" s="90" t="s">
        <v>134</v>
      </c>
      <c r="E84" s="90">
        <v>96</v>
      </c>
      <c r="F84" s="90" t="s">
        <v>77</v>
      </c>
      <c r="G84" s="91">
        <v>46118</v>
      </c>
      <c r="H84" s="93">
        <v>40129279</v>
      </c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1464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46109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C749-1BD2-4D62-8FED-D9DDF9EB7553}">
  <dimension ref="A3:P97"/>
  <sheetViews>
    <sheetView topLeftCell="A4" workbookViewId="0">
      <selection activeCell="H85" sqref="H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192</v>
      </c>
      <c r="F7" s="20" t="s">
        <v>59</v>
      </c>
      <c r="G7" s="21">
        <v>46113</v>
      </c>
      <c r="H7" s="49">
        <v>332281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432</v>
      </c>
      <c r="F8" s="20" t="s">
        <v>59</v>
      </c>
      <c r="G8" s="21">
        <v>46113</v>
      </c>
      <c r="H8" s="49">
        <v>332281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64</v>
      </c>
      <c r="E9" s="20">
        <v>384</v>
      </c>
      <c r="F9" s="20" t="s">
        <v>59</v>
      </c>
      <c r="G9" s="21">
        <v>46113</v>
      </c>
      <c r="H9" s="49">
        <v>332281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133</v>
      </c>
      <c r="E10" s="20">
        <v>192</v>
      </c>
      <c r="F10" s="20" t="s">
        <v>59</v>
      </c>
      <c r="G10" s="21">
        <v>46113</v>
      </c>
      <c r="H10" s="49">
        <v>332281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133</v>
      </c>
      <c r="E11" s="20">
        <v>192</v>
      </c>
      <c r="F11" s="20" t="s">
        <v>59</v>
      </c>
      <c r="G11" s="21">
        <v>46119</v>
      </c>
      <c r="H11" s="49">
        <v>332287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124"/>
      <c r="H47" s="126"/>
      <c r="M47" s="69"/>
      <c r="P47" s="64"/>
    </row>
    <row r="48" spans="1:16">
      <c r="A48" s="47"/>
      <c r="B48" s="48"/>
      <c r="C48" s="19"/>
      <c r="D48" s="65"/>
      <c r="E48" s="20"/>
      <c r="F48" s="20"/>
      <c r="G48" s="124"/>
      <c r="H48" s="126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242</v>
      </c>
      <c r="D54" s="20" t="s">
        <v>61</v>
      </c>
      <c r="E54" s="20">
        <v>105</v>
      </c>
      <c r="F54" s="20" t="s">
        <v>77</v>
      </c>
      <c r="G54" s="124">
        <v>46118</v>
      </c>
      <c r="H54" s="126">
        <v>40129279</v>
      </c>
      <c r="J54" s="3"/>
      <c r="K54" s="3"/>
      <c r="L54" s="3"/>
    </row>
    <row r="55" spans="1:15">
      <c r="A55" s="47"/>
      <c r="B55" s="48"/>
      <c r="C55" s="19" t="s">
        <v>242</v>
      </c>
      <c r="D55" s="65" t="s">
        <v>63</v>
      </c>
      <c r="E55" s="20">
        <v>105</v>
      </c>
      <c r="F55" s="20" t="s">
        <v>77</v>
      </c>
      <c r="G55" s="124">
        <v>46118</v>
      </c>
      <c r="H55" s="126">
        <v>40129279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63</v>
      </c>
      <c r="E57" s="20">
        <v>192</v>
      </c>
      <c r="F57" s="20" t="s">
        <v>77</v>
      </c>
      <c r="G57" s="124">
        <v>46118</v>
      </c>
      <c r="H57" s="126">
        <v>40129279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107</v>
      </c>
      <c r="E59" s="20">
        <v>48</v>
      </c>
      <c r="F59" s="20" t="s">
        <v>77</v>
      </c>
      <c r="G59" s="124">
        <v>46118</v>
      </c>
      <c r="H59" s="126">
        <v>40129279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322</v>
      </c>
      <c r="E61" s="20">
        <v>240</v>
      </c>
      <c r="F61" s="20" t="s">
        <v>59</v>
      </c>
      <c r="G61" s="21">
        <v>46120</v>
      </c>
      <c r="H61" s="49">
        <v>332294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322</v>
      </c>
      <c r="E62" s="20">
        <v>192</v>
      </c>
      <c r="F62" s="20" t="s">
        <v>59</v>
      </c>
      <c r="G62" s="21">
        <v>46119</v>
      </c>
      <c r="H62" s="49">
        <v>332287</v>
      </c>
      <c r="M62" s="3"/>
      <c r="N62" s="81"/>
      <c r="O62" s="3"/>
    </row>
    <row r="63" spans="1:15" s="4" customFormat="1" ht="12.75">
      <c r="A63" s="47"/>
      <c r="B63" s="48"/>
      <c r="C63" s="19" t="s">
        <v>53</v>
      </c>
      <c r="D63" s="65" t="s">
        <v>64</v>
      </c>
      <c r="E63" s="20">
        <v>384</v>
      </c>
      <c r="F63" s="20" t="s">
        <v>59</v>
      </c>
      <c r="G63" s="21">
        <v>46119</v>
      </c>
      <c r="H63" s="49">
        <v>332287</v>
      </c>
    </row>
    <row r="64" spans="1:15" s="4" customFormat="1" ht="12.75">
      <c r="A64" s="47"/>
      <c r="B64" s="48"/>
      <c r="C64" s="19" t="s">
        <v>53</v>
      </c>
      <c r="D64" s="65" t="s">
        <v>64</v>
      </c>
      <c r="E64" s="20">
        <v>384</v>
      </c>
      <c r="F64" s="20" t="s">
        <v>59</v>
      </c>
      <c r="G64" s="21">
        <v>46120</v>
      </c>
      <c r="H64" s="49">
        <v>332294</v>
      </c>
    </row>
    <row r="65" spans="1:8" s="4" customFormat="1" ht="12.75">
      <c r="A65" s="47"/>
      <c r="B65" s="48"/>
      <c r="C65" s="19"/>
      <c r="D65" s="65"/>
      <c r="E65" s="20"/>
      <c r="F65" s="20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1650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53</v>
      </c>
      <c r="D71" s="65" t="s">
        <v>63</v>
      </c>
      <c r="E71" s="20">
        <v>384</v>
      </c>
      <c r="F71" s="20" t="s">
        <v>59</v>
      </c>
      <c r="G71" s="21">
        <v>46120</v>
      </c>
      <c r="H71" s="49">
        <v>332294</v>
      </c>
    </row>
    <row r="72" spans="1:8" s="4" customFormat="1" ht="12.75">
      <c r="A72" s="47"/>
      <c r="B72" s="48"/>
      <c r="C72" s="19" t="s">
        <v>53</v>
      </c>
      <c r="D72" s="65" t="s">
        <v>63</v>
      </c>
      <c r="E72" s="20">
        <v>432</v>
      </c>
      <c r="F72" s="20" t="s">
        <v>59</v>
      </c>
      <c r="G72" s="21">
        <v>46119</v>
      </c>
      <c r="H72" s="49">
        <v>332287</v>
      </c>
    </row>
    <row r="73" spans="1:8" s="4" customFormat="1" ht="12.75">
      <c r="A73" s="47"/>
      <c r="B73" s="48"/>
      <c r="C73" s="19" t="s">
        <v>53</v>
      </c>
      <c r="D73" s="65" t="s">
        <v>133</v>
      </c>
      <c r="E73" s="20">
        <v>240</v>
      </c>
      <c r="F73" s="20" t="s">
        <v>59</v>
      </c>
      <c r="G73" s="21">
        <v>46120</v>
      </c>
      <c r="H73" s="49">
        <v>332294</v>
      </c>
    </row>
    <row r="74" spans="1:8" s="4" customFormat="1" ht="12.75">
      <c r="A74" s="47"/>
      <c r="B74" s="48"/>
      <c r="C74" s="19" t="s">
        <v>53</v>
      </c>
      <c r="D74" s="65" t="s">
        <v>64</v>
      </c>
      <c r="E74" s="20">
        <v>384</v>
      </c>
      <c r="F74" s="20" t="s">
        <v>59</v>
      </c>
      <c r="G74" s="21">
        <v>46120</v>
      </c>
      <c r="H74" s="49">
        <v>332294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AB5-350A-4C60-8215-45AE01F45534}">
  <dimension ref="A3:P97"/>
  <sheetViews>
    <sheetView topLeftCell="A51" workbookViewId="0">
      <selection activeCell="G79" sqref="G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300</v>
      </c>
      <c r="F11" s="20" t="s">
        <v>88</v>
      </c>
      <c r="G11" s="21">
        <v>46127</v>
      </c>
      <c r="H11" s="49">
        <v>400398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57</v>
      </c>
      <c r="D14" s="65" t="s">
        <v>58</v>
      </c>
      <c r="E14" s="20">
        <v>1440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46121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325</v>
      </c>
      <c r="G54" s="124">
        <v>46132</v>
      </c>
      <c r="H54" s="126">
        <v>332935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322</v>
      </c>
      <c r="E55" s="20">
        <v>384</v>
      </c>
      <c r="F55" s="20" t="s">
        <v>53</v>
      </c>
      <c r="G55" s="21">
        <v>46125</v>
      </c>
      <c r="H55" s="49">
        <v>332421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53</v>
      </c>
      <c r="D56" s="123" t="s">
        <v>63</v>
      </c>
      <c r="E56" s="123">
        <v>384</v>
      </c>
      <c r="F56" s="20" t="s">
        <v>53</v>
      </c>
      <c r="G56" s="21">
        <v>46125</v>
      </c>
      <c r="H56" s="49">
        <v>332421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233</v>
      </c>
      <c r="E58" s="20">
        <v>96</v>
      </c>
      <c r="F58" s="20" t="s">
        <v>53</v>
      </c>
      <c r="G58" s="21">
        <v>46125</v>
      </c>
      <c r="H58" s="49">
        <v>332421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134</v>
      </c>
      <c r="E60" s="20">
        <v>288</v>
      </c>
      <c r="F60" s="123" t="s">
        <v>325</v>
      </c>
      <c r="G60" s="124">
        <v>46132</v>
      </c>
      <c r="H60" s="126">
        <v>332935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46122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66</v>
      </c>
      <c r="D70" s="65" t="s">
        <v>68</v>
      </c>
      <c r="E70" s="20">
        <v>180</v>
      </c>
      <c r="F70" s="123" t="s">
        <v>88</v>
      </c>
      <c r="G70" s="124">
        <v>46127</v>
      </c>
      <c r="H70" s="126">
        <v>400398</v>
      </c>
    </row>
    <row r="71" spans="1:8" s="4" customFormat="1" ht="12.75">
      <c r="A71" s="47"/>
      <c r="B71" s="48"/>
      <c r="C71" s="19" t="s">
        <v>66</v>
      </c>
      <c r="D71" s="65" t="s">
        <v>68</v>
      </c>
      <c r="E71" s="20">
        <v>180</v>
      </c>
      <c r="F71" s="123"/>
      <c r="G71" s="124"/>
      <c r="H71" s="126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60</v>
      </c>
      <c r="F72" s="20" t="s">
        <v>88</v>
      </c>
      <c r="G72" s="21">
        <v>46127</v>
      </c>
      <c r="H72" s="49">
        <v>400398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240</v>
      </c>
      <c r="F74" s="20" t="s">
        <v>88</v>
      </c>
      <c r="G74" s="21">
        <v>46127</v>
      </c>
      <c r="H74" s="49">
        <v>400398</v>
      </c>
    </row>
    <row r="75" spans="1:8" s="4" customFormat="1" ht="12.75">
      <c r="A75" s="47"/>
      <c r="B75" s="48"/>
      <c r="C75" s="19" t="s">
        <v>66</v>
      </c>
      <c r="D75" s="20" t="s">
        <v>67</v>
      </c>
      <c r="E75" s="20">
        <v>240</v>
      </c>
      <c r="F75" s="20"/>
      <c r="G75" s="21"/>
      <c r="H75" s="49"/>
    </row>
    <row r="76" spans="1:8" s="4" customFormat="1" ht="12.75">
      <c r="A76" s="56"/>
      <c r="B76" s="57"/>
      <c r="C76" s="19" t="s">
        <v>66</v>
      </c>
      <c r="D76" s="20" t="s">
        <v>63</v>
      </c>
      <c r="E76" s="20">
        <v>240</v>
      </c>
      <c r="F76" s="20" t="s">
        <v>88</v>
      </c>
      <c r="G76" s="21">
        <v>46127</v>
      </c>
      <c r="H76" s="49">
        <v>400398</v>
      </c>
    </row>
    <row r="77" spans="1:8" s="4" customFormat="1" ht="12.75">
      <c r="A77" s="56"/>
      <c r="B77" s="57"/>
      <c r="C77" s="122" t="s">
        <v>66</v>
      </c>
      <c r="D77" s="123" t="s">
        <v>69</v>
      </c>
      <c r="E77" s="123">
        <v>60</v>
      </c>
      <c r="F77" s="20" t="s">
        <v>88</v>
      </c>
      <c r="G77" s="21">
        <v>46127</v>
      </c>
      <c r="H77" s="49">
        <v>400398</v>
      </c>
    </row>
    <row r="78" spans="1:8" s="4" customFormat="1" ht="12.75">
      <c r="A78" s="56"/>
      <c r="B78" s="57"/>
      <c r="C78" s="122" t="s">
        <v>66</v>
      </c>
      <c r="D78" s="123" t="s">
        <v>69</v>
      </c>
      <c r="E78" s="123">
        <v>120</v>
      </c>
      <c r="F78" s="20"/>
      <c r="G78" s="21"/>
      <c r="H78" s="49"/>
    </row>
    <row r="79" spans="1:8" s="4" customFormat="1" ht="12.75">
      <c r="A79" s="56"/>
      <c r="B79" s="57"/>
      <c r="C79" s="89" t="s">
        <v>66</v>
      </c>
      <c r="D79" s="99" t="s">
        <v>80</v>
      </c>
      <c r="E79" s="90">
        <v>120</v>
      </c>
      <c r="F79" s="135" t="s">
        <v>88</v>
      </c>
      <c r="G79" s="136">
        <v>46127</v>
      </c>
      <c r="H79" s="137">
        <v>400398</v>
      </c>
    </row>
    <row r="80" spans="1:8" s="4" customFormat="1" ht="13.5" thickBot="1">
      <c r="A80" s="56"/>
      <c r="B80" s="57"/>
      <c r="C80" s="89" t="s">
        <v>66</v>
      </c>
      <c r="D80" s="99" t="s">
        <v>80</v>
      </c>
      <c r="E80" s="90">
        <v>120</v>
      </c>
      <c r="F80" s="135"/>
      <c r="G80" s="136"/>
      <c r="H80" s="137"/>
    </row>
    <row r="81" spans="1:8" s="4" customFormat="1" ht="13.5" thickBot="1">
      <c r="A81" s="39"/>
      <c r="B81" s="40"/>
      <c r="C81" s="35"/>
      <c r="D81" s="36"/>
      <c r="E81" s="58">
        <f>SUM(E69:E80)</f>
        <v>1620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A21-33E1-4A86-84C7-D2127AB12B53}">
  <dimension ref="A3:P98"/>
  <sheetViews>
    <sheetView topLeftCell="A3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46125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63</v>
      </c>
      <c r="E7" s="20">
        <v>288</v>
      </c>
      <c r="F7" s="20" t="s">
        <v>59</v>
      </c>
      <c r="G7" s="21">
        <v>46134</v>
      </c>
      <c r="H7" s="49">
        <v>333007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288</v>
      </c>
      <c r="F8" s="20" t="s">
        <v>59</v>
      </c>
      <c r="G8" s="21">
        <v>46134</v>
      </c>
      <c r="H8" s="49">
        <v>333007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46134</v>
      </c>
      <c r="H9" s="49">
        <v>333007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134</v>
      </c>
      <c r="E10" s="20">
        <v>288</v>
      </c>
      <c r="F10" s="20" t="s">
        <v>59</v>
      </c>
      <c r="G10" s="21">
        <v>46134</v>
      </c>
      <c r="H10" s="49">
        <v>333007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134</v>
      </c>
      <c r="E11" s="20">
        <v>288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4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46126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55" t="s">
        <v>38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39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4" t="s">
        <v>40</v>
      </c>
      <c r="K28" s="29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25" t="s">
        <v>41</v>
      </c>
      <c r="K29" s="26" t="s">
        <v>14</v>
      </c>
      <c r="L29" s="26"/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34" t="s">
        <v>42</v>
      </c>
      <c r="K30" s="26"/>
      <c r="L30" s="26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43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M33" s="69"/>
    </row>
    <row r="34" spans="1:16">
      <c r="A34" s="47"/>
      <c r="B34" s="48"/>
      <c r="C34" s="19"/>
      <c r="D34" s="20"/>
      <c r="E34" s="20"/>
      <c r="F34" s="20"/>
      <c r="G34" s="21"/>
      <c r="H34" s="22"/>
    </row>
    <row r="35" spans="1:16">
      <c r="A35" s="47"/>
      <c r="B35" s="48"/>
      <c r="C35" s="19"/>
      <c r="D35" s="20"/>
      <c r="E35" s="20"/>
      <c r="F35" s="20"/>
      <c r="G35" s="21"/>
      <c r="H35" s="22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</row>
    <row r="37" spans="1:16" ht="15.75" thickBot="1">
      <c r="A37" s="39" t="s">
        <v>44</v>
      </c>
      <c r="B37" s="40">
        <f>B23+1</f>
        <v>46127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73"/>
      <c r="K37" s="74"/>
      <c r="L37" s="75"/>
    </row>
    <row r="38" spans="1:16">
      <c r="A38" s="44"/>
      <c r="B38" s="45"/>
      <c r="C38" s="14"/>
      <c r="D38" s="15"/>
      <c r="E38" s="15"/>
      <c r="F38" s="15"/>
      <c r="G38" s="16"/>
      <c r="H38" s="17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"/>
      <c r="K39" s="3"/>
      <c r="L39" s="3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"/>
      <c r="K40" s="3"/>
      <c r="L40" s="3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"/>
      <c r="K41" s="3"/>
      <c r="L41" s="3"/>
      <c r="M41" s="3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"/>
      <c r="K42" s="3"/>
      <c r="L42" s="3"/>
      <c r="M42" s="3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3"/>
      <c r="K43" s="3"/>
      <c r="L43" s="3"/>
      <c r="M43" s="3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3"/>
      <c r="K44" s="3"/>
      <c r="L44" s="3"/>
      <c r="M44" s="3"/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3"/>
      <c r="K45" s="3"/>
      <c r="L45" s="3"/>
      <c r="M45" s="3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3"/>
      <c r="K46" s="3"/>
      <c r="L46" s="3"/>
      <c r="M46" s="3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3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  <c r="M48" s="3"/>
    </row>
    <row r="49" spans="1:15">
      <c r="A49" s="47"/>
      <c r="B49" s="48"/>
      <c r="C49" s="19"/>
      <c r="D49" s="20"/>
      <c r="E49" s="20"/>
      <c r="F49" s="20"/>
      <c r="G49" s="21"/>
      <c r="H49" s="22"/>
      <c r="M49" s="4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M50" s="4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M51" s="4"/>
    </row>
    <row r="52" spans="1:15" ht="15.75" thickBot="1">
      <c r="A52" s="39" t="s">
        <v>52</v>
      </c>
      <c r="B52" s="40">
        <f>B37+1</f>
        <v>46128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  <c r="M52" s="4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M53" s="4"/>
    </row>
    <row r="54" spans="1:15">
      <c r="A54" s="12"/>
      <c r="B54" s="125"/>
      <c r="C54" s="19" t="s">
        <v>53</v>
      </c>
      <c r="D54" s="20" t="s">
        <v>61</v>
      </c>
      <c r="E54" s="20">
        <v>384</v>
      </c>
      <c r="F54" s="20" t="s">
        <v>59</v>
      </c>
      <c r="G54" s="21">
        <v>46146</v>
      </c>
      <c r="H54" s="22">
        <v>333376</v>
      </c>
      <c r="M54" s="4"/>
    </row>
    <row r="55" spans="1:15">
      <c r="A55" s="47"/>
      <c r="B55" s="48"/>
      <c r="C55" s="19" t="s">
        <v>53</v>
      </c>
      <c r="D55" s="65" t="s">
        <v>68</v>
      </c>
      <c r="E55" s="20">
        <v>288</v>
      </c>
      <c r="F55" s="20" t="s">
        <v>325</v>
      </c>
      <c r="G55" s="21">
        <v>46132</v>
      </c>
      <c r="H55" s="49">
        <v>332935</v>
      </c>
      <c r="M55" s="4"/>
      <c r="N55" s="81"/>
      <c r="O55" s="3"/>
    </row>
    <row r="56" spans="1:15">
      <c r="A56" s="47"/>
      <c r="B56" s="48"/>
      <c r="C56" s="19" t="s">
        <v>53</v>
      </c>
      <c r="D56" s="20" t="s">
        <v>233</v>
      </c>
      <c r="E56" s="20">
        <v>144</v>
      </c>
      <c r="F56" s="20" t="s">
        <v>59</v>
      </c>
      <c r="G56" s="21">
        <v>46147</v>
      </c>
      <c r="H56" s="49">
        <v>333377</v>
      </c>
      <c r="M56" s="4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M57" s="4"/>
      <c r="N57" s="81"/>
      <c r="O57" s="3"/>
    </row>
    <row r="58" spans="1:15">
      <c r="A58" s="47"/>
      <c r="B58" s="48"/>
      <c r="C58" s="19" t="s">
        <v>73</v>
      </c>
      <c r="D58" s="20" t="s">
        <v>74</v>
      </c>
      <c r="E58" s="20">
        <v>30</v>
      </c>
      <c r="F58" s="20" t="s">
        <v>73</v>
      </c>
      <c r="G58" s="21">
        <v>46129</v>
      </c>
      <c r="H58" s="22">
        <v>408.26</v>
      </c>
      <c r="M58" s="4"/>
      <c r="N58" s="81"/>
      <c r="O58" s="3"/>
    </row>
    <row r="59" spans="1:15">
      <c r="A59" s="47"/>
      <c r="B59" s="48"/>
      <c r="C59" s="19" t="s">
        <v>73</v>
      </c>
      <c r="D59" s="20" t="s">
        <v>67</v>
      </c>
      <c r="E59" s="20">
        <v>30</v>
      </c>
      <c r="F59" s="20" t="s">
        <v>73</v>
      </c>
      <c r="G59" s="21">
        <v>46129</v>
      </c>
      <c r="H59" s="22">
        <v>408.26</v>
      </c>
      <c r="M59" s="4"/>
      <c r="N59" s="81"/>
      <c r="O59" s="3"/>
    </row>
    <row r="60" spans="1:15">
      <c r="A60" s="47"/>
      <c r="B60" s="48"/>
      <c r="C60" s="19" t="s">
        <v>73</v>
      </c>
      <c r="D60" s="20" t="s">
        <v>146</v>
      </c>
      <c r="E60" s="20">
        <v>30</v>
      </c>
      <c r="F60" s="20" t="s">
        <v>73</v>
      </c>
      <c r="G60" s="21">
        <v>46129</v>
      </c>
      <c r="H60" s="22">
        <v>408.26</v>
      </c>
      <c r="M60" s="4"/>
      <c r="N60" s="81"/>
      <c r="O60" s="3"/>
    </row>
    <row r="61" spans="1:15">
      <c r="A61" s="47"/>
      <c r="B61" s="48"/>
      <c r="C61" s="89" t="s">
        <v>73</v>
      </c>
      <c r="D61" s="90" t="s">
        <v>244</v>
      </c>
      <c r="E61" s="90">
        <v>30</v>
      </c>
      <c r="F61" s="90" t="s">
        <v>73</v>
      </c>
      <c r="G61" s="91">
        <v>46129</v>
      </c>
      <c r="H61" s="92">
        <v>408.26</v>
      </c>
      <c r="M61" s="4"/>
      <c r="N61" s="81"/>
      <c r="O61" s="3"/>
    </row>
    <row r="62" spans="1:15">
      <c r="A62" s="47"/>
      <c r="B62" s="48"/>
      <c r="C62" s="89" t="s">
        <v>73</v>
      </c>
      <c r="D62" s="90" t="s">
        <v>328</v>
      </c>
      <c r="E62" s="90">
        <v>30</v>
      </c>
      <c r="F62" s="90" t="s">
        <v>73</v>
      </c>
      <c r="G62" s="91">
        <v>46129</v>
      </c>
      <c r="H62" s="92">
        <v>408.26</v>
      </c>
      <c r="M62" s="4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  <c r="N63" s="81"/>
      <c r="O63" s="3"/>
    </row>
    <row r="64" spans="1:15" s="4" customFormat="1" ht="12.75">
      <c r="A64" s="47"/>
      <c r="B64" s="48"/>
      <c r="C64" s="89" t="s">
        <v>53</v>
      </c>
      <c r="D64" s="90" t="s">
        <v>65</v>
      </c>
      <c r="E64" s="90">
        <v>288</v>
      </c>
      <c r="F64" s="90" t="s">
        <v>325</v>
      </c>
      <c r="G64" s="91">
        <v>46132</v>
      </c>
      <c r="H64" s="93">
        <v>332935</v>
      </c>
    </row>
    <row r="65" spans="1:8" s="4" customFormat="1" ht="12.75">
      <c r="A65" s="47"/>
      <c r="B65" s="48"/>
      <c r="C65" s="89" t="s">
        <v>53</v>
      </c>
      <c r="D65" s="90" t="s">
        <v>65</v>
      </c>
      <c r="E65" s="90">
        <v>240</v>
      </c>
      <c r="F65" s="90"/>
      <c r="G65" s="91"/>
      <c r="H65" s="93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1494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46129</v>
      </c>
      <c r="C69" s="96" t="s">
        <v>3</v>
      </c>
      <c r="D69" s="97" t="s">
        <v>4</v>
      </c>
      <c r="E69" s="97" t="s">
        <v>5</v>
      </c>
      <c r="F69" s="97" t="s">
        <v>6</v>
      </c>
      <c r="G69" s="97" t="s">
        <v>7</v>
      </c>
      <c r="H69" s="98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9" t="s">
        <v>48</v>
      </c>
      <c r="D71" s="65" t="s">
        <v>175</v>
      </c>
      <c r="E71" s="20">
        <v>384</v>
      </c>
      <c r="F71" s="20" t="s">
        <v>70</v>
      </c>
      <c r="G71" s="21">
        <v>46132</v>
      </c>
      <c r="H71" s="49">
        <v>13603072</v>
      </c>
    </row>
    <row r="72" spans="1:8" s="4" customFormat="1" ht="12.75">
      <c r="A72" s="47"/>
      <c r="B72" s="48"/>
      <c r="C72" s="19" t="s">
        <v>48</v>
      </c>
      <c r="D72" s="65" t="s">
        <v>175</v>
      </c>
      <c r="E72" s="20">
        <v>48</v>
      </c>
      <c r="F72" s="20" t="s">
        <v>70</v>
      </c>
      <c r="G72" s="21">
        <v>46146</v>
      </c>
      <c r="H72" s="49">
        <v>13634227</v>
      </c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336</v>
      </c>
      <c r="F73" s="20" t="s">
        <v>70</v>
      </c>
      <c r="G73" s="21">
        <v>46132</v>
      </c>
      <c r="H73" s="49">
        <v>13603072</v>
      </c>
    </row>
    <row r="74" spans="1:8" s="4" customFormat="1" ht="12.75">
      <c r="A74" s="47"/>
      <c r="B74" s="48"/>
      <c r="C74" s="19" t="s">
        <v>94</v>
      </c>
      <c r="D74" s="65" t="s">
        <v>163</v>
      </c>
      <c r="E74" s="20">
        <v>108</v>
      </c>
      <c r="F74" s="20" t="s">
        <v>88</v>
      </c>
      <c r="G74" s="21">
        <v>46139</v>
      </c>
      <c r="H74" s="49">
        <v>400480</v>
      </c>
    </row>
    <row r="75" spans="1:8" s="4" customFormat="1" ht="12.75">
      <c r="A75" s="47"/>
      <c r="B75" s="48"/>
      <c r="C75" s="19" t="s">
        <v>48</v>
      </c>
      <c r="D75" s="20" t="s">
        <v>72</v>
      </c>
      <c r="E75" s="20">
        <v>192</v>
      </c>
      <c r="F75" s="20" t="s">
        <v>70</v>
      </c>
      <c r="G75" s="21">
        <v>46132</v>
      </c>
      <c r="H75" s="49">
        <v>13603072</v>
      </c>
    </row>
    <row r="76" spans="1:8" s="4" customFormat="1" ht="12.75">
      <c r="A76" s="47"/>
      <c r="B76" s="48"/>
      <c r="C76" s="89" t="s">
        <v>94</v>
      </c>
      <c r="D76" s="90" t="s">
        <v>83</v>
      </c>
      <c r="E76" s="90">
        <v>54</v>
      </c>
      <c r="F76" s="135" t="s">
        <v>88</v>
      </c>
      <c r="G76" s="136">
        <v>46139</v>
      </c>
      <c r="H76" s="137">
        <v>400480</v>
      </c>
    </row>
    <row r="77" spans="1:8" s="4" customFormat="1" ht="12.75">
      <c r="A77" s="56"/>
      <c r="B77" s="57"/>
      <c r="C77" s="89" t="s">
        <v>48</v>
      </c>
      <c r="D77" s="99" t="s">
        <v>83</v>
      </c>
      <c r="E77" s="90">
        <v>240</v>
      </c>
      <c r="F77" s="90" t="s">
        <v>70</v>
      </c>
      <c r="G77" s="91">
        <v>46132</v>
      </c>
      <c r="H77" s="93">
        <v>13603072</v>
      </c>
    </row>
    <row r="78" spans="1:8" s="4" customFormat="1" ht="12.75">
      <c r="A78" s="56"/>
      <c r="B78" s="57"/>
      <c r="C78" s="89" t="s">
        <v>48</v>
      </c>
      <c r="D78" s="99" t="s">
        <v>83</v>
      </c>
      <c r="E78" s="90">
        <v>48</v>
      </c>
      <c r="F78" s="135" t="s">
        <v>70</v>
      </c>
      <c r="G78" s="136">
        <v>46146</v>
      </c>
      <c r="H78" s="137">
        <v>13634227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1410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46130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>
      <c r="A85" s="47"/>
      <c r="B85" s="48"/>
      <c r="C85" s="19"/>
      <c r="D85" s="20"/>
      <c r="E85" s="20"/>
      <c r="F85" s="20"/>
      <c r="G85" s="21"/>
      <c r="H85" s="49"/>
      <c r="M85" s="5"/>
    </row>
    <row r="86" spans="1:13" s="4" customFormat="1">
      <c r="A86" s="47"/>
      <c r="B86" s="48"/>
      <c r="C86" s="19"/>
      <c r="D86" s="20"/>
      <c r="E86" s="20"/>
      <c r="F86" s="20"/>
      <c r="G86" s="21"/>
      <c r="H86" s="22"/>
      <c r="M86" s="5"/>
    </row>
    <row r="87" spans="1:13" s="4" customFormat="1">
      <c r="A87" s="47"/>
      <c r="B87" s="48"/>
      <c r="C87" s="19"/>
      <c r="D87" s="20"/>
      <c r="E87" s="20"/>
      <c r="F87" s="20"/>
      <c r="G87" s="21"/>
      <c r="H87" s="22"/>
      <c r="M87" s="5"/>
    </row>
    <row r="88" spans="1:13" s="4" customFormat="1">
      <c r="A88" s="47"/>
      <c r="B88" s="48"/>
      <c r="C88" s="19"/>
      <c r="D88" s="20"/>
      <c r="E88" s="20"/>
      <c r="F88" s="20"/>
      <c r="G88" s="21"/>
      <c r="H88" s="22"/>
      <c r="M88" s="5"/>
    </row>
    <row r="89" spans="1:13" s="4" customFormat="1">
      <c r="A89" s="47"/>
      <c r="B89" s="48"/>
      <c r="C89" s="19"/>
      <c r="D89" s="20"/>
      <c r="E89" s="20"/>
      <c r="F89" s="20"/>
      <c r="G89" s="21"/>
      <c r="H89" s="22"/>
      <c r="M89" s="5"/>
    </row>
    <row r="90" spans="1:13" s="4" customFormat="1">
      <c r="A90" s="47"/>
      <c r="B90" s="48"/>
      <c r="C90" s="19"/>
      <c r="D90" s="20"/>
      <c r="E90" s="20"/>
      <c r="F90" s="20"/>
      <c r="G90" s="21"/>
      <c r="H90" s="22"/>
      <c r="M90" s="5"/>
    </row>
    <row r="91" spans="1:13" s="4" customFormat="1">
      <c r="A91" s="47"/>
      <c r="B91" s="48"/>
      <c r="C91" s="19"/>
      <c r="D91" s="20"/>
      <c r="E91" s="20"/>
      <c r="F91" s="20"/>
      <c r="G91" s="21"/>
      <c r="H91" s="22"/>
      <c r="M91" s="5"/>
    </row>
    <row r="92" spans="1:13" s="4" customFormat="1">
      <c r="A92" s="47"/>
      <c r="B92" s="48"/>
      <c r="C92" s="19"/>
      <c r="D92" s="20"/>
      <c r="E92" s="20"/>
      <c r="F92" s="20"/>
      <c r="G92" s="21"/>
      <c r="H92" s="22"/>
      <c r="M92" s="5"/>
    </row>
    <row r="93" spans="1:13" s="4" customFormat="1">
      <c r="A93" s="47"/>
      <c r="B93" s="48"/>
      <c r="C93" s="19"/>
      <c r="D93" s="20"/>
      <c r="E93" s="20"/>
      <c r="F93" s="20"/>
      <c r="G93" s="21"/>
      <c r="H93" s="22"/>
      <c r="M93" s="5"/>
    </row>
    <row r="94" spans="1:13" s="4" customFormat="1">
      <c r="A94" s="47"/>
      <c r="B94" s="48"/>
      <c r="C94" s="19"/>
      <c r="D94" s="20"/>
      <c r="E94" s="20"/>
      <c r="F94" s="20"/>
      <c r="G94" s="21"/>
      <c r="H94" s="22"/>
      <c r="M94" s="5"/>
    </row>
    <row r="95" spans="1:13" s="4" customFormat="1">
      <c r="A95" s="47"/>
      <c r="B95" s="48"/>
      <c r="C95" s="19"/>
      <c r="D95" s="20"/>
      <c r="E95" s="20"/>
      <c r="F95" s="20"/>
      <c r="G95" s="21"/>
      <c r="H95" s="22"/>
      <c r="M95" s="5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5946-8F21-47A8-A4CF-D80BB0B2FA8F}">
  <dimension ref="A3:P99"/>
  <sheetViews>
    <sheetView topLeftCell="A50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65" t="s">
        <v>76</v>
      </c>
      <c r="E8" s="20">
        <v>144</v>
      </c>
      <c r="F8" s="20" t="s">
        <v>77</v>
      </c>
      <c r="G8" s="21">
        <v>46142</v>
      </c>
      <c r="H8" s="49">
        <v>40133181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71</v>
      </c>
      <c r="E9" s="20">
        <v>96</v>
      </c>
      <c r="F9" s="20" t="s">
        <v>77</v>
      </c>
      <c r="G9" s="21">
        <v>46142</v>
      </c>
      <c r="H9" s="49">
        <v>40133181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84</v>
      </c>
      <c r="E10" s="20">
        <v>48</v>
      </c>
      <c r="F10" s="20" t="s">
        <v>77</v>
      </c>
      <c r="G10" s="21">
        <v>46142</v>
      </c>
      <c r="H10" s="49">
        <v>40133181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87</v>
      </c>
      <c r="E11" s="20">
        <v>48</v>
      </c>
      <c r="F11" s="20" t="s">
        <v>77</v>
      </c>
      <c r="G11" s="21">
        <v>46142</v>
      </c>
      <c r="H11" s="49">
        <v>40133181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63</v>
      </c>
      <c r="E12" s="20">
        <v>192</v>
      </c>
      <c r="F12" s="20" t="s">
        <v>77</v>
      </c>
      <c r="G12" s="21">
        <v>46142</v>
      </c>
      <c r="H12" s="49">
        <v>40133181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61</v>
      </c>
      <c r="E13" s="20">
        <v>96</v>
      </c>
      <c r="F13" s="20" t="s">
        <v>77</v>
      </c>
      <c r="G13" s="21">
        <v>46142</v>
      </c>
      <c r="H13" s="49">
        <v>40133181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64</v>
      </c>
      <c r="E14" s="20">
        <v>48</v>
      </c>
      <c r="F14" s="20" t="s">
        <v>77</v>
      </c>
      <c r="G14" s="21">
        <v>46142</v>
      </c>
      <c r="H14" s="49">
        <v>40133181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65" t="s">
        <v>68</v>
      </c>
      <c r="E15" s="20">
        <v>96</v>
      </c>
      <c r="F15" s="20" t="s">
        <v>77</v>
      </c>
      <c r="G15" s="21">
        <v>46142</v>
      </c>
      <c r="H15" s="49">
        <v>40133181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65</v>
      </c>
      <c r="E16" s="90">
        <v>144</v>
      </c>
      <c r="F16" s="90" t="s">
        <v>77</v>
      </c>
      <c r="G16" s="91">
        <v>46142</v>
      </c>
      <c r="H16" s="93">
        <v>40133181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0" t="s">
        <v>80</v>
      </c>
      <c r="E17" s="90">
        <v>48</v>
      </c>
      <c r="F17" s="90" t="s">
        <v>77</v>
      </c>
      <c r="G17" s="91">
        <v>46142</v>
      </c>
      <c r="H17" s="93">
        <v>40133181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9" t="s">
        <v>80</v>
      </c>
      <c r="E18" s="90">
        <v>216</v>
      </c>
      <c r="F18" s="90" t="s">
        <v>88</v>
      </c>
      <c r="G18" s="91">
        <v>46139</v>
      </c>
      <c r="H18" s="93">
        <v>400480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83</v>
      </c>
      <c r="E19" s="90">
        <v>48</v>
      </c>
      <c r="F19" s="135" t="s">
        <v>70</v>
      </c>
      <c r="G19" s="136">
        <v>46146</v>
      </c>
      <c r="H19" s="137">
        <v>13634227</v>
      </c>
      <c r="J19" s="33" t="s">
        <v>25</v>
      </c>
      <c r="K19" s="26"/>
      <c r="L19" s="29"/>
      <c r="M19" s="26"/>
    </row>
    <row r="20" spans="1:13">
      <c r="C20" s="89" t="s">
        <v>48</v>
      </c>
      <c r="D20" s="99" t="s">
        <v>83</v>
      </c>
      <c r="E20" s="90">
        <v>192</v>
      </c>
      <c r="F20" s="135"/>
      <c r="G20" s="136"/>
      <c r="H20" s="137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46133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46134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46135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338</v>
      </c>
      <c r="D54" s="65" t="s">
        <v>74</v>
      </c>
      <c r="E54" s="20">
        <v>105</v>
      </c>
      <c r="F54" s="20" t="s">
        <v>339</v>
      </c>
      <c r="G54" s="21">
        <v>46142</v>
      </c>
      <c r="H54" s="49">
        <v>40133181</v>
      </c>
      <c r="J54" s="3"/>
      <c r="K54" s="3"/>
      <c r="L54" s="3"/>
    </row>
    <row r="55" spans="1:15">
      <c r="A55" s="47"/>
      <c r="B55" s="48"/>
      <c r="C55" s="19" t="s">
        <v>338</v>
      </c>
      <c r="D55" s="20" t="s">
        <v>64</v>
      </c>
      <c r="E55" s="20">
        <v>105</v>
      </c>
      <c r="F55" s="20" t="s">
        <v>339</v>
      </c>
      <c r="G55" s="21">
        <v>46142</v>
      </c>
      <c r="H55" s="49">
        <v>40133181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338</v>
      </c>
      <c r="D56" s="20" t="s">
        <v>68</v>
      </c>
      <c r="E56" s="20">
        <v>105</v>
      </c>
      <c r="F56" s="20" t="s">
        <v>339</v>
      </c>
      <c r="G56" s="21">
        <v>46142</v>
      </c>
      <c r="H56" s="49">
        <v>40133181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338</v>
      </c>
      <c r="D57" s="20" t="s">
        <v>78</v>
      </c>
      <c r="E57" s="20">
        <v>105</v>
      </c>
      <c r="F57" s="20" t="s">
        <v>339</v>
      </c>
      <c r="G57" s="21">
        <v>46142</v>
      </c>
      <c r="H57" s="49">
        <v>40133181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264</v>
      </c>
      <c r="D59" s="99" t="s">
        <v>221</v>
      </c>
      <c r="E59" s="90">
        <v>105</v>
      </c>
      <c r="F59" s="90" t="s">
        <v>88</v>
      </c>
      <c r="G59" s="91">
        <v>46139</v>
      </c>
      <c r="H59" s="93">
        <v>400480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264</v>
      </c>
      <c r="D60" s="99" t="s">
        <v>221</v>
      </c>
      <c r="E60" s="90">
        <v>105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90" t="s">
        <v>264</v>
      </c>
      <c r="D61" s="90" t="s">
        <v>204</v>
      </c>
      <c r="E61" s="90">
        <v>105</v>
      </c>
      <c r="F61" s="90" t="s">
        <v>88</v>
      </c>
      <c r="G61" s="91">
        <v>46139</v>
      </c>
      <c r="H61" s="93">
        <v>400480</v>
      </c>
      <c r="M61" s="3"/>
      <c r="N61" s="81"/>
      <c r="O61" s="3"/>
    </row>
    <row r="62" spans="1:15" s="4" customFormat="1" ht="12.75">
      <c r="A62" s="47"/>
      <c r="B62" s="48"/>
      <c r="C62" s="90" t="s">
        <v>264</v>
      </c>
      <c r="D62" s="90" t="s">
        <v>204</v>
      </c>
      <c r="E62" s="90">
        <v>105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90" t="s">
        <v>264</v>
      </c>
      <c r="D63" s="90" t="s">
        <v>217</v>
      </c>
      <c r="E63" s="90">
        <v>210</v>
      </c>
      <c r="F63" s="90" t="s">
        <v>88</v>
      </c>
      <c r="G63" s="91">
        <v>46139</v>
      </c>
      <c r="H63" s="93">
        <v>400480</v>
      </c>
    </row>
    <row r="64" spans="1:15" s="4" customFormat="1" ht="12.75">
      <c r="A64" s="47"/>
      <c r="B64" s="48"/>
      <c r="C64" s="90" t="s">
        <v>264</v>
      </c>
      <c r="D64" s="90" t="s">
        <v>217</v>
      </c>
      <c r="E64" s="90">
        <v>105</v>
      </c>
      <c r="F64" s="90"/>
      <c r="G64" s="91"/>
      <c r="H64" s="93"/>
    </row>
    <row r="65" spans="1:8" s="4" customFormat="1" ht="12.75">
      <c r="A65" s="47"/>
      <c r="B65" s="48"/>
      <c r="C65" s="90" t="s">
        <v>264</v>
      </c>
      <c r="D65" s="90" t="s">
        <v>216</v>
      </c>
      <c r="E65" s="90">
        <v>210</v>
      </c>
      <c r="F65" s="90" t="s">
        <v>88</v>
      </c>
      <c r="G65" s="91">
        <v>46139</v>
      </c>
      <c r="H65" s="93">
        <v>400480</v>
      </c>
    </row>
    <row r="66" spans="1:8" s="4" customFormat="1" ht="12.75">
      <c r="A66" s="47"/>
      <c r="B66" s="48"/>
      <c r="C66" s="90" t="s">
        <v>264</v>
      </c>
      <c r="D66" s="90" t="s">
        <v>216</v>
      </c>
      <c r="E66" s="90">
        <v>105</v>
      </c>
      <c r="F66" s="90"/>
      <c r="G66" s="91"/>
      <c r="H66" s="93"/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1470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46136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48</v>
      </c>
      <c r="D72" s="20" t="s">
        <v>61</v>
      </c>
      <c r="E72" s="123">
        <v>336</v>
      </c>
      <c r="F72" s="123" t="s">
        <v>70</v>
      </c>
      <c r="G72" s="124">
        <v>46139</v>
      </c>
      <c r="H72" s="126">
        <v>13619901</v>
      </c>
    </row>
    <row r="73" spans="1:8" s="4" customFormat="1" ht="12.75">
      <c r="A73" s="47"/>
      <c r="B73" s="48"/>
      <c r="C73" s="19" t="s">
        <v>48</v>
      </c>
      <c r="D73" s="20" t="s">
        <v>62</v>
      </c>
      <c r="E73" s="20">
        <v>288</v>
      </c>
      <c r="F73" s="123" t="s">
        <v>70</v>
      </c>
      <c r="G73" s="124">
        <v>46139</v>
      </c>
      <c r="H73" s="126">
        <v>13619901</v>
      </c>
    </row>
    <row r="74" spans="1:8" s="4" customFormat="1" ht="12.75">
      <c r="A74" s="47"/>
      <c r="B74" s="48"/>
      <c r="C74" s="19" t="s">
        <v>48</v>
      </c>
      <c r="D74" s="20" t="s">
        <v>326</v>
      </c>
      <c r="E74" s="20">
        <v>192</v>
      </c>
      <c r="F74" s="123" t="s">
        <v>70</v>
      </c>
      <c r="G74" s="124">
        <v>46139</v>
      </c>
      <c r="H74" s="126">
        <v>13619901</v>
      </c>
    </row>
    <row r="75" spans="1:8" s="4" customFormat="1" ht="12.75">
      <c r="A75" s="47"/>
      <c r="B75" s="48"/>
      <c r="C75" s="19" t="s">
        <v>48</v>
      </c>
      <c r="D75" s="20" t="s">
        <v>327</v>
      </c>
      <c r="E75" s="20">
        <v>192</v>
      </c>
      <c r="F75" s="123" t="s">
        <v>70</v>
      </c>
      <c r="G75" s="124">
        <v>46139</v>
      </c>
      <c r="H75" s="126">
        <v>13619901</v>
      </c>
    </row>
    <row r="76" spans="1:8" s="4" customFormat="1" ht="12.75">
      <c r="A76" s="47"/>
      <c r="B76" s="48"/>
      <c r="C76" s="19" t="s">
        <v>48</v>
      </c>
      <c r="D76" s="65" t="s">
        <v>72</v>
      </c>
      <c r="E76" s="20">
        <v>192</v>
      </c>
      <c r="F76" s="123" t="s">
        <v>70</v>
      </c>
      <c r="G76" s="124">
        <v>46139</v>
      </c>
      <c r="H76" s="126">
        <v>13619901</v>
      </c>
    </row>
    <row r="77" spans="1:8" s="4" customFormat="1" ht="12.75">
      <c r="A77" s="47"/>
      <c r="B77" s="48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05" t="s">
        <v>94</v>
      </c>
      <c r="D81" s="106" t="s">
        <v>89</v>
      </c>
      <c r="E81" s="106">
        <v>162</v>
      </c>
      <c r="F81" s="106" t="s">
        <v>88</v>
      </c>
      <c r="G81" s="107">
        <v>46139</v>
      </c>
      <c r="H81" s="108">
        <v>400480</v>
      </c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1362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46137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852-97D5-4B41-A840-D190FF225094}">
  <dimension ref="A3:P97"/>
  <sheetViews>
    <sheetView topLeftCell="A51"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66</v>
      </c>
      <c r="D7" s="65" t="s">
        <v>68</v>
      </c>
      <c r="E7" s="20">
        <v>240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300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360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63</v>
      </c>
      <c r="E11" s="20">
        <v>300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66</v>
      </c>
      <c r="D12" s="123" t="s">
        <v>69</v>
      </c>
      <c r="E12" s="123">
        <v>240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22"/>
      <c r="D30" s="123"/>
      <c r="E30" s="123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46146</v>
      </c>
      <c r="H54" s="22">
        <v>333376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144</v>
      </c>
      <c r="F55" s="20" t="s">
        <v>59</v>
      </c>
      <c r="G55" s="21">
        <v>46147</v>
      </c>
      <c r="H55" s="22">
        <v>333377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63</v>
      </c>
      <c r="E56" s="20">
        <v>384</v>
      </c>
      <c r="F56" s="20" t="s">
        <v>59</v>
      </c>
      <c r="G56" s="21">
        <v>46147</v>
      </c>
      <c r="H56" s="22">
        <v>333377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46146</v>
      </c>
      <c r="H57" s="22">
        <v>333376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122" t="s">
        <v>3</v>
      </c>
      <c r="D59" s="20" t="s">
        <v>86</v>
      </c>
      <c r="E59" s="123">
        <v>240</v>
      </c>
      <c r="F59" s="123" t="s">
        <v>148</v>
      </c>
      <c r="G59" s="124">
        <v>46146</v>
      </c>
      <c r="H59" s="126">
        <v>76520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46143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46153</v>
      </c>
      <c r="H70" s="126">
        <v>76610</v>
      </c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 t="s">
        <v>48</v>
      </c>
      <c r="D72" s="20" t="s">
        <v>72</v>
      </c>
      <c r="E72" s="20">
        <v>96</v>
      </c>
      <c r="F72" s="20" t="s">
        <v>70</v>
      </c>
      <c r="G72" s="21">
        <v>46153</v>
      </c>
      <c r="H72" s="49">
        <v>13654989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20" t="s">
        <v>70</v>
      </c>
      <c r="G73" s="21">
        <v>46160</v>
      </c>
      <c r="H73" s="49">
        <v>13667609</v>
      </c>
    </row>
    <row r="74" spans="1:8" s="4" customFormat="1" ht="12.75">
      <c r="A74" s="47"/>
      <c r="B74" s="48"/>
      <c r="C74" s="122" t="s">
        <v>48</v>
      </c>
      <c r="D74" s="123" t="s">
        <v>62</v>
      </c>
      <c r="E74" s="123">
        <v>144</v>
      </c>
      <c r="F74" s="123" t="s">
        <v>70</v>
      </c>
      <c r="G74" s="124">
        <v>46160</v>
      </c>
      <c r="H74" s="126">
        <v>13667609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48</v>
      </c>
      <c r="F75" s="20" t="s">
        <v>70</v>
      </c>
      <c r="G75" s="21">
        <v>46153</v>
      </c>
      <c r="H75" s="49">
        <v>13654989</v>
      </c>
    </row>
    <row r="76" spans="1:8" s="4" customFormat="1" ht="12.75">
      <c r="A76" s="56"/>
      <c r="B76" s="57"/>
      <c r="C76" s="19" t="s">
        <v>48</v>
      </c>
      <c r="D76" s="20" t="s">
        <v>326</v>
      </c>
      <c r="E76" s="20">
        <v>288</v>
      </c>
      <c r="F76" s="20" t="s">
        <v>70</v>
      </c>
      <c r="G76" s="21">
        <v>46153</v>
      </c>
      <c r="H76" s="49">
        <v>13654989</v>
      </c>
    </row>
    <row r="77" spans="1:8" s="4" customFormat="1" ht="12.75">
      <c r="A77" s="56"/>
      <c r="B77" s="57"/>
      <c r="C77" s="122" t="s">
        <v>48</v>
      </c>
      <c r="D77" s="123" t="s">
        <v>62</v>
      </c>
      <c r="E77" s="123">
        <v>144</v>
      </c>
      <c r="F77" s="123"/>
      <c r="G77" s="124"/>
      <c r="H77" s="126"/>
    </row>
    <row r="78" spans="1:8" s="4" customFormat="1" ht="12.75">
      <c r="A78" s="56"/>
      <c r="B78" s="57"/>
      <c r="C78" s="105" t="s">
        <v>198</v>
      </c>
      <c r="D78" s="106" t="s">
        <v>89</v>
      </c>
      <c r="E78" s="106">
        <v>54</v>
      </c>
      <c r="F78" s="107" t="s">
        <v>149</v>
      </c>
      <c r="G78" s="107">
        <v>46161</v>
      </c>
      <c r="H78" s="108">
        <v>742026</v>
      </c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162</v>
      </c>
      <c r="F79" s="106"/>
      <c r="G79" s="107"/>
      <c r="H79" s="108"/>
    </row>
    <row r="80" spans="1:8" s="4" customFormat="1" ht="13.5" thickBot="1">
      <c r="A80" s="56"/>
      <c r="B80" s="57"/>
      <c r="C80" s="105" t="s">
        <v>75</v>
      </c>
      <c r="D80" s="106" t="s">
        <v>89</v>
      </c>
      <c r="E80" s="106">
        <v>144</v>
      </c>
      <c r="F80" s="106"/>
      <c r="G80" s="107"/>
      <c r="H80" s="108"/>
    </row>
    <row r="81" spans="1:8" s="4" customFormat="1" ht="13.5" thickBot="1">
      <c r="A81" s="39"/>
      <c r="B81" s="40"/>
      <c r="C81" s="35"/>
      <c r="D81" s="36"/>
      <c r="E81" s="58">
        <f>SUM(E69:E80)</f>
        <v>1416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46144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22"/>
      <c r="D85" s="123"/>
      <c r="E85" s="123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4DD-389D-4C2E-8DF4-40EFF531649D}">
  <dimension ref="A3:P97"/>
  <sheetViews>
    <sheetView topLeftCell="A48" workbookViewId="0">
      <selection activeCell="F60" sqref="F60:H6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329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46146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73</v>
      </c>
      <c r="D6" s="15" t="s">
        <v>64</v>
      </c>
      <c r="E6" s="15">
        <v>60</v>
      </c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98</v>
      </c>
      <c r="D8" s="20" t="s">
        <v>61</v>
      </c>
      <c r="E8" s="20">
        <v>96</v>
      </c>
      <c r="F8" s="123" t="s">
        <v>99</v>
      </c>
      <c r="G8" s="124">
        <v>46148</v>
      </c>
      <c r="H8" s="126">
        <v>636309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144</v>
      </c>
      <c r="F9" s="20" t="s">
        <v>70</v>
      </c>
      <c r="G9" s="21">
        <v>46153</v>
      </c>
      <c r="H9" s="49">
        <v>13654989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58</v>
      </c>
      <c r="E10" s="20">
        <v>96</v>
      </c>
      <c r="F10" s="20" t="s">
        <v>99</v>
      </c>
      <c r="G10" s="21">
        <v>46148</v>
      </c>
      <c r="H10" s="49">
        <v>636309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98</v>
      </c>
      <c r="D11" s="99" t="s">
        <v>65</v>
      </c>
      <c r="E11" s="90">
        <v>144</v>
      </c>
      <c r="F11" s="90" t="s">
        <v>99</v>
      </c>
      <c r="G11" s="91">
        <v>46148</v>
      </c>
      <c r="H11" s="93">
        <v>636309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239</v>
      </c>
      <c r="D12" s="99" t="s">
        <v>102</v>
      </c>
      <c r="E12" s="90">
        <v>216</v>
      </c>
      <c r="F12" s="90"/>
      <c r="G12" s="91"/>
      <c r="H12" s="93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83</v>
      </c>
      <c r="E13" s="90">
        <v>288</v>
      </c>
      <c r="F13" s="90" t="s">
        <v>70</v>
      </c>
      <c r="G13" s="91">
        <v>46153</v>
      </c>
      <c r="H13" s="93">
        <v>13654989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83</v>
      </c>
      <c r="E14" s="90">
        <v>192</v>
      </c>
      <c r="F14" s="90" t="s">
        <v>70</v>
      </c>
      <c r="G14" s="91">
        <v>46160</v>
      </c>
      <c r="H14" s="93">
        <v>13667609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144</v>
      </c>
      <c r="F15" s="90" t="s">
        <v>99</v>
      </c>
      <c r="G15" s="91">
        <v>46148</v>
      </c>
      <c r="H15" s="93">
        <v>636309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239</v>
      </c>
      <c r="D16" s="99" t="s">
        <v>83</v>
      </c>
      <c r="E16" s="90">
        <v>216</v>
      </c>
      <c r="F16" s="90"/>
      <c r="G16" s="91"/>
      <c r="H16" s="93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20" t="s">
        <v>326</v>
      </c>
      <c r="E54" s="20">
        <v>288</v>
      </c>
      <c r="F54" s="20" t="s">
        <v>70</v>
      </c>
      <c r="G54" s="21">
        <v>46153</v>
      </c>
      <c r="H54" s="49">
        <v>13654989</v>
      </c>
      <c r="J54" s="3"/>
      <c r="K54" s="3"/>
      <c r="L54" s="3"/>
    </row>
    <row r="55" spans="1:15">
      <c r="A55" s="47"/>
      <c r="B55" s="48"/>
      <c r="C55" s="19" t="s">
        <v>48</v>
      </c>
      <c r="D55" s="20" t="s">
        <v>326</v>
      </c>
      <c r="E55" s="20">
        <v>144</v>
      </c>
      <c r="F55" s="20" t="s">
        <v>70</v>
      </c>
      <c r="G55" s="21">
        <v>46160</v>
      </c>
      <c r="H55" s="49">
        <v>13667609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61</v>
      </c>
      <c r="E57" s="20">
        <v>240</v>
      </c>
      <c r="F57" s="123" t="s">
        <v>70</v>
      </c>
      <c r="G57" s="124">
        <v>46160</v>
      </c>
      <c r="H57" s="126">
        <v>13667609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19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340</v>
      </c>
      <c r="E59" s="20">
        <v>192</v>
      </c>
      <c r="F59" s="123" t="s">
        <v>70</v>
      </c>
      <c r="G59" s="124">
        <v>46160</v>
      </c>
      <c r="H59" s="126">
        <v>13667609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340</v>
      </c>
      <c r="E60" s="20">
        <v>192</v>
      </c>
      <c r="F60" s="20" t="s">
        <v>70</v>
      </c>
      <c r="G60" s="21">
        <v>46168</v>
      </c>
      <c r="H60" s="49">
        <v>13689759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327</v>
      </c>
      <c r="E61" s="20">
        <v>288</v>
      </c>
      <c r="F61" s="20" t="s">
        <v>70</v>
      </c>
      <c r="G61" s="21">
        <v>46153</v>
      </c>
      <c r="H61" s="49">
        <v>13654989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327</v>
      </c>
      <c r="E62" s="20">
        <v>144</v>
      </c>
      <c r="F62" s="20" t="s">
        <v>70</v>
      </c>
      <c r="G62" s="21">
        <v>46160</v>
      </c>
      <c r="H62" s="49">
        <v>13667609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46150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323</v>
      </c>
      <c r="E70" s="20">
        <v>96</v>
      </c>
      <c r="F70" s="20" t="s">
        <v>59</v>
      </c>
      <c r="G70" s="21">
        <v>46160</v>
      </c>
      <c r="H70" s="49">
        <v>333892</v>
      </c>
    </row>
    <row r="71" spans="1:8" s="4" customFormat="1" ht="12.75">
      <c r="A71" s="47"/>
      <c r="B71" s="48"/>
      <c r="C71" s="19" t="s">
        <v>53</v>
      </c>
      <c r="D71" s="65" t="s">
        <v>67</v>
      </c>
      <c r="E71" s="20">
        <v>288</v>
      </c>
      <c r="F71" s="20" t="s">
        <v>59</v>
      </c>
      <c r="G71" s="21">
        <v>46160</v>
      </c>
      <c r="H71" s="49">
        <v>333892</v>
      </c>
    </row>
    <row r="72" spans="1:8" s="4" customFormat="1" ht="12.75">
      <c r="A72" s="47"/>
      <c r="B72" s="48"/>
      <c r="C72" s="19" t="s">
        <v>53</v>
      </c>
      <c r="D72" s="20" t="s">
        <v>68</v>
      </c>
      <c r="E72" s="20">
        <v>480</v>
      </c>
      <c r="F72" s="20" t="s">
        <v>59</v>
      </c>
      <c r="G72" s="21">
        <v>46160</v>
      </c>
      <c r="H72" s="49">
        <v>333892</v>
      </c>
    </row>
    <row r="73" spans="1:8" s="4" customFormat="1" ht="12.75">
      <c r="A73" s="47"/>
      <c r="B73" s="48"/>
      <c r="C73" s="19" t="s">
        <v>53</v>
      </c>
      <c r="D73" s="20" t="s">
        <v>233</v>
      </c>
      <c r="E73" s="20">
        <v>288</v>
      </c>
      <c r="F73" s="20" t="s">
        <v>59</v>
      </c>
      <c r="G73" s="21">
        <v>46160</v>
      </c>
      <c r="H73" s="49">
        <v>333892</v>
      </c>
    </row>
    <row r="74" spans="1:8" s="4" customFormat="1" ht="12.75">
      <c r="A74" s="47"/>
      <c r="B74" s="48"/>
      <c r="C74" s="19" t="s">
        <v>53</v>
      </c>
      <c r="D74" s="20" t="s">
        <v>233</v>
      </c>
      <c r="E74" s="20">
        <v>137</v>
      </c>
      <c r="F74" s="20"/>
      <c r="G74" s="21"/>
      <c r="H74" s="49"/>
    </row>
    <row r="75" spans="1:8" s="4" customFormat="1" ht="12.75">
      <c r="A75" s="47"/>
      <c r="B75" s="48"/>
      <c r="C75" s="19" t="s">
        <v>53</v>
      </c>
      <c r="D75" s="20" t="s">
        <v>318</v>
      </c>
      <c r="E75" s="20">
        <v>96</v>
      </c>
      <c r="F75" s="20" t="s">
        <v>59</v>
      </c>
      <c r="G75" s="21">
        <v>46160</v>
      </c>
      <c r="H75" s="22">
        <v>333892</v>
      </c>
    </row>
    <row r="76" spans="1:8" s="4" customFormat="1" ht="12.75">
      <c r="A76" s="56"/>
      <c r="B76" s="57"/>
      <c r="C76" s="19" t="s">
        <v>94</v>
      </c>
      <c r="D76" s="65" t="s">
        <v>342</v>
      </c>
      <c r="E76" s="20">
        <v>54</v>
      </c>
      <c r="F76" s="20" t="s">
        <v>88</v>
      </c>
      <c r="G76" s="21">
        <v>46155</v>
      </c>
      <c r="H76" s="49">
        <v>400640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46151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2FD-6AE4-47DC-A8D9-61CE1443D966}">
  <dimension ref="A3:P112"/>
  <sheetViews>
    <sheetView topLeftCell="A60" workbookViewId="0">
      <selection activeCell="G94" sqref="G9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46153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240</v>
      </c>
      <c r="F7" s="20" t="s">
        <v>341</v>
      </c>
      <c r="G7" s="21">
        <v>46163</v>
      </c>
      <c r="H7" s="49">
        <v>333969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62</v>
      </c>
      <c r="E8" s="20">
        <v>96</v>
      </c>
      <c r="F8" s="20" t="s">
        <v>341</v>
      </c>
      <c r="G8" s="21">
        <v>46167</v>
      </c>
      <c r="H8" s="49">
        <v>333986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62</v>
      </c>
      <c r="E9" s="20">
        <v>240</v>
      </c>
      <c r="F9" s="20" t="s">
        <v>341</v>
      </c>
      <c r="G9" s="21">
        <v>46170</v>
      </c>
      <c r="H9" s="49">
        <v>333983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432</v>
      </c>
      <c r="F11" s="20" t="s">
        <v>341</v>
      </c>
      <c r="G11" s="21">
        <v>46167</v>
      </c>
      <c r="H11" s="49">
        <v>333986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384</v>
      </c>
      <c r="F12" s="20" t="s">
        <v>341</v>
      </c>
      <c r="G12" s="21">
        <v>46170</v>
      </c>
      <c r="H12" s="49">
        <v>333983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64</v>
      </c>
      <c r="E13" s="20">
        <v>336</v>
      </c>
      <c r="F13" s="20" t="s">
        <v>341</v>
      </c>
      <c r="G13" s="21">
        <v>46163</v>
      </c>
      <c r="H13" s="49">
        <v>333969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46154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46155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46156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65" t="s">
        <v>86</v>
      </c>
      <c r="E54" s="20">
        <v>180</v>
      </c>
      <c r="F54" s="20" t="s">
        <v>148</v>
      </c>
      <c r="G54" s="21">
        <v>46160</v>
      </c>
      <c r="H54" s="49">
        <v>76764</v>
      </c>
      <c r="J54" s="3"/>
      <c r="K54" s="3"/>
      <c r="L54" s="3"/>
    </row>
    <row r="55" spans="1:15">
      <c r="A55" s="47"/>
      <c r="B55" s="48"/>
      <c r="C55" s="19" t="s">
        <v>3</v>
      </c>
      <c r="D55" s="65" t="s">
        <v>86</v>
      </c>
      <c r="E55" s="20">
        <v>240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149</v>
      </c>
      <c r="D57" s="65" t="s">
        <v>74</v>
      </c>
      <c r="E57" s="20">
        <v>60</v>
      </c>
      <c r="F57" s="20" t="s">
        <v>149</v>
      </c>
      <c r="G57" s="21">
        <v>46161</v>
      </c>
      <c r="H57" s="49">
        <v>742026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65" t="s">
        <v>63</v>
      </c>
      <c r="E58" s="20">
        <v>60</v>
      </c>
      <c r="F58" s="20" t="s">
        <v>149</v>
      </c>
      <c r="G58" s="21">
        <v>46161</v>
      </c>
      <c r="H58" s="49">
        <v>742026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67</v>
      </c>
      <c r="E59" s="20">
        <v>120</v>
      </c>
      <c r="F59" s="20" t="s">
        <v>149</v>
      </c>
      <c r="G59" s="21">
        <v>46161</v>
      </c>
      <c r="H59" s="49">
        <v>742026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65" t="s">
        <v>68</v>
      </c>
      <c r="E60" s="20">
        <v>60</v>
      </c>
      <c r="F60" s="20" t="s">
        <v>149</v>
      </c>
      <c r="G60" s="21">
        <v>46161</v>
      </c>
      <c r="H60" s="49">
        <v>742026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22" t="s">
        <v>48</v>
      </c>
      <c r="D61" s="123" t="s">
        <v>347</v>
      </c>
      <c r="E61" s="123">
        <v>144</v>
      </c>
      <c r="F61" s="20" t="s">
        <v>70</v>
      </c>
      <c r="G61" s="21">
        <v>46168</v>
      </c>
      <c r="H61" s="49">
        <v>13689759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266</v>
      </c>
      <c r="D62" s="20" t="s">
        <v>62</v>
      </c>
      <c r="E62" s="20">
        <v>48</v>
      </c>
      <c r="F62" s="20" t="s">
        <v>149</v>
      </c>
      <c r="G62" s="21">
        <v>46161</v>
      </c>
      <c r="H62" s="49">
        <v>742026</v>
      </c>
      <c r="M62" s="3"/>
      <c r="N62" s="81"/>
      <c r="O62" s="3"/>
    </row>
    <row r="63" spans="1:15" s="4" customFormat="1" ht="12.75">
      <c r="A63" s="47"/>
      <c r="B63" s="48"/>
      <c r="C63" s="19" t="s">
        <v>266</v>
      </c>
      <c r="D63" s="20" t="s">
        <v>63</v>
      </c>
      <c r="E63" s="20">
        <v>48</v>
      </c>
      <c r="F63" s="20" t="s">
        <v>149</v>
      </c>
      <c r="G63" s="21">
        <v>46161</v>
      </c>
      <c r="H63" s="49">
        <v>742026</v>
      </c>
      <c r="M63" s="3"/>
      <c r="N63" s="81"/>
      <c r="O63" s="3"/>
    </row>
    <row r="64" spans="1:15" s="4" customFormat="1" ht="12.75">
      <c r="A64" s="47"/>
      <c r="B64" s="48"/>
      <c r="C64" s="19" t="s">
        <v>266</v>
      </c>
      <c r="D64" s="20" t="s">
        <v>61</v>
      </c>
      <c r="E64" s="20">
        <v>48</v>
      </c>
      <c r="F64" s="20" t="s">
        <v>149</v>
      </c>
      <c r="G64" s="21">
        <v>46161</v>
      </c>
      <c r="H64" s="49">
        <v>742026</v>
      </c>
      <c r="M64" s="3"/>
      <c r="N64" s="81"/>
      <c r="O64" s="3"/>
    </row>
    <row r="65" spans="1:15" s="4" customFormat="1" ht="12.75">
      <c r="A65" s="47"/>
      <c r="B65" s="48"/>
      <c r="C65" s="19" t="s">
        <v>48</v>
      </c>
      <c r="D65" s="19" t="s">
        <v>61</v>
      </c>
      <c r="E65" s="20">
        <v>192</v>
      </c>
      <c r="F65" s="20" t="s">
        <v>70</v>
      </c>
      <c r="G65" s="21">
        <v>46168</v>
      </c>
      <c r="H65" s="49">
        <v>13689759</v>
      </c>
      <c r="M65" s="3"/>
      <c r="N65" s="81"/>
      <c r="O65" s="3"/>
    </row>
    <row r="66" spans="1:15" s="4" customFormat="1" ht="12.75">
      <c r="A66" s="47"/>
      <c r="B66" s="48"/>
      <c r="C66" s="19" t="s">
        <v>266</v>
      </c>
      <c r="D66" s="20" t="s">
        <v>343</v>
      </c>
      <c r="E66" s="20">
        <v>96</v>
      </c>
      <c r="F66" s="20" t="s">
        <v>149</v>
      </c>
      <c r="G66" s="21">
        <v>46161</v>
      </c>
      <c r="H66" s="49">
        <v>742026</v>
      </c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05" t="s">
        <v>94</v>
      </c>
      <c r="D68" s="106" t="s">
        <v>89</v>
      </c>
      <c r="E68" s="106">
        <v>54</v>
      </c>
      <c r="F68" s="106" t="s">
        <v>88</v>
      </c>
      <c r="G68" s="107">
        <v>46160</v>
      </c>
      <c r="H68" s="108">
        <v>400685</v>
      </c>
    </row>
    <row r="69" spans="1:15" s="4" customFormat="1" ht="12.75">
      <c r="A69" s="47"/>
      <c r="B69" s="48"/>
      <c r="C69" s="105" t="s">
        <v>94</v>
      </c>
      <c r="D69" s="106" t="s">
        <v>89</v>
      </c>
      <c r="E69" s="106">
        <v>108</v>
      </c>
      <c r="F69" s="106"/>
      <c r="G69" s="107"/>
      <c r="H69" s="108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15" s="4" customFormat="1" ht="12.75">
      <c r="A73" s="47"/>
      <c r="B73" s="48"/>
      <c r="C73" s="19"/>
      <c r="D73" s="20"/>
      <c r="E73" s="70">
        <f>SUM(E53:E69)</f>
        <v>1458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46157</v>
      </c>
      <c r="C75" s="82" t="s">
        <v>3</v>
      </c>
      <c r="D75" s="83" t="s">
        <v>4</v>
      </c>
      <c r="E75" s="83" t="s">
        <v>5</v>
      </c>
      <c r="F75" s="83" t="s">
        <v>6</v>
      </c>
      <c r="G75" s="83" t="s">
        <v>7</v>
      </c>
      <c r="H75" s="84" t="s">
        <v>8</v>
      </c>
    </row>
    <row r="76" spans="1:15" s="4" customFormat="1" ht="12.75">
      <c r="A76" s="44"/>
      <c r="B76" s="45"/>
      <c r="C76" s="14"/>
      <c r="D76" s="15"/>
      <c r="E76" s="15"/>
      <c r="F76" s="15"/>
      <c r="G76" s="16"/>
      <c r="H76" s="17"/>
    </row>
    <row r="77" spans="1:15" s="4" customFormat="1" ht="12.75">
      <c r="A77" s="44"/>
      <c r="B77" s="45"/>
      <c r="C77" s="19" t="s">
        <v>3</v>
      </c>
      <c r="D77" s="65" t="s">
        <v>135</v>
      </c>
      <c r="E77" s="20">
        <v>54</v>
      </c>
      <c r="F77" s="20" t="s">
        <v>148</v>
      </c>
      <c r="G77" s="21">
        <v>46160</v>
      </c>
      <c r="H77" s="49">
        <v>76764</v>
      </c>
    </row>
    <row r="78" spans="1:15" s="4" customFormat="1" ht="12.75">
      <c r="A78" s="44"/>
      <c r="B78" s="45"/>
      <c r="C78" s="19"/>
      <c r="D78" s="20"/>
      <c r="E78" s="20"/>
      <c r="F78" s="20"/>
      <c r="G78" s="21"/>
      <c r="H78" s="49"/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 t="s">
        <v>48</v>
      </c>
      <c r="D80" s="20" t="s">
        <v>62</v>
      </c>
      <c r="E80" s="20">
        <v>240</v>
      </c>
      <c r="F80" s="20" t="s">
        <v>70</v>
      </c>
      <c r="G80" s="21">
        <v>46174</v>
      </c>
      <c r="H80" s="49">
        <v>13708175</v>
      </c>
    </row>
    <row r="81" spans="1:8" s="4" customFormat="1" ht="12.75">
      <c r="A81" s="47"/>
      <c r="B81" s="48"/>
      <c r="C81" s="122" t="s">
        <v>48</v>
      </c>
      <c r="D81" s="123" t="s">
        <v>61</v>
      </c>
      <c r="E81" s="123">
        <v>288</v>
      </c>
      <c r="F81" s="20" t="s">
        <v>70</v>
      </c>
      <c r="G81" s="21">
        <v>46174</v>
      </c>
      <c r="H81" s="49">
        <v>13708175</v>
      </c>
    </row>
    <row r="82" spans="1:8" s="4" customFormat="1" ht="12.75">
      <c r="A82" s="47"/>
      <c r="B82" s="48"/>
      <c r="C82" s="19"/>
      <c r="D82" s="20"/>
      <c r="E82" s="20"/>
      <c r="F82" s="20"/>
      <c r="G82" s="21"/>
      <c r="H82" s="49"/>
    </row>
    <row r="83" spans="1:8" s="4" customFormat="1" ht="12.75">
      <c r="A83" s="47"/>
      <c r="B83" s="48"/>
      <c r="C83" s="19" t="s">
        <v>94</v>
      </c>
      <c r="D83" s="20" t="s">
        <v>107</v>
      </c>
      <c r="E83" s="20">
        <v>216</v>
      </c>
      <c r="F83" s="20" t="s">
        <v>88</v>
      </c>
      <c r="G83" s="21">
        <v>46160</v>
      </c>
      <c r="H83" s="49">
        <v>400685</v>
      </c>
    </row>
    <row r="84" spans="1:8" s="4" customFormat="1" ht="12.75">
      <c r="A84" s="47"/>
      <c r="B84" s="48"/>
      <c r="C84" s="19" t="s">
        <v>198</v>
      </c>
      <c r="D84" s="20" t="s">
        <v>107</v>
      </c>
      <c r="E84" s="20">
        <v>54</v>
      </c>
      <c r="F84" s="20" t="s">
        <v>149</v>
      </c>
      <c r="G84" s="21">
        <v>46161</v>
      </c>
      <c r="H84" s="49">
        <v>742026</v>
      </c>
    </row>
    <row r="85" spans="1:8" s="4" customFormat="1" ht="12.75">
      <c r="A85" s="47"/>
      <c r="B85" s="48"/>
      <c r="C85" s="19" t="s">
        <v>94</v>
      </c>
      <c r="D85" s="65" t="s">
        <v>101</v>
      </c>
      <c r="E85" s="20">
        <v>108</v>
      </c>
      <c r="F85" s="20" t="s">
        <v>88</v>
      </c>
      <c r="G85" s="21">
        <v>46160</v>
      </c>
      <c r="H85" s="49">
        <v>400685</v>
      </c>
    </row>
    <row r="86" spans="1:8" s="4" customFormat="1" ht="12.75">
      <c r="A86" s="47"/>
      <c r="B86" s="48"/>
      <c r="C86" s="19" t="s">
        <v>48</v>
      </c>
      <c r="D86" s="20" t="s">
        <v>327</v>
      </c>
      <c r="E86" s="20">
        <v>96</v>
      </c>
      <c r="F86" s="20" t="s">
        <v>70</v>
      </c>
      <c r="G86" s="21">
        <v>46160</v>
      </c>
      <c r="H86" s="49">
        <v>13667609</v>
      </c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56"/>
      <c r="B88" s="57"/>
      <c r="C88" s="89" t="s">
        <v>94</v>
      </c>
      <c r="D88" s="90" t="s">
        <v>83</v>
      </c>
      <c r="E88" s="90">
        <v>54</v>
      </c>
      <c r="F88" s="90" t="s">
        <v>88</v>
      </c>
      <c r="G88" s="91">
        <v>46160</v>
      </c>
      <c r="H88" s="93">
        <v>400685</v>
      </c>
    </row>
    <row r="89" spans="1:8" s="4" customFormat="1" ht="12.75">
      <c r="A89" s="56"/>
      <c r="B89" s="57"/>
      <c r="C89" s="89" t="s">
        <v>198</v>
      </c>
      <c r="D89" s="90" t="s">
        <v>83</v>
      </c>
      <c r="E89" s="90">
        <v>54</v>
      </c>
      <c r="F89" s="90" t="s">
        <v>149</v>
      </c>
      <c r="G89" s="91">
        <v>46161</v>
      </c>
      <c r="H89" s="92">
        <v>742026</v>
      </c>
    </row>
    <row r="90" spans="1:8" s="4" customFormat="1" ht="12.75">
      <c r="A90" s="56"/>
      <c r="B90" s="57"/>
      <c r="C90" s="89" t="s">
        <v>94</v>
      </c>
      <c r="D90" s="90" t="s">
        <v>80</v>
      </c>
      <c r="E90" s="90">
        <v>216</v>
      </c>
      <c r="F90" s="90" t="s">
        <v>88</v>
      </c>
      <c r="G90" s="91">
        <v>46160</v>
      </c>
      <c r="H90" s="93">
        <v>400685</v>
      </c>
    </row>
    <row r="91" spans="1:8" s="4" customFormat="1" ht="12.75">
      <c r="A91" s="56"/>
      <c r="B91" s="57"/>
      <c r="C91" s="89" t="s">
        <v>198</v>
      </c>
      <c r="D91" s="90" t="s">
        <v>80</v>
      </c>
      <c r="E91" s="90">
        <v>54</v>
      </c>
      <c r="F91" s="90" t="s">
        <v>149</v>
      </c>
      <c r="G91" s="91">
        <v>46161</v>
      </c>
      <c r="H91" s="92">
        <v>742026</v>
      </c>
    </row>
    <row r="92" spans="1:8" s="4" customFormat="1" ht="12.75">
      <c r="A92" s="56"/>
      <c r="B92" s="57"/>
      <c r="C92" s="19"/>
      <c r="D92" s="20"/>
      <c r="E92" s="20"/>
      <c r="F92" s="20"/>
      <c r="G92" s="21"/>
      <c r="H92" s="49"/>
    </row>
    <row r="93" spans="1:8" s="4" customFormat="1" ht="12.75">
      <c r="A93" s="56"/>
      <c r="B93" s="57"/>
      <c r="C93" s="19"/>
      <c r="D93" s="20"/>
      <c r="E93" s="20"/>
      <c r="F93" s="20"/>
      <c r="G93" s="21"/>
      <c r="H93" s="49"/>
    </row>
    <row r="94" spans="1:8" s="4" customFormat="1" ht="12.75">
      <c r="A94" s="56"/>
      <c r="B94" s="57"/>
      <c r="C94" s="19"/>
      <c r="D94" s="20"/>
      <c r="E94" s="20"/>
      <c r="F94" s="20"/>
      <c r="G94" s="21"/>
      <c r="H94" s="22"/>
    </row>
    <row r="95" spans="1:8" s="4" customFormat="1" ht="13.5" thickBot="1">
      <c r="A95" s="56"/>
      <c r="B95" s="57"/>
      <c r="C95" s="19"/>
      <c r="D95" s="20"/>
      <c r="E95" s="86">
        <f>SUM(E75:E94)</f>
        <v>1434</v>
      </c>
      <c r="F95" s="20"/>
      <c r="G95" s="20"/>
      <c r="H95" s="22"/>
    </row>
    <row r="96" spans="1:8" s="4" customFormat="1" ht="13.5" thickBot="1">
      <c r="A96" s="39"/>
      <c r="B96" s="40"/>
      <c r="C96" s="35"/>
      <c r="D96" s="36"/>
      <c r="E96" s="58"/>
      <c r="F96" s="36"/>
      <c r="G96" s="36"/>
      <c r="H96" s="38"/>
    </row>
    <row r="97" spans="1:8" s="4" customFormat="1" ht="13.5" thickBot="1">
      <c r="A97" s="7" t="s">
        <v>55</v>
      </c>
      <c r="B97" s="8">
        <f>B75+1</f>
        <v>46158</v>
      </c>
      <c r="C97" s="82" t="s">
        <v>3</v>
      </c>
      <c r="D97" s="83" t="s">
        <v>4</v>
      </c>
      <c r="E97" s="83" t="s">
        <v>5</v>
      </c>
      <c r="F97" s="83" t="s">
        <v>6</v>
      </c>
      <c r="G97" s="83" t="s">
        <v>7</v>
      </c>
      <c r="H97" s="84" t="s">
        <v>8</v>
      </c>
    </row>
    <row r="98" spans="1:8" s="4" customFormat="1" ht="12.75">
      <c r="A98" s="44"/>
      <c r="B98" s="45"/>
      <c r="C98" s="14"/>
      <c r="D98" s="15"/>
      <c r="E98" s="15"/>
      <c r="F98" s="15"/>
      <c r="G98" s="16"/>
      <c r="H98" s="17"/>
    </row>
    <row r="99" spans="1:8" s="4" customFormat="1" ht="12.75">
      <c r="A99" s="47"/>
      <c r="B99" s="48"/>
      <c r="C99" s="19"/>
      <c r="D99" s="65"/>
      <c r="E99" s="20"/>
      <c r="F99" s="20"/>
      <c r="G99" s="21"/>
      <c r="H99" s="49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49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49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49"/>
    </row>
    <row r="103" spans="1:8" s="4" customFormat="1" ht="12.75">
      <c r="A103" s="47"/>
      <c r="B103" s="48"/>
      <c r="C103" s="19"/>
      <c r="D103" s="20"/>
      <c r="E103" s="20"/>
      <c r="F103" s="20"/>
      <c r="G103" s="21"/>
      <c r="H103" s="49"/>
    </row>
    <row r="104" spans="1:8" s="4" customFormat="1" ht="12.75">
      <c r="A104" s="47"/>
      <c r="B104" s="48"/>
      <c r="C104" s="19"/>
      <c r="D104" s="65"/>
      <c r="E104" s="20"/>
      <c r="F104" s="20"/>
      <c r="G104" s="21"/>
      <c r="H104" s="49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49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49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20"/>
      <c r="E109" s="20"/>
      <c r="F109" s="20"/>
      <c r="G109" s="21"/>
      <c r="H109" s="22"/>
    </row>
    <row r="110" spans="1:8" s="4" customFormat="1" ht="12.75">
      <c r="A110" s="47"/>
      <c r="B110" s="48"/>
      <c r="C110" s="19"/>
      <c r="D110" s="20"/>
      <c r="E110" s="20"/>
      <c r="F110" s="20"/>
      <c r="G110" s="21"/>
      <c r="H110" s="22"/>
    </row>
    <row r="111" spans="1:8" s="4" customFormat="1" ht="12.75">
      <c r="A111" s="47"/>
      <c r="B111" s="48"/>
      <c r="C111" s="19"/>
      <c r="D111" s="20"/>
      <c r="E111" s="86">
        <f>SUM(E98:E110)</f>
        <v>0</v>
      </c>
      <c r="F111" s="20"/>
      <c r="G111" s="21"/>
      <c r="H111" s="22"/>
    </row>
    <row r="112" spans="1:8" s="4" customFormat="1" ht="13.5" thickBot="1">
      <c r="A112" s="87"/>
      <c r="B112" s="88"/>
      <c r="C112" s="35"/>
      <c r="D112" s="36"/>
      <c r="E112" s="36"/>
      <c r="F112" s="36"/>
      <c r="G112" s="36"/>
      <c r="H11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74E-FE6C-4782-B4B6-3821F3065DC8}">
  <dimension ref="A3:P97"/>
  <sheetViews>
    <sheetView topLeftCell="A48" workbookViewId="0">
      <selection activeCell="E8" sqref="E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336</v>
      </c>
      <c r="F8" s="20" t="s">
        <v>341</v>
      </c>
      <c r="G8" s="21">
        <v>46163</v>
      </c>
      <c r="H8" s="49">
        <v>333969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384</v>
      </c>
      <c r="F9" s="20" t="s">
        <v>341</v>
      </c>
      <c r="G9" s="21">
        <v>46167</v>
      </c>
      <c r="H9" s="49">
        <v>333986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341</v>
      </c>
      <c r="G10" s="21">
        <v>46170</v>
      </c>
      <c r="H10" s="49">
        <v>333983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192</v>
      </c>
      <c r="F12" s="20" t="s">
        <v>70</v>
      </c>
      <c r="G12" s="21">
        <v>46168</v>
      </c>
      <c r="H12" s="49">
        <v>13689759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20" t="s">
        <v>70</v>
      </c>
      <c r="G13" s="21">
        <v>46174</v>
      </c>
      <c r="H13" s="49">
        <v>13708175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346</v>
      </c>
      <c r="E14" s="20">
        <v>6</v>
      </c>
      <c r="F14" s="20" t="s">
        <v>70</v>
      </c>
      <c r="G14" s="21">
        <v>46168</v>
      </c>
      <c r="H14" s="49">
        <v>13689759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346</v>
      </c>
      <c r="E15" s="20">
        <v>192</v>
      </c>
      <c r="F15" s="20" t="s">
        <v>70</v>
      </c>
      <c r="G15" s="21">
        <v>46174</v>
      </c>
      <c r="H15" s="49">
        <v>13708175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0"/>
      <c r="H17" s="20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0"/>
      <c r="H27" s="20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46163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J53" s="3"/>
      <c r="K53" s="3"/>
      <c r="L53" s="3"/>
    </row>
    <row r="54" spans="1:15">
      <c r="A54" s="12"/>
      <c r="B54" s="125"/>
      <c r="C54" s="19" t="s">
        <v>344</v>
      </c>
      <c r="D54" s="20" t="s">
        <v>63</v>
      </c>
      <c r="E54" s="20">
        <v>96</v>
      </c>
      <c r="F54" s="20" t="s">
        <v>88</v>
      </c>
      <c r="G54" s="21">
        <v>46171</v>
      </c>
      <c r="H54" s="49">
        <v>400810</v>
      </c>
      <c r="J54" s="3"/>
      <c r="K54" s="3"/>
      <c r="L54" s="3"/>
    </row>
    <row r="55" spans="1:15">
      <c r="A55" s="12"/>
      <c r="B55" s="125"/>
      <c r="C55" s="19" t="s">
        <v>344</v>
      </c>
      <c r="D55" s="20" t="s">
        <v>345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</row>
    <row r="56" spans="1:15">
      <c r="A56" s="47"/>
      <c r="B56" s="48"/>
      <c r="C56" s="19" t="s">
        <v>344</v>
      </c>
      <c r="D56" s="65" t="s">
        <v>101</v>
      </c>
      <c r="E56" s="20">
        <v>48</v>
      </c>
      <c r="F56" s="20" t="s">
        <v>88</v>
      </c>
      <c r="G56" s="21">
        <v>46171</v>
      </c>
      <c r="H56" s="49">
        <v>400810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327</v>
      </c>
      <c r="E57" s="20">
        <v>96</v>
      </c>
      <c r="F57" s="20" t="s">
        <v>70</v>
      </c>
      <c r="G57" s="21">
        <v>46168</v>
      </c>
      <c r="H57" s="49">
        <v>13689759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327</v>
      </c>
      <c r="E58" s="20">
        <v>48</v>
      </c>
      <c r="F58" s="20" t="s">
        <v>70</v>
      </c>
      <c r="G58" s="21">
        <v>46174</v>
      </c>
      <c r="H58" s="49">
        <v>13708175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327</v>
      </c>
      <c r="E59" s="20">
        <v>96</v>
      </c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19" t="s">
        <v>63</v>
      </c>
      <c r="E60" s="20">
        <v>384</v>
      </c>
      <c r="F60" s="20" t="s">
        <v>341</v>
      </c>
      <c r="G60" s="124">
        <v>46174</v>
      </c>
      <c r="H60" s="126">
        <v>334261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64</v>
      </c>
      <c r="E61" s="20">
        <v>384</v>
      </c>
      <c r="F61" s="20" t="s">
        <v>341</v>
      </c>
      <c r="G61" s="124">
        <v>46174</v>
      </c>
      <c r="H61" s="126">
        <v>334261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22" t="s">
        <v>53</v>
      </c>
      <c r="D62" s="123" t="s">
        <v>62</v>
      </c>
      <c r="E62" s="123">
        <v>192</v>
      </c>
      <c r="F62" s="20" t="s">
        <v>341</v>
      </c>
      <c r="G62" s="124">
        <v>46174</v>
      </c>
      <c r="H62" s="126">
        <v>334261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  <c r="M63" s="3"/>
      <c r="N63" s="81"/>
      <c r="O63" s="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SUM(E54:E65)</f>
        <v>1440</v>
      </c>
      <c r="F66" s="20">
        <v>1536</v>
      </c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46164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20"/>
      <c r="D69" s="20"/>
      <c r="E69" s="20"/>
      <c r="F69" s="20"/>
      <c r="G69" s="21"/>
      <c r="H69" s="20"/>
    </row>
    <row r="70" spans="1:8" s="4" customFormat="1" ht="12.75">
      <c r="A70" s="44"/>
      <c r="B70" s="45"/>
      <c r="C70" s="154"/>
      <c r="D70" s="154"/>
      <c r="E70" s="154"/>
      <c r="F70" s="154"/>
      <c r="G70" s="154"/>
      <c r="H70" s="154"/>
    </row>
    <row r="71" spans="1:8" s="4" customFormat="1" ht="12.75">
      <c r="A71" s="47"/>
      <c r="B71" s="48"/>
      <c r="C71" s="154"/>
      <c r="D71" s="154"/>
      <c r="E71" s="154"/>
      <c r="F71" s="154"/>
      <c r="G71" s="154"/>
      <c r="H71" s="154"/>
    </row>
    <row r="72" spans="1:8" s="4" customFormat="1" ht="12.75">
      <c r="A72" s="47"/>
      <c r="B72" s="48"/>
      <c r="C72" s="154"/>
      <c r="D72" s="154"/>
      <c r="E72" s="154"/>
      <c r="F72" s="154"/>
      <c r="G72" s="154"/>
      <c r="H72" s="154"/>
    </row>
    <row r="73" spans="1:8" s="4" customFormat="1" ht="12.75">
      <c r="A73" s="47"/>
      <c r="B73" s="48"/>
      <c r="C73" s="154"/>
      <c r="D73" s="154"/>
      <c r="E73" s="154"/>
      <c r="F73" s="154"/>
      <c r="G73" s="154"/>
      <c r="H73" s="154"/>
    </row>
    <row r="74" spans="1:8" s="4" customFormat="1" ht="12.75">
      <c r="A74" s="47"/>
      <c r="B74" s="48"/>
      <c r="C74" s="154"/>
      <c r="D74" s="154"/>
      <c r="E74" s="154"/>
      <c r="F74" s="154"/>
      <c r="G74" s="154"/>
      <c r="H74" s="154"/>
    </row>
    <row r="75" spans="1:8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8" s="4" customFormat="1" ht="12.75">
      <c r="A76" s="56"/>
      <c r="B76" s="57"/>
      <c r="C76" s="154"/>
      <c r="D76" s="154"/>
      <c r="E76" s="154"/>
      <c r="F76" s="154"/>
      <c r="G76" s="154"/>
      <c r="H76" s="154"/>
    </row>
    <row r="77" spans="1:8" s="4" customFormat="1" ht="12.75">
      <c r="A77" s="56"/>
      <c r="B77" s="57"/>
      <c r="C77" s="154"/>
      <c r="D77" s="154"/>
      <c r="E77" s="154"/>
      <c r="F77" s="154"/>
      <c r="G77" s="154"/>
      <c r="H77" s="154"/>
    </row>
    <row r="78" spans="1:8" s="4" customFormat="1" ht="12.75">
      <c r="A78" s="56"/>
      <c r="B78" s="57"/>
      <c r="C78" s="154"/>
      <c r="D78" s="154"/>
      <c r="E78" s="154"/>
      <c r="F78" s="154"/>
      <c r="G78" s="154"/>
      <c r="H78" s="154"/>
    </row>
    <row r="79" spans="1:8" s="4" customFormat="1" ht="12.75">
      <c r="A79" s="56"/>
      <c r="B79" s="57"/>
      <c r="C79" s="154"/>
      <c r="D79" s="154"/>
      <c r="E79" s="154"/>
      <c r="F79" s="154"/>
      <c r="G79" s="154"/>
      <c r="H79" s="154"/>
    </row>
    <row r="80" spans="1:8" s="4" customFormat="1" ht="13.5" thickBot="1">
      <c r="A80" s="56"/>
      <c r="B80" s="57"/>
      <c r="C80" s="154"/>
      <c r="D80" s="154"/>
      <c r="E80" s="154"/>
      <c r="F80" s="154"/>
      <c r="G80" s="154"/>
      <c r="H80" s="154"/>
    </row>
    <row r="81" spans="1:8" s="4" customFormat="1" ht="13.5" thickBot="1">
      <c r="A81" s="39"/>
      <c r="B81" s="40"/>
      <c r="C81" s="154"/>
      <c r="D81" s="154"/>
      <c r="E81" s="154"/>
      <c r="F81" s="154"/>
      <c r="G81" s="154"/>
      <c r="H81" s="154"/>
    </row>
    <row r="82" spans="1:8" s="4" customFormat="1" ht="13.5" thickBot="1">
      <c r="A82" s="7" t="s">
        <v>55</v>
      </c>
      <c r="B82" s="8">
        <f>B68+1</f>
        <v>46165</v>
      </c>
      <c r="C82" s="154"/>
      <c r="D82" s="154"/>
      <c r="E82" s="154"/>
      <c r="F82" s="154"/>
      <c r="G82" s="154"/>
      <c r="H82" s="154"/>
    </row>
    <row r="83" spans="1:8" s="4" customFormat="1" ht="12.75">
      <c r="A83" s="44"/>
      <c r="B83" s="45"/>
      <c r="C83" s="154"/>
      <c r="D83" s="154"/>
      <c r="E83" s="154"/>
      <c r="F83" s="154"/>
      <c r="G83" s="154"/>
      <c r="H83" s="154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SUM(E84:E95)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730-7B8A-4600-B815-DE32D1C12374}">
  <dimension ref="A3:P97"/>
  <sheetViews>
    <sheetView topLeftCell="A18" workbookViewId="0">
      <selection activeCell="C78" sqref="C78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9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46170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344</v>
      </c>
      <c r="D55" s="20" t="s">
        <v>128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341</v>
      </c>
      <c r="G57" s="124">
        <v>46174</v>
      </c>
      <c r="H57" s="126">
        <v>334261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46174</v>
      </c>
      <c r="H58" s="49">
        <v>334368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65" t="s">
        <v>311</v>
      </c>
      <c r="E59" s="20">
        <v>288</v>
      </c>
      <c r="F59" s="20" t="s">
        <v>341</v>
      </c>
      <c r="G59" s="21">
        <v>46163</v>
      </c>
      <c r="H59" s="49">
        <v>333969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65" t="s">
        <v>311</v>
      </c>
      <c r="E60" s="20">
        <v>288</v>
      </c>
      <c r="F60" s="20" t="s">
        <v>341</v>
      </c>
      <c r="G60" s="21">
        <v>46167</v>
      </c>
      <c r="H60" s="49">
        <v>333986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65" t="s">
        <v>311</v>
      </c>
      <c r="E61" s="20">
        <v>192</v>
      </c>
      <c r="F61" s="20" t="s">
        <v>341</v>
      </c>
      <c r="G61" s="21">
        <v>46170</v>
      </c>
      <c r="H61" s="49">
        <v>333983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86" t="s">
        <v>348</v>
      </c>
      <c r="E63" s="20"/>
      <c r="F63" s="20"/>
      <c r="G63" s="21"/>
      <c r="H63" s="49"/>
    </row>
    <row r="64" spans="1:15" s="4" customFormat="1" ht="12.75">
      <c r="A64" s="47"/>
      <c r="B64" s="48"/>
      <c r="C64" s="106" t="s">
        <v>239</v>
      </c>
      <c r="D64" s="106" t="s">
        <v>352</v>
      </c>
      <c r="E64" s="106">
        <v>54</v>
      </c>
      <c r="F64" s="106" t="s">
        <v>88</v>
      </c>
      <c r="G64" s="107">
        <v>46177</v>
      </c>
      <c r="H64" s="106">
        <v>400858</v>
      </c>
    </row>
    <row r="65" spans="1:15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15" s="4" customFormat="1" ht="12.75">
      <c r="A66" s="47"/>
      <c r="B66" s="48"/>
      <c r="C66" s="19"/>
      <c r="D66" s="20"/>
      <c r="E66" s="70">
        <f>SUM(E54:E65)</f>
        <v>1494</v>
      </c>
      <c r="F66" s="20"/>
      <c r="G66" s="21"/>
      <c r="H66" s="22"/>
    </row>
    <row r="67" spans="1:15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15" s="4" customFormat="1" ht="13.5" thickBot="1">
      <c r="A68" s="7" t="s">
        <v>54</v>
      </c>
      <c r="B68" s="8">
        <f>B52+1</f>
        <v>46171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3"/>
      <c r="K68" s="3"/>
      <c r="L68" s="3"/>
      <c r="M68" s="3"/>
      <c r="N68" s="81"/>
      <c r="O68" s="155"/>
    </row>
    <row r="69" spans="1:15" s="4" customFormat="1" ht="12.75">
      <c r="A69" s="44"/>
      <c r="B69" s="45"/>
      <c r="C69" s="14"/>
      <c r="D69" s="15"/>
      <c r="E69" s="15"/>
      <c r="F69" s="15"/>
      <c r="G69" s="16"/>
      <c r="H69" s="17"/>
      <c r="J69" s="3"/>
      <c r="K69" s="3"/>
      <c r="L69" s="3"/>
      <c r="M69" s="3"/>
      <c r="N69" s="81"/>
      <c r="O69" s="155"/>
    </row>
    <row r="70" spans="1:15" s="4" customFormat="1" ht="12.75">
      <c r="A70" s="44"/>
      <c r="B70" s="45"/>
      <c r="C70" s="19" t="s">
        <v>239</v>
      </c>
      <c r="D70" s="20" t="s">
        <v>370</v>
      </c>
      <c r="E70" s="20">
        <v>54</v>
      </c>
      <c r="F70" s="20" t="s">
        <v>88</v>
      </c>
      <c r="G70" s="21">
        <v>46174</v>
      </c>
      <c r="H70" s="22">
        <v>400855</v>
      </c>
      <c r="J70" s="3"/>
      <c r="K70" s="3"/>
      <c r="L70" s="3"/>
      <c r="M70" s="3"/>
      <c r="N70" s="81"/>
      <c r="O70" s="155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  <c r="J71" s="3"/>
      <c r="K71" s="156"/>
      <c r="L71" s="3"/>
      <c r="M71" s="3"/>
      <c r="N71" s="81"/>
      <c r="O71" s="155"/>
    </row>
    <row r="72" spans="1:15" s="4" customFormat="1" ht="12.75">
      <c r="A72" s="47"/>
      <c r="B72" s="48"/>
      <c r="C72" s="19" t="s">
        <v>53</v>
      </c>
      <c r="D72" s="20" t="s">
        <v>64</v>
      </c>
      <c r="E72" s="20">
        <v>384</v>
      </c>
      <c r="F72" s="20" t="s">
        <v>59</v>
      </c>
      <c r="G72" s="21">
        <v>46174</v>
      </c>
      <c r="H72" s="49">
        <v>334368</v>
      </c>
    </row>
    <row r="73" spans="1:15" s="4" customFormat="1" ht="12.75">
      <c r="A73" s="47"/>
      <c r="B73" s="48"/>
      <c r="C73" s="19" t="s">
        <v>53</v>
      </c>
      <c r="D73" s="20" t="s">
        <v>68</v>
      </c>
      <c r="E73" s="20">
        <v>288</v>
      </c>
      <c r="F73" s="20" t="s">
        <v>59</v>
      </c>
      <c r="G73" s="21">
        <v>46174</v>
      </c>
      <c r="H73" s="49">
        <v>334368</v>
      </c>
    </row>
    <row r="74" spans="1:15" s="4" customFormat="1" ht="12.75">
      <c r="A74" s="47"/>
      <c r="B74" s="48"/>
      <c r="C74" s="122" t="s">
        <v>53</v>
      </c>
      <c r="D74" s="20" t="s">
        <v>61</v>
      </c>
      <c r="E74" s="123">
        <v>288</v>
      </c>
      <c r="F74" s="20" t="s">
        <v>59</v>
      </c>
      <c r="G74" s="21">
        <v>46174</v>
      </c>
      <c r="H74" s="49">
        <v>334368</v>
      </c>
    </row>
    <row r="75" spans="1:15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15" s="4" customFormat="1" ht="12.75">
      <c r="A76" s="56"/>
      <c r="B76" s="57"/>
      <c r="C76" s="20"/>
      <c r="D76" s="20"/>
      <c r="E76" s="20"/>
      <c r="F76" s="20"/>
      <c r="G76" s="21"/>
      <c r="H76" s="157"/>
    </row>
    <row r="77" spans="1:15" s="4" customFormat="1" ht="12.75">
      <c r="A77" s="56"/>
      <c r="B77" s="57"/>
      <c r="C77" s="19" t="s">
        <v>183</v>
      </c>
      <c r="D77" s="20" t="s">
        <v>105</v>
      </c>
      <c r="E77" s="20">
        <v>180</v>
      </c>
      <c r="F77" s="20" t="s">
        <v>88</v>
      </c>
      <c r="G77" s="21">
        <v>46174</v>
      </c>
      <c r="H77" s="22">
        <v>400855</v>
      </c>
    </row>
    <row r="78" spans="1:15" s="4" customFormat="1" ht="12.75">
      <c r="A78" s="56"/>
      <c r="B78" s="57"/>
      <c r="C78" s="19" t="s">
        <v>183</v>
      </c>
      <c r="D78" s="20" t="s">
        <v>63</v>
      </c>
      <c r="E78" s="20">
        <v>300</v>
      </c>
      <c r="F78" s="20" t="s">
        <v>88</v>
      </c>
      <c r="G78" s="21">
        <v>46174</v>
      </c>
      <c r="H78" s="22">
        <v>400855</v>
      </c>
    </row>
    <row r="79" spans="1:15" s="4" customFormat="1" ht="12.75">
      <c r="A79" s="56"/>
      <c r="B79" s="57"/>
      <c r="C79" s="89" t="s">
        <v>183</v>
      </c>
      <c r="D79" s="90" t="s">
        <v>80</v>
      </c>
      <c r="E79" s="90">
        <v>60</v>
      </c>
      <c r="F79" s="90" t="s">
        <v>88</v>
      </c>
      <c r="G79" s="91">
        <v>46174</v>
      </c>
      <c r="H79" s="92">
        <v>400855</v>
      </c>
    </row>
    <row r="80" spans="1:15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SUM(E70:E78)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46172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A009-952B-4364-80DB-9EB80CDD8BA6}">
  <dimension ref="A1:M102"/>
  <sheetViews>
    <sheetView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6384" width="9.140625" style="5"/>
  </cols>
  <sheetData>
    <row r="1" spans="1:13">
      <c r="J1" s="5"/>
      <c r="K1" s="5"/>
      <c r="L1" s="5"/>
      <c r="M1" s="5"/>
    </row>
    <row r="3" spans="1:13">
      <c r="A3" s="1" t="s">
        <v>0</v>
      </c>
      <c r="B3" s="2" t="s">
        <v>333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46174</v>
      </c>
      <c r="C5" s="82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4" t="s">
        <v>8</v>
      </c>
      <c r="K5" s="159"/>
      <c r="L5" s="159"/>
      <c r="M5" s="159"/>
    </row>
    <row r="6" spans="1:13" ht="15.75" customHeight="1">
      <c r="A6" s="12"/>
      <c r="B6" s="13"/>
      <c r="C6" s="122"/>
      <c r="D6" s="123"/>
      <c r="E6" s="123"/>
      <c r="F6" s="123"/>
      <c r="G6" s="124"/>
      <c r="H6" s="123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20" t="s">
        <v>242</v>
      </c>
      <c r="D7" s="20" t="s">
        <v>213</v>
      </c>
      <c r="E7" s="20">
        <v>105</v>
      </c>
      <c r="F7" s="20" t="s">
        <v>77</v>
      </c>
      <c r="G7" s="21">
        <v>46177</v>
      </c>
      <c r="H7" s="20">
        <v>40138401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22"/>
      <c r="D8" s="123"/>
      <c r="E8" s="123"/>
      <c r="F8" s="123"/>
      <c r="G8" s="124"/>
      <c r="H8" s="123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22" t="s">
        <v>75</v>
      </c>
      <c r="D9" s="123" t="s">
        <v>84</v>
      </c>
      <c r="E9" s="123">
        <v>96</v>
      </c>
      <c r="F9" s="123" t="s">
        <v>77</v>
      </c>
      <c r="G9" s="124">
        <v>46177</v>
      </c>
      <c r="H9" s="123">
        <v>40138401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76</v>
      </c>
      <c r="E10" s="20">
        <v>240</v>
      </c>
      <c r="F10" s="20" t="s">
        <v>77</v>
      </c>
      <c r="G10" s="21">
        <v>46177</v>
      </c>
      <c r="H10" s="20">
        <v>40138401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20" t="s">
        <v>77</v>
      </c>
      <c r="G11" s="21">
        <v>46177</v>
      </c>
      <c r="H11" s="20">
        <v>40138401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63</v>
      </c>
      <c r="E12" s="20">
        <v>144</v>
      </c>
      <c r="F12" s="20" t="s">
        <v>77</v>
      </c>
      <c r="G12" s="21">
        <v>46177</v>
      </c>
      <c r="H12" s="20">
        <v>40138401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71</v>
      </c>
      <c r="E13" s="20">
        <v>48</v>
      </c>
      <c r="F13" s="20" t="s">
        <v>77</v>
      </c>
      <c r="G13" s="21">
        <v>46177</v>
      </c>
      <c r="H13" s="20">
        <v>40138401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22" t="s">
        <v>75</v>
      </c>
      <c r="D14" s="123" t="s">
        <v>78</v>
      </c>
      <c r="E14" s="123">
        <v>144</v>
      </c>
      <c r="F14" s="123" t="s">
        <v>77</v>
      </c>
      <c r="G14" s="124">
        <v>46177</v>
      </c>
      <c r="H14" s="123">
        <v>40138401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20" t="s">
        <v>105</v>
      </c>
      <c r="E15" s="20">
        <v>144</v>
      </c>
      <c r="F15" s="20" t="s">
        <v>77</v>
      </c>
      <c r="G15" s="21">
        <v>46177</v>
      </c>
      <c r="H15" s="20">
        <v>40138401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9" t="s">
        <v>65</v>
      </c>
      <c r="E16" s="90">
        <v>96</v>
      </c>
      <c r="F16" s="90" t="s">
        <v>77</v>
      </c>
      <c r="G16" s="91">
        <v>46177</v>
      </c>
      <c r="H16" s="90">
        <v>40138401</v>
      </c>
      <c r="J16" s="25" t="s">
        <v>23</v>
      </c>
      <c r="K16" s="26" t="s">
        <v>14</v>
      </c>
      <c r="L16" s="29"/>
      <c r="M16" s="26"/>
    </row>
    <row r="17" spans="1:13">
      <c r="C17" s="90" t="s">
        <v>75</v>
      </c>
      <c r="D17" s="99" t="s">
        <v>83</v>
      </c>
      <c r="E17" s="90">
        <v>48</v>
      </c>
      <c r="F17" s="90" t="s">
        <v>77</v>
      </c>
      <c r="G17" s="91">
        <v>46177</v>
      </c>
      <c r="H17" s="90">
        <v>40138401</v>
      </c>
      <c r="J17" s="25" t="s">
        <v>24</v>
      </c>
      <c r="K17" s="26" t="s">
        <v>14</v>
      </c>
      <c r="L17" s="29"/>
      <c r="M17" s="26"/>
    </row>
    <row r="18" spans="1:13">
      <c r="C18" s="90" t="s">
        <v>75</v>
      </c>
      <c r="D18" s="99" t="s">
        <v>80</v>
      </c>
      <c r="E18" s="90">
        <v>48</v>
      </c>
      <c r="F18" s="90" t="s">
        <v>77</v>
      </c>
      <c r="G18" s="91">
        <v>46177</v>
      </c>
      <c r="H18" s="90">
        <v>40138401</v>
      </c>
      <c r="J18" s="33" t="s">
        <v>25</v>
      </c>
      <c r="K18" s="26"/>
      <c r="L18" s="26" t="s">
        <v>14</v>
      </c>
      <c r="M18" s="26"/>
    </row>
    <row r="19" spans="1:13">
      <c r="C19" s="90" t="s">
        <v>75</v>
      </c>
      <c r="D19" s="99" t="s">
        <v>290</v>
      </c>
      <c r="E19" s="90">
        <v>96</v>
      </c>
      <c r="F19" s="90" t="s">
        <v>77</v>
      </c>
      <c r="G19" s="91">
        <v>46177</v>
      </c>
      <c r="H19" s="161">
        <v>40138401</v>
      </c>
      <c r="J19" s="33" t="s">
        <v>355</v>
      </c>
      <c r="K19" s="26"/>
      <c r="L19" s="26" t="s">
        <v>14</v>
      </c>
      <c r="M19" s="26"/>
    </row>
    <row r="20" spans="1:13">
      <c r="C20" s="90" t="s">
        <v>75</v>
      </c>
      <c r="D20" s="99" t="s">
        <v>290</v>
      </c>
      <c r="E20" s="90">
        <v>96</v>
      </c>
      <c r="F20" s="90"/>
      <c r="G20" s="91"/>
      <c r="H20" s="161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20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1401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46175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20"/>
      <c r="D24" s="20"/>
      <c r="E24" s="20"/>
      <c r="F24" s="20"/>
      <c r="G24" s="21"/>
      <c r="H24" s="20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3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3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3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3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3" ht="15.75" thickBot="1">
      <c r="A37" s="39" t="s">
        <v>44</v>
      </c>
      <c r="B37" s="40">
        <f>B23+1</f>
        <v>46176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3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</row>
    <row r="39" spans="1:13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</row>
    <row r="40" spans="1:13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</row>
    <row r="41" spans="1:13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</row>
    <row r="42" spans="1:13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</row>
    <row r="43" spans="1:13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</row>
    <row r="44" spans="1:13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</row>
    <row r="45" spans="1:13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</row>
    <row r="46" spans="1:13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</row>
    <row r="47" spans="1:13">
      <c r="A47" s="47"/>
      <c r="B47" s="48"/>
      <c r="C47" s="19"/>
      <c r="D47" s="20"/>
      <c r="E47" s="20"/>
      <c r="F47" s="20"/>
      <c r="G47" s="21"/>
      <c r="H47" s="49"/>
    </row>
    <row r="48" spans="1:13">
      <c r="A48" s="47"/>
      <c r="B48" s="48"/>
      <c r="C48" s="19"/>
      <c r="D48" s="20"/>
      <c r="E48" s="20"/>
      <c r="F48" s="20"/>
      <c r="G48" s="21"/>
      <c r="H48" s="22"/>
    </row>
    <row r="49" spans="1:13">
      <c r="A49" s="47"/>
      <c r="B49" s="48"/>
      <c r="C49" s="19"/>
      <c r="D49" s="20"/>
      <c r="E49" s="20"/>
      <c r="F49" s="20"/>
      <c r="G49" s="21"/>
      <c r="H49" s="22"/>
    </row>
    <row r="50" spans="1:13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3" ht="15.75" thickBot="1">
      <c r="A51" s="56"/>
      <c r="B51" s="57"/>
      <c r="C51" s="71"/>
      <c r="D51" s="72"/>
      <c r="E51" s="36"/>
      <c r="F51" s="36"/>
      <c r="G51" s="36"/>
      <c r="H51" s="38"/>
    </row>
    <row r="52" spans="1:13" ht="15.75" thickBot="1">
      <c r="A52" s="39" t="s">
        <v>52</v>
      </c>
      <c r="B52" s="40">
        <f>B37+1</f>
        <v>46177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3" ht="15.75" thickBot="1">
      <c r="A53" s="79"/>
      <c r="B53" s="80"/>
      <c r="C53" s="20" t="s">
        <v>53</v>
      </c>
      <c r="D53" s="20" t="s">
        <v>133</v>
      </c>
      <c r="E53" s="20">
        <v>96</v>
      </c>
      <c r="F53" s="20" t="s">
        <v>341</v>
      </c>
      <c r="G53" s="21">
        <v>46174</v>
      </c>
      <c r="H53" s="20">
        <v>334261</v>
      </c>
    </row>
    <row r="54" spans="1:13">
      <c r="A54" s="12"/>
      <c r="B54" s="125"/>
      <c r="C54" s="20"/>
      <c r="D54" s="20"/>
      <c r="E54" s="20"/>
      <c r="F54" s="20"/>
      <c r="G54" s="21"/>
      <c r="H54" s="20"/>
    </row>
    <row r="55" spans="1:13">
      <c r="A55" s="12"/>
      <c r="B55" s="125"/>
      <c r="C55" s="19"/>
      <c r="D55" s="20"/>
      <c r="E55" s="20"/>
      <c r="F55" s="20"/>
      <c r="G55" s="21"/>
      <c r="H55" s="22"/>
    </row>
    <row r="56" spans="1:13">
      <c r="A56" s="12"/>
      <c r="B56" s="125"/>
      <c r="C56" s="20"/>
      <c r="D56" s="20"/>
      <c r="E56" s="20"/>
      <c r="F56" s="20"/>
      <c r="G56" s="21"/>
      <c r="H56" s="20"/>
    </row>
    <row r="57" spans="1:13">
      <c r="A57" s="12"/>
      <c r="B57" s="125"/>
      <c r="C57" s="20" t="s">
        <v>239</v>
      </c>
      <c r="D57" s="20" t="s">
        <v>351</v>
      </c>
      <c r="E57" s="20">
        <v>54</v>
      </c>
      <c r="F57" s="20" t="s">
        <v>88</v>
      </c>
      <c r="G57" s="21">
        <v>46177</v>
      </c>
      <c r="H57" s="20">
        <v>400858</v>
      </c>
    </row>
    <row r="58" spans="1:13">
      <c r="A58" s="47"/>
      <c r="B58" s="48"/>
      <c r="C58" s="20" t="s">
        <v>239</v>
      </c>
      <c r="D58" s="20" t="s">
        <v>353</v>
      </c>
      <c r="E58" s="20">
        <v>54</v>
      </c>
      <c r="F58" s="20" t="s">
        <v>88</v>
      </c>
      <c r="G58" s="21">
        <v>46177</v>
      </c>
      <c r="H58" s="20">
        <v>400858</v>
      </c>
    </row>
    <row r="59" spans="1:13">
      <c r="A59" s="47"/>
      <c r="B59" s="48"/>
      <c r="C59" s="90" t="s">
        <v>239</v>
      </c>
      <c r="D59" s="90" t="s">
        <v>83</v>
      </c>
      <c r="E59" s="90">
        <v>54</v>
      </c>
      <c r="F59" s="90" t="s">
        <v>88</v>
      </c>
      <c r="G59" s="91">
        <v>46177</v>
      </c>
      <c r="H59" s="90">
        <v>400858</v>
      </c>
    </row>
    <row r="60" spans="1:13">
      <c r="A60" s="47"/>
      <c r="B60" s="48"/>
      <c r="C60" s="90" t="s">
        <v>239</v>
      </c>
      <c r="D60" s="90" t="s">
        <v>83</v>
      </c>
      <c r="E60" s="90">
        <v>270</v>
      </c>
      <c r="F60" s="90" t="s">
        <v>88</v>
      </c>
      <c r="G60" s="91">
        <v>46183</v>
      </c>
      <c r="H60" s="90">
        <v>400919</v>
      </c>
    </row>
    <row r="61" spans="1:13">
      <c r="A61" s="47"/>
      <c r="B61" s="48"/>
      <c r="C61" s="90" t="s">
        <v>239</v>
      </c>
      <c r="D61" s="99" t="s">
        <v>80</v>
      </c>
      <c r="E61" s="90">
        <v>162</v>
      </c>
      <c r="F61" s="90" t="s">
        <v>88</v>
      </c>
      <c r="G61" s="91">
        <v>46177</v>
      </c>
      <c r="H61" s="90">
        <v>400858</v>
      </c>
    </row>
    <row r="62" spans="1:13" s="4" customFormat="1" ht="14.25">
      <c r="A62" s="47"/>
      <c r="B62" s="48"/>
      <c r="C62" s="90" t="s">
        <v>239</v>
      </c>
      <c r="D62" s="99" t="s">
        <v>80</v>
      </c>
      <c r="E62" s="90">
        <v>216</v>
      </c>
      <c r="F62" s="90" t="s">
        <v>88</v>
      </c>
      <c r="G62" s="91">
        <v>46183</v>
      </c>
      <c r="H62" s="90">
        <v>400919</v>
      </c>
      <c r="J62" s="158"/>
      <c r="K62" s="158"/>
      <c r="L62" s="158"/>
      <c r="M62" s="158"/>
    </row>
    <row r="63" spans="1:13" s="4" customFormat="1" ht="14.25">
      <c r="A63" s="47"/>
      <c r="B63" s="48"/>
      <c r="C63" s="20"/>
      <c r="D63" s="65"/>
      <c r="E63" s="20"/>
      <c r="F63" s="20"/>
      <c r="G63" s="21"/>
      <c r="H63" s="20"/>
      <c r="J63" s="158"/>
      <c r="K63" s="158"/>
      <c r="L63" s="158"/>
      <c r="M63" s="158"/>
    </row>
    <row r="64" spans="1:13" s="4" customFormat="1" ht="14.25">
      <c r="A64" s="47"/>
      <c r="B64" s="48"/>
      <c r="C64" s="20"/>
      <c r="D64" s="20" t="s">
        <v>373</v>
      </c>
      <c r="E64" s="20"/>
      <c r="F64" s="20"/>
      <c r="G64" s="21"/>
      <c r="H64" s="20"/>
      <c r="J64" s="158"/>
      <c r="K64" s="158"/>
      <c r="L64" s="158"/>
      <c r="M64" s="158"/>
    </row>
    <row r="65" spans="1:13" s="4" customFormat="1" ht="14.25">
      <c r="A65" s="47"/>
      <c r="B65" s="48"/>
      <c r="C65" s="20"/>
      <c r="D65" s="65"/>
      <c r="E65" s="20"/>
      <c r="F65" s="20"/>
      <c r="G65" s="21"/>
      <c r="H65" s="20"/>
      <c r="J65" s="158"/>
      <c r="K65" s="158"/>
      <c r="L65" s="158"/>
      <c r="M65" s="158"/>
    </row>
    <row r="66" spans="1:13" s="4" customFormat="1" ht="14.25">
      <c r="A66" s="47"/>
      <c r="B66" s="48"/>
      <c r="C66" s="89" t="s">
        <v>183</v>
      </c>
      <c r="D66" s="90" t="s">
        <v>349</v>
      </c>
      <c r="E66" s="90">
        <v>105</v>
      </c>
      <c r="F66" s="90" t="s">
        <v>88</v>
      </c>
      <c r="G66" s="91">
        <v>46177</v>
      </c>
      <c r="H66" s="90">
        <v>400858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183</v>
      </c>
      <c r="D67" s="90" t="s">
        <v>349</v>
      </c>
      <c r="E67" s="90">
        <v>105</v>
      </c>
      <c r="F67" s="90" t="s">
        <v>88</v>
      </c>
      <c r="G67" s="91">
        <v>46183</v>
      </c>
      <c r="H67" s="90">
        <v>400919</v>
      </c>
      <c r="J67" s="158"/>
      <c r="K67" s="158"/>
      <c r="L67" s="158"/>
      <c r="M67" s="158"/>
    </row>
    <row r="68" spans="1:13" s="4" customFormat="1" ht="14.25">
      <c r="A68" s="47"/>
      <c r="B68" s="48"/>
      <c r="C68" s="89" t="s">
        <v>183</v>
      </c>
      <c r="D68" s="90" t="s">
        <v>350</v>
      </c>
      <c r="E68" s="90">
        <v>210</v>
      </c>
      <c r="F68" s="90" t="s">
        <v>88</v>
      </c>
      <c r="G68" s="91">
        <v>46177</v>
      </c>
      <c r="H68" s="90">
        <v>400858</v>
      </c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20"/>
      <c r="G69" s="21"/>
      <c r="H69" s="20"/>
      <c r="J69" s="158"/>
      <c r="K69" s="158"/>
      <c r="L69" s="158"/>
      <c r="M69" s="158"/>
    </row>
    <row r="70" spans="1:13" s="4" customFormat="1" ht="14.25">
      <c r="A70" s="47"/>
      <c r="B70" s="48"/>
      <c r="C70" s="19"/>
      <c r="D70" s="20"/>
      <c r="E70" s="70">
        <f>SUM(E53:E69)</f>
        <v>1326</v>
      </c>
      <c r="F70" s="20"/>
      <c r="G70" s="21"/>
      <c r="H70" s="22"/>
      <c r="J70" s="158"/>
      <c r="K70" s="158"/>
      <c r="L70" s="158"/>
      <c r="M70" s="158"/>
    </row>
    <row r="71" spans="1:13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3" s="4" customFormat="1" thickBot="1">
      <c r="A72" s="7" t="s">
        <v>54</v>
      </c>
      <c r="B72" s="8">
        <f>B52+1</f>
        <v>46178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3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3" s="4" customFormat="1" ht="14.25">
      <c r="A74" s="44"/>
      <c r="B74" s="45"/>
      <c r="C74" s="19" t="s">
        <v>183</v>
      </c>
      <c r="D74" s="20" t="s">
        <v>63</v>
      </c>
      <c r="E74" s="20">
        <v>240</v>
      </c>
      <c r="F74" s="20" t="s">
        <v>88</v>
      </c>
      <c r="G74" s="21">
        <v>46174</v>
      </c>
      <c r="H74" s="22">
        <v>400855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53</v>
      </c>
      <c r="D76" s="20" t="s">
        <v>63</v>
      </c>
      <c r="E76" s="20">
        <v>16</v>
      </c>
      <c r="F76" s="123" t="s">
        <v>59</v>
      </c>
      <c r="G76" s="124">
        <v>46181</v>
      </c>
      <c r="H76" s="126">
        <v>333969</v>
      </c>
      <c r="J76" s="158"/>
      <c r="K76" s="158"/>
      <c r="L76" s="158"/>
      <c r="M76" s="158"/>
    </row>
    <row r="77" spans="1:13" s="4" customFormat="1" ht="14.25">
      <c r="A77" s="47"/>
      <c r="B77" s="48"/>
      <c r="C77" s="122" t="s">
        <v>53</v>
      </c>
      <c r="D77" s="20" t="s">
        <v>64</v>
      </c>
      <c r="E77" s="123">
        <v>432</v>
      </c>
      <c r="F77" s="123" t="s">
        <v>59</v>
      </c>
      <c r="G77" s="124">
        <v>46182</v>
      </c>
      <c r="H77" s="126">
        <v>334874</v>
      </c>
      <c r="J77" s="158"/>
      <c r="K77" s="158"/>
      <c r="L77" s="158"/>
      <c r="M77" s="158"/>
    </row>
    <row r="78" spans="1:13" s="4" customFormat="1" ht="14.25">
      <c r="A78" s="47"/>
      <c r="B78" s="48"/>
      <c r="C78" s="122" t="s">
        <v>53</v>
      </c>
      <c r="D78" s="20" t="s">
        <v>64</v>
      </c>
      <c r="E78" s="123">
        <v>16</v>
      </c>
      <c r="F78" s="123" t="s">
        <v>59</v>
      </c>
      <c r="G78" s="124">
        <v>46181</v>
      </c>
      <c r="H78" s="126">
        <v>333969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53</v>
      </c>
      <c r="D79" s="20" t="s">
        <v>74</v>
      </c>
      <c r="E79" s="20">
        <v>16</v>
      </c>
      <c r="F79" s="123" t="s">
        <v>59</v>
      </c>
      <c r="G79" s="124">
        <v>46181</v>
      </c>
      <c r="H79" s="126">
        <v>335132</v>
      </c>
      <c r="J79" s="158"/>
      <c r="K79" s="158"/>
      <c r="L79" s="158"/>
      <c r="M79" s="158"/>
    </row>
    <row r="80" spans="1:13" s="4" customFormat="1" ht="14.25">
      <c r="A80" s="47"/>
      <c r="B80" s="48"/>
      <c r="C80" s="19" t="s">
        <v>53</v>
      </c>
      <c r="D80" s="20" t="s">
        <v>133</v>
      </c>
      <c r="E80" s="20">
        <v>336</v>
      </c>
      <c r="F80" s="123" t="s">
        <v>59</v>
      </c>
      <c r="G80" s="124">
        <v>46182</v>
      </c>
      <c r="H80" s="126">
        <v>334874</v>
      </c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20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 t="s">
        <v>373</v>
      </c>
      <c r="E82" s="20"/>
      <c r="F82" s="20"/>
      <c r="G82" s="21"/>
      <c r="H82" s="49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20"/>
      <c r="G83" s="21"/>
      <c r="H83" s="49"/>
      <c r="J83" s="158"/>
      <c r="K83" s="158"/>
      <c r="L83" s="158"/>
      <c r="M83" s="158"/>
    </row>
    <row r="84" spans="1:13" s="4" customFormat="1" ht="14.25">
      <c r="A84" s="56"/>
      <c r="B84" s="57"/>
      <c r="C84" s="19" t="s">
        <v>53</v>
      </c>
      <c r="D84" s="20" t="s">
        <v>134</v>
      </c>
      <c r="E84" s="20">
        <v>96</v>
      </c>
      <c r="F84" s="123" t="s">
        <v>59</v>
      </c>
      <c r="G84" s="124">
        <v>46182</v>
      </c>
      <c r="H84" s="126">
        <v>334874</v>
      </c>
      <c r="J84" s="158"/>
      <c r="K84" s="158"/>
      <c r="L84" s="158"/>
      <c r="M84" s="158"/>
    </row>
    <row r="85" spans="1:13" s="4" customFormat="1" thickBot="1">
      <c r="A85" s="56"/>
      <c r="B85" s="57"/>
      <c r="C85" s="19"/>
      <c r="D85" s="20"/>
      <c r="E85" s="20"/>
      <c r="F85" s="20"/>
      <c r="G85" s="20"/>
      <c r="H85" s="22"/>
      <c r="J85" s="158"/>
      <c r="K85" s="158"/>
      <c r="L85" s="158"/>
      <c r="M85" s="158"/>
    </row>
    <row r="86" spans="1:13" s="4" customFormat="1" thickBot="1">
      <c r="A86" s="39"/>
      <c r="B86" s="40"/>
      <c r="C86" s="35"/>
      <c r="D86" s="36"/>
      <c r="E86" s="58">
        <f>SUM(E73:E85)</f>
        <v>1152</v>
      </c>
      <c r="F86" s="36"/>
      <c r="G86" s="36"/>
      <c r="H86" s="38"/>
      <c r="J86" s="158"/>
      <c r="K86" s="158"/>
      <c r="L86" s="158"/>
      <c r="M86" s="158"/>
    </row>
    <row r="87" spans="1:13" s="4" customFormat="1" thickBot="1">
      <c r="A87" s="7" t="s">
        <v>55</v>
      </c>
      <c r="B87" s="8">
        <f>B72+1</f>
        <v>46179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  <c r="J87" s="158"/>
      <c r="K87" s="158"/>
      <c r="L87" s="158"/>
      <c r="M87" s="158"/>
    </row>
    <row r="88" spans="1:13" s="4" customFormat="1" ht="14.25">
      <c r="A88" s="44"/>
      <c r="B88" s="45"/>
      <c r="C88" s="14"/>
      <c r="D88" s="15"/>
      <c r="E88" s="15"/>
      <c r="F88" s="15"/>
      <c r="G88" s="16"/>
      <c r="H88" s="17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49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  <c r="J101" s="158"/>
      <c r="K101" s="158"/>
      <c r="L101" s="158"/>
      <c r="M101" s="158"/>
    </row>
    <row r="102" spans="1:13" s="4" customFormat="1" thickBot="1">
      <c r="A102" s="87"/>
      <c r="B102" s="88"/>
      <c r="C102" s="35"/>
      <c r="D102" s="36"/>
      <c r="E102" s="36"/>
      <c r="F102" s="36"/>
      <c r="G102" s="36"/>
      <c r="H102" s="38"/>
      <c r="J102" s="158"/>
      <c r="K102" s="158"/>
      <c r="L102" s="158"/>
      <c r="M102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C511-BF64-4C92-8C79-970F15F04C88}">
  <dimension ref="A1:P104"/>
  <sheetViews>
    <sheetView topLeftCell="A54" workbookViewId="0">
      <selection activeCell="C71" sqref="C71:H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76</v>
      </c>
      <c r="E7" s="20">
        <v>96</v>
      </c>
      <c r="F7" s="20" t="s">
        <v>99</v>
      </c>
      <c r="G7" s="21">
        <v>46189</v>
      </c>
      <c r="H7" s="49">
        <v>717081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20"/>
      <c r="D8" s="20"/>
      <c r="E8" s="20"/>
      <c r="F8" s="20"/>
      <c r="G8" s="21"/>
      <c r="H8" s="20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239</v>
      </c>
      <c r="D9" s="20" t="s">
        <v>351</v>
      </c>
      <c r="E9" s="20">
        <v>108</v>
      </c>
      <c r="F9" s="20" t="s">
        <v>88</v>
      </c>
      <c r="G9" s="21">
        <v>46183</v>
      </c>
      <c r="H9" s="20">
        <v>400919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239</v>
      </c>
      <c r="D10" s="20" t="s">
        <v>353</v>
      </c>
      <c r="E10" s="20">
        <v>216</v>
      </c>
      <c r="F10" s="20" t="s">
        <v>88</v>
      </c>
      <c r="G10" s="21">
        <v>46183</v>
      </c>
      <c r="H10" s="20">
        <v>400919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48</v>
      </c>
      <c r="F12" s="20" t="s">
        <v>99</v>
      </c>
      <c r="G12" s="21">
        <v>46189</v>
      </c>
      <c r="H12" s="49">
        <v>717081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48</v>
      </c>
      <c r="F13" s="90" t="s">
        <v>99</v>
      </c>
      <c r="G13" s="91">
        <v>46189</v>
      </c>
      <c r="H13" s="93">
        <v>717081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240</v>
      </c>
      <c r="F14" s="90" t="s">
        <v>70</v>
      </c>
      <c r="G14" s="91">
        <v>46202</v>
      </c>
      <c r="H14" s="93">
        <v>13766580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20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 t="s">
        <v>373</v>
      </c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20"/>
      <c r="D17" s="20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06" t="s">
        <v>239</v>
      </c>
      <c r="D18" s="106" t="s">
        <v>352</v>
      </c>
      <c r="E18" s="106">
        <v>162</v>
      </c>
      <c r="F18" s="106" t="s">
        <v>88</v>
      </c>
      <c r="G18" s="107">
        <v>46183</v>
      </c>
      <c r="H18" s="106">
        <v>400919</v>
      </c>
      <c r="J18" s="33" t="s">
        <v>25</v>
      </c>
      <c r="K18" s="26"/>
      <c r="L18" s="26" t="s">
        <v>14</v>
      </c>
      <c r="M18" s="26"/>
    </row>
    <row r="19" spans="1:13">
      <c r="C19" s="19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918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46183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46184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20"/>
      <c r="G55" s="21"/>
      <c r="H55" s="49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>
      <c r="A62" s="47"/>
      <c r="B62" s="48"/>
      <c r="C62" s="89" t="s">
        <v>183</v>
      </c>
      <c r="D62" s="90" t="s">
        <v>349</v>
      </c>
      <c r="E62" s="90">
        <v>420</v>
      </c>
      <c r="F62" s="90"/>
      <c r="G62" s="91"/>
      <c r="H62" s="92"/>
      <c r="N62" s="81"/>
      <c r="O62" s="3"/>
    </row>
    <row r="63" spans="1:15" s="4" customFormat="1" ht="14.25">
      <c r="A63" s="47"/>
      <c r="B63" s="48"/>
      <c r="C63" s="89" t="s">
        <v>183</v>
      </c>
      <c r="D63" s="90" t="s">
        <v>350</v>
      </c>
      <c r="E63" s="90">
        <v>420</v>
      </c>
      <c r="F63" s="90"/>
      <c r="G63" s="91"/>
      <c r="H63" s="92"/>
      <c r="J63" s="158"/>
      <c r="K63" s="158"/>
      <c r="L63" s="158"/>
      <c r="M63" s="158"/>
      <c r="N63" s="81"/>
      <c r="O63" s="3"/>
    </row>
    <row r="64" spans="1:15" s="4" customFormat="1" ht="14.25">
      <c r="A64" s="47"/>
      <c r="B64" s="48"/>
      <c r="C64" s="89" t="s">
        <v>183</v>
      </c>
      <c r="D64" s="90" t="s">
        <v>371</v>
      </c>
      <c r="E64" s="90">
        <v>315</v>
      </c>
      <c r="F64" s="90"/>
      <c r="G64" s="91"/>
      <c r="H64" s="92"/>
      <c r="J64" s="158"/>
      <c r="K64" s="158"/>
      <c r="L64" s="158"/>
      <c r="M64" s="158"/>
    </row>
    <row r="65" spans="1:13" s="4" customFormat="1" ht="14.25">
      <c r="A65" s="47"/>
      <c r="B65" s="48"/>
      <c r="C65" s="89" t="s">
        <v>183</v>
      </c>
      <c r="D65" s="90" t="s">
        <v>372</v>
      </c>
      <c r="E65" s="90">
        <v>315</v>
      </c>
      <c r="F65" s="90"/>
      <c r="G65" s="91"/>
      <c r="H65" s="9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20"/>
      <c r="F66" s="20"/>
      <c r="G66" s="21"/>
      <c r="H66" s="22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SUM(E53:E66)</f>
        <v>1470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46185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136</v>
      </c>
      <c r="D71" s="123" t="s">
        <v>86</v>
      </c>
      <c r="E71" s="123">
        <v>300</v>
      </c>
      <c r="F71" s="123" t="s">
        <v>148</v>
      </c>
      <c r="G71" s="124">
        <v>46195</v>
      </c>
      <c r="H71" s="126">
        <v>77602</v>
      </c>
      <c r="J71" s="158"/>
      <c r="K71" s="158"/>
      <c r="L71" s="158"/>
      <c r="M71" s="158"/>
    </row>
    <row r="72" spans="1:13" s="4" customFormat="1" ht="14.25">
      <c r="A72" s="47"/>
      <c r="B72" s="48"/>
      <c r="C72" s="122" t="s">
        <v>136</v>
      </c>
      <c r="D72" s="123" t="s">
        <v>86</v>
      </c>
      <c r="E72" s="123">
        <v>300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123"/>
      <c r="G73" s="124"/>
      <c r="H73" s="126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307</v>
      </c>
      <c r="D74" s="20" t="s">
        <v>213</v>
      </c>
      <c r="E74" s="20">
        <v>60</v>
      </c>
      <c r="F74" s="123" t="s">
        <v>307</v>
      </c>
      <c r="G74" s="124">
        <v>46188</v>
      </c>
      <c r="H74" s="126" t="s">
        <v>376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307</v>
      </c>
      <c r="D75" s="20" t="s">
        <v>111</v>
      </c>
      <c r="E75" s="20">
        <v>60</v>
      </c>
      <c r="F75" s="123" t="s">
        <v>307</v>
      </c>
      <c r="G75" s="124">
        <v>46188</v>
      </c>
      <c r="H75" s="126" t="s">
        <v>376</v>
      </c>
      <c r="J75" s="158"/>
      <c r="K75" s="158"/>
      <c r="L75" s="158"/>
      <c r="M75" s="158"/>
    </row>
    <row r="76" spans="1:13" s="4" customFormat="1" ht="14.25">
      <c r="A76" s="47"/>
      <c r="B76" s="48"/>
      <c r="C76" s="19"/>
      <c r="D76" s="20"/>
      <c r="E76" s="20"/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242</v>
      </c>
      <c r="D77" s="20" t="s">
        <v>213</v>
      </c>
      <c r="E77" s="20">
        <v>105</v>
      </c>
      <c r="F77" s="123" t="s">
        <v>77</v>
      </c>
      <c r="G77" s="124">
        <v>46203</v>
      </c>
      <c r="H77" s="126">
        <v>40142220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242</v>
      </c>
      <c r="D78" s="20" t="s">
        <v>111</v>
      </c>
      <c r="E78" s="20">
        <v>105</v>
      </c>
      <c r="F78" s="123" t="s">
        <v>77</v>
      </c>
      <c r="G78" s="124">
        <v>46203</v>
      </c>
      <c r="H78" s="126">
        <v>40142220</v>
      </c>
      <c r="J78" s="158"/>
      <c r="K78" s="158"/>
      <c r="L78" s="158"/>
      <c r="M78" s="158"/>
    </row>
    <row r="79" spans="1:13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47"/>
      <c r="B80" s="48"/>
      <c r="C80" s="19"/>
      <c r="D80" s="20" t="s">
        <v>373</v>
      </c>
      <c r="E80" s="20"/>
      <c r="F80" s="20"/>
      <c r="G80" s="21"/>
      <c r="H80" s="49"/>
      <c r="J80" s="158"/>
      <c r="K80" s="158"/>
      <c r="L80" s="158"/>
      <c r="M80" s="158"/>
    </row>
    <row r="81" spans="1:13" s="4" customFormat="1" ht="14.25">
      <c r="A81" s="47"/>
      <c r="B81" s="48"/>
      <c r="C81" s="19"/>
      <c r="D81" s="65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47"/>
      <c r="B82" s="48"/>
      <c r="C82" s="19" t="s">
        <v>150</v>
      </c>
      <c r="D82" s="65" t="s">
        <v>74</v>
      </c>
      <c r="E82" s="20">
        <v>35</v>
      </c>
      <c r="F82" s="20" t="s">
        <v>151</v>
      </c>
      <c r="G82" s="21">
        <v>46188</v>
      </c>
      <c r="H82" s="49">
        <v>6022026</v>
      </c>
      <c r="J82" s="158"/>
      <c r="K82" s="158"/>
      <c r="L82" s="158"/>
      <c r="M82" s="158"/>
    </row>
    <row r="83" spans="1:13" s="4" customFormat="1" ht="14.25">
      <c r="A83" s="56"/>
      <c r="B83" s="57"/>
      <c r="C83" s="19" t="s">
        <v>150</v>
      </c>
      <c r="D83" s="20" t="s">
        <v>63</v>
      </c>
      <c r="E83" s="20">
        <v>75</v>
      </c>
      <c r="F83" s="20" t="s">
        <v>151</v>
      </c>
      <c r="G83" s="21">
        <v>46188</v>
      </c>
      <c r="H83" s="49">
        <v>6022026</v>
      </c>
      <c r="J83" s="158"/>
      <c r="K83" s="158"/>
      <c r="L83" s="158"/>
      <c r="M83" s="158"/>
    </row>
    <row r="84" spans="1:13" s="4" customFormat="1" ht="14.25">
      <c r="A84" s="56"/>
      <c r="B84" s="57"/>
      <c r="C84" s="19" t="s">
        <v>150</v>
      </c>
      <c r="D84" s="20" t="s">
        <v>81</v>
      </c>
      <c r="E84" s="20">
        <v>25</v>
      </c>
      <c r="F84" s="20" t="s">
        <v>151</v>
      </c>
      <c r="G84" s="21">
        <v>46188</v>
      </c>
      <c r="H84" s="49">
        <v>6022026</v>
      </c>
      <c r="J84" s="158"/>
      <c r="K84" s="158"/>
      <c r="L84" s="158"/>
      <c r="M84" s="158"/>
    </row>
    <row r="85" spans="1:13" s="4" customFormat="1" ht="14.25">
      <c r="A85" s="56"/>
      <c r="B85" s="57"/>
      <c r="C85" s="19" t="s">
        <v>150</v>
      </c>
      <c r="D85" s="20" t="s">
        <v>67</v>
      </c>
      <c r="E85" s="20">
        <v>35</v>
      </c>
      <c r="F85" s="20" t="s">
        <v>151</v>
      </c>
      <c r="G85" s="21">
        <v>46188</v>
      </c>
      <c r="H85" s="49">
        <v>6022026</v>
      </c>
      <c r="J85" s="158"/>
      <c r="K85" s="158"/>
      <c r="L85" s="158"/>
      <c r="M85" s="158"/>
    </row>
    <row r="86" spans="1:13" s="4" customFormat="1" ht="14.25">
      <c r="A86" s="56"/>
      <c r="B86" s="57"/>
      <c r="C86" s="19" t="s">
        <v>150</v>
      </c>
      <c r="D86" s="20" t="s">
        <v>64</v>
      </c>
      <c r="E86" s="20">
        <v>110</v>
      </c>
      <c r="F86" s="20" t="s">
        <v>151</v>
      </c>
      <c r="G86" s="21">
        <v>46188</v>
      </c>
      <c r="H86" s="49">
        <v>6022026</v>
      </c>
      <c r="J86" s="158"/>
      <c r="K86" s="158"/>
      <c r="L86" s="158"/>
      <c r="M86" s="158"/>
    </row>
    <row r="87" spans="1:13" s="4" customFormat="1" thickBot="1">
      <c r="A87" s="56"/>
      <c r="B87" s="57"/>
      <c r="C87" s="19"/>
      <c r="D87" s="20"/>
      <c r="E87" s="20"/>
      <c r="F87" s="20"/>
      <c r="G87" s="20"/>
      <c r="H87" s="22"/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SUM(E70:E87)</f>
        <v>1210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B69+1</f>
        <v>46186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ht="14.25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49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49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49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B23-12A1-44A0-8EDC-371F61400055}">
  <dimension ref="A1:P104"/>
  <sheetViews>
    <sheetView topLeftCell="A59"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384</v>
      </c>
      <c r="F7" s="20" t="s">
        <v>70</v>
      </c>
      <c r="G7" s="21">
        <v>46202</v>
      </c>
      <c r="H7" s="49">
        <v>13766580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20" t="s">
        <v>62</v>
      </c>
      <c r="E8" s="20">
        <v>144</v>
      </c>
      <c r="F8" s="20" t="s">
        <v>70</v>
      </c>
      <c r="G8" s="21">
        <v>46202</v>
      </c>
      <c r="H8" s="49">
        <v>13766580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144</v>
      </c>
      <c r="F9" s="20" t="s">
        <v>99</v>
      </c>
      <c r="G9" s="21">
        <v>46202</v>
      </c>
      <c r="H9" s="49">
        <v>733239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62</v>
      </c>
      <c r="E10" s="20">
        <v>48</v>
      </c>
      <c r="F10" s="20" t="s">
        <v>99</v>
      </c>
      <c r="G10" s="21">
        <v>46202</v>
      </c>
      <c r="H10" s="49">
        <v>735431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374</v>
      </c>
      <c r="E11" s="20">
        <v>96</v>
      </c>
      <c r="F11" s="20" t="s">
        <v>70</v>
      </c>
      <c r="G11" s="21">
        <v>46202</v>
      </c>
      <c r="H11" s="49">
        <v>13766580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374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375</v>
      </c>
      <c r="E13" s="20">
        <v>144</v>
      </c>
      <c r="F13" s="20" t="s">
        <v>70</v>
      </c>
      <c r="G13" s="21">
        <v>46202</v>
      </c>
      <c r="H13" s="49">
        <v>13766580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375</v>
      </c>
      <c r="E14" s="20">
        <v>192</v>
      </c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48</v>
      </c>
      <c r="D15" s="20" t="s">
        <v>72</v>
      </c>
      <c r="E15" s="20">
        <v>144</v>
      </c>
      <c r="F15" s="20" t="s">
        <v>70</v>
      </c>
      <c r="G15" s="21">
        <v>46202</v>
      </c>
      <c r="H15" s="49">
        <v>13766580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59</v>
      </c>
      <c r="G54" s="124">
        <v>46202</v>
      </c>
      <c r="H54" s="126">
        <v>335292</v>
      </c>
    </row>
    <row r="55" spans="1:15">
      <c r="A55" s="47"/>
      <c r="B55" s="48"/>
      <c r="C55" s="19" t="s">
        <v>53</v>
      </c>
      <c r="D55" s="19" t="s">
        <v>63</v>
      </c>
      <c r="E55" s="20">
        <v>336</v>
      </c>
      <c r="F55" s="123" t="s">
        <v>59</v>
      </c>
      <c r="G55" s="124">
        <v>46202</v>
      </c>
      <c r="H55" s="126">
        <v>335292</v>
      </c>
      <c r="N55" s="81"/>
      <c r="O55" s="3"/>
    </row>
    <row r="56" spans="1:15">
      <c r="A56" s="47"/>
      <c r="B56" s="48"/>
      <c r="C56" s="19" t="s">
        <v>53</v>
      </c>
      <c r="D56" s="20" t="s">
        <v>377</v>
      </c>
      <c r="E56" s="20">
        <v>192</v>
      </c>
      <c r="F56" s="123" t="s">
        <v>59</v>
      </c>
      <c r="G56" s="124">
        <v>46202</v>
      </c>
      <c r="H56" s="126">
        <v>335292</v>
      </c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123" t="s">
        <v>59</v>
      </c>
      <c r="G57" s="124">
        <v>46202</v>
      </c>
      <c r="H57" s="126">
        <v>335292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22" t="s">
        <v>136</v>
      </c>
      <c r="D60" s="123" t="s">
        <v>86</v>
      </c>
      <c r="E60" s="123">
        <v>300</v>
      </c>
      <c r="F60" s="123" t="s">
        <v>148</v>
      </c>
      <c r="G60" s="124">
        <v>46195</v>
      </c>
      <c r="H60" s="126">
        <v>77602</v>
      </c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1692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46192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22" t="s">
        <v>344</v>
      </c>
      <c r="D69" s="20" t="s">
        <v>63</v>
      </c>
      <c r="E69" s="123">
        <v>48</v>
      </c>
      <c r="F69" s="123" t="s">
        <v>88</v>
      </c>
      <c r="G69" s="124">
        <v>46202</v>
      </c>
      <c r="H69" s="126">
        <v>401072</v>
      </c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344</v>
      </c>
      <c r="D70" s="20" t="s">
        <v>63</v>
      </c>
      <c r="E70" s="123">
        <v>96</v>
      </c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4"/>
      <c r="B71" s="45"/>
      <c r="C71" s="19" t="s">
        <v>344</v>
      </c>
      <c r="D71" s="20" t="s">
        <v>71</v>
      </c>
      <c r="E71" s="20">
        <v>48</v>
      </c>
      <c r="F71" s="123" t="s">
        <v>88</v>
      </c>
      <c r="G71" s="124">
        <v>46202</v>
      </c>
      <c r="H71" s="126">
        <v>401072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344</v>
      </c>
      <c r="D72" s="20" t="s">
        <v>71</v>
      </c>
      <c r="E72" s="20">
        <v>96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344</v>
      </c>
      <c r="D73" s="20" t="s">
        <v>134</v>
      </c>
      <c r="E73" s="20">
        <v>48</v>
      </c>
      <c r="F73" s="123" t="s">
        <v>88</v>
      </c>
      <c r="G73" s="124">
        <v>46202</v>
      </c>
      <c r="H73" s="126">
        <v>401072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344</v>
      </c>
      <c r="D74" s="20" t="s">
        <v>134</v>
      </c>
      <c r="E74" s="20">
        <v>96</v>
      </c>
      <c r="F74" s="123"/>
      <c r="G74" s="124"/>
      <c r="H74" s="126"/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344</v>
      </c>
      <c r="D75" s="20" t="s">
        <v>375</v>
      </c>
      <c r="E75" s="20">
        <v>48</v>
      </c>
      <c r="F75" s="123" t="s">
        <v>88</v>
      </c>
      <c r="G75" s="124">
        <v>46202</v>
      </c>
      <c r="H75" s="126">
        <v>401072</v>
      </c>
      <c r="J75" s="158"/>
      <c r="K75" s="158"/>
      <c r="L75" s="158"/>
      <c r="M75" s="158"/>
    </row>
    <row r="76" spans="1:13" s="4" customFormat="1" ht="14.25">
      <c r="A76" s="47"/>
      <c r="B76" s="48"/>
      <c r="C76" s="19" t="s">
        <v>344</v>
      </c>
      <c r="D76" s="20" t="s">
        <v>375</v>
      </c>
      <c r="E76" s="20">
        <v>96</v>
      </c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48</v>
      </c>
      <c r="D77" s="20" t="s">
        <v>62</v>
      </c>
      <c r="E77" s="20">
        <v>96</v>
      </c>
      <c r="F77" s="123" t="s">
        <v>99</v>
      </c>
      <c r="G77" s="124">
        <v>46202</v>
      </c>
      <c r="H77" s="126">
        <v>738501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98</v>
      </c>
      <c r="D78" s="20" t="s">
        <v>61</v>
      </c>
      <c r="E78" s="20">
        <v>96</v>
      </c>
      <c r="F78" s="123" t="s">
        <v>99</v>
      </c>
      <c r="G78" s="124">
        <v>46209</v>
      </c>
      <c r="H78" s="126">
        <v>725309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98</v>
      </c>
      <c r="D79" s="20" t="s">
        <v>64</v>
      </c>
      <c r="E79" s="20">
        <v>144</v>
      </c>
      <c r="F79" s="123" t="s">
        <v>99</v>
      </c>
      <c r="G79" s="124">
        <v>46209</v>
      </c>
      <c r="H79" s="126">
        <v>725309</v>
      </c>
      <c r="J79" s="158"/>
      <c r="K79" s="158"/>
      <c r="L79" s="158"/>
      <c r="M79" s="158"/>
    </row>
    <row r="80" spans="1:13" s="4" customFormat="1" ht="14.25">
      <c r="A80" s="56"/>
      <c r="B80" s="57"/>
      <c r="C80" s="19" t="s">
        <v>48</v>
      </c>
      <c r="D80" s="20" t="s">
        <v>72</v>
      </c>
      <c r="E80" s="20">
        <v>48</v>
      </c>
      <c r="F80" s="123" t="s">
        <v>99</v>
      </c>
      <c r="G80" s="124">
        <v>46202</v>
      </c>
      <c r="H80" s="126">
        <v>735431</v>
      </c>
      <c r="J80" s="158"/>
      <c r="K80" s="158"/>
      <c r="L80" s="158"/>
      <c r="M80" s="158"/>
    </row>
    <row r="81" spans="1:13" s="4" customFormat="1" ht="14.25">
      <c r="A81" s="56"/>
      <c r="B81" s="57"/>
      <c r="C81" s="89" t="s">
        <v>75</v>
      </c>
      <c r="D81" s="90" t="s">
        <v>65</v>
      </c>
      <c r="E81" s="90">
        <v>96</v>
      </c>
      <c r="F81" s="90" t="s">
        <v>77</v>
      </c>
      <c r="G81" s="91">
        <v>46203</v>
      </c>
      <c r="H81" s="92">
        <v>40142220</v>
      </c>
      <c r="J81" s="158"/>
      <c r="K81" s="158"/>
      <c r="L81" s="158"/>
      <c r="M81" s="158"/>
    </row>
    <row r="82" spans="1:13" s="4" customFormat="1" ht="14.25">
      <c r="A82" s="56"/>
      <c r="B82" s="57"/>
      <c r="C82" s="89" t="s">
        <v>98</v>
      </c>
      <c r="D82" s="90" t="s">
        <v>65</v>
      </c>
      <c r="E82" s="90">
        <v>96</v>
      </c>
      <c r="F82" s="135" t="s">
        <v>99</v>
      </c>
      <c r="G82" s="136">
        <v>46209</v>
      </c>
      <c r="H82" s="137">
        <v>725309</v>
      </c>
      <c r="J82" s="158"/>
      <c r="K82" s="158"/>
      <c r="L82" s="158"/>
      <c r="M82" s="158"/>
    </row>
    <row r="83" spans="1:13" s="4" customFormat="1" ht="14.25">
      <c r="A83" s="56"/>
      <c r="B83" s="57"/>
      <c r="C83" s="89" t="s">
        <v>98</v>
      </c>
      <c r="D83" s="90" t="s">
        <v>83</v>
      </c>
      <c r="E83" s="90">
        <v>144</v>
      </c>
      <c r="F83" s="135" t="s">
        <v>99</v>
      </c>
      <c r="G83" s="136">
        <v>46209</v>
      </c>
      <c r="H83" s="137">
        <v>725309</v>
      </c>
      <c r="J83" s="158"/>
      <c r="K83" s="158"/>
      <c r="L83" s="158"/>
      <c r="M83" s="158"/>
    </row>
    <row r="84" spans="1:13" s="4" customFormat="1" ht="14.25">
      <c r="A84" s="56"/>
      <c r="B84" s="57"/>
      <c r="C84" s="89" t="s">
        <v>48</v>
      </c>
      <c r="D84" s="90" t="s">
        <v>83</v>
      </c>
      <c r="E84" s="90">
        <v>48</v>
      </c>
      <c r="F84" s="135" t="s">
        <v>99</v>
      </c>
      <c r="G84" s="136">
        <v>46202</v>
      </c>
      <c r="H84" s="137">
        <v>735431</v>
      </c>
      <c r="J84" s="158"/>
      <c r="K84" s="158"/>
      <c r="L84" s="158"/>
      <c r="M84" s="158"/>
    </row>
    <row r="85" spans="1:13" s="4" customFormat="1" ht="14.25">
      <c r="A85" s="12"/>
      <c r="B85" s="125"/>
      <c r="C85" s="89" t="s">
        <v>48</v>
      </c>
      <c r="D85" s="90" t="s">
        <v>83</v>
      </c>
      <c r="E85" s="90">
        <v>48</v>
      </c>
      <c r="F85" s="90" t="s">
        <v>99</v>
      </c>
      <c r="G85" s="91">
        <v>46210</v>
      </c>
      <c r="H85" s="93">
        <v>743707</v>
      </c>
      <c r="J85" s="158"/>
      <c r="K85" s="158"/>
      <c r="L85" s="158"/>
      <c r="M85" s="158"/>
    </row>
    <row r="86" spans="1:13" s="4" customFormat="1" ht="14.2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46203</v>
      </c>
      <c r="H86" s="92">
        <v>40142220</v>
      </c>
      <c r="J86" s="158"/>
      <c r="K86" s="158"/>
      <c r="L86" s="158"/>
      <c r="M86" s="158"/>
    </row>
    <row r="87" spans="1:13" s="4" customFormat="1" thickBot="1">
      <c r="A87" s="12"/>
      <c r="B87" s="125"/>
      <c r="C87" s="162" t="s">
        <v>75</v>
      </c>
      <c r="D87" s="163" t="s">
        <v>134</v>
      </c>
      <c r="E87" s="163">
        <v>96</v>
      </c>
      <c r="F87" s="90" t="s">
        <v>77</v>
      </c>
      <c r="G87" s="91">
        <v>46203</v>
      </c>
      <c r="H87" s="92">
        <v>40142220</v>
      </c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SUM(E69:E86)</f>
        <v>1440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B68+1</f>
        <v>46193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thickBot="1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4"/>
      <c r="D91" s="15"/>
      <c r="E91" s="15"/>
      <c r="F91" s="15"/>
      <c r="G91" s="16"/>
      <c r="H91" s="17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20"/>
      <c r="E92" s="123"/>
      <c r="F92" s="123"/>
      <c r="G92" s="124"/>
      <c r="H92" s="126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123"/>
      <c r="G93" s="124"/>
      <c r="H93" s="126"/>
      <c r="J93" s="158"/>
      <c r="K93" s="158"/>
      <c r="L93" s="158"/>
      <c r="M93" s="158"/>
    </row>
    <row r="94" spans="1:13" s="4" customFormat="1" ht="14.25">
      <c r="A94" s="47"/>
      <c r="B94" s="48"/>
      <c r="C94" s="122"/>
      <c r="D94" s="20"/>
      <c r="E94" s="123"/>
      <c r="F94" s="123"/>
      <c r="G94" s="124"/>
      <c r="H94" s="126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E10-CD2B-4F07-AECD-5EA3133A44DB}">
  <dimension ref="A1:P103"/>
  <sheetViews>
    <sheetView topLeftCell="A3" workbookViewId="0">
      <selection activeCell="G69" sqref="G6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46195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66</v>
      </c>
      <c r="D7" s="65" t="s">
        <v>63</v>
      </c>
      <c r="E7" s="20">
        <v>300</v>
      </c>
      <c r="F7" s="123" t="s">
        <v>88</v>
      </c>
      <c r="G7" s="124">
        <v>46202</v>
      </c>
      <c r="H7" s="126">
        <v>401072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66</v>
      </c>
      <c r="D8" s="20" t="s">
        <v>67</v>
      </c>
      <c r="E8" s="20">
        <v>240</v>
      </c>
      <c r="F8" s="123" t="s">
        <v>88</v>
      </c>
      <c r="G8" s="124">
        <v>46202</v>
      </c>
      <c r="H8" s="126">
        <v>401072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20" t="s">
        <v>64</v>
      </c>
      <c r="E9" s="20">
        <v>360</v>
      </c>
      <c r="F9" s="123" t="s">
        <v>88</v>
      </c>
      <c r="G9" s="124">
        <v>46202</v>
      </c>
      <c r="H9" s="126">
        <v>401072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68</v>
      </c>
      <c r="E10" s="20">
        <v>120</v>
      </c>
      <c r="F10" s="123" t="s">
        <v>88</v>
      </c>
      <c r="G10" s="124">
        <v>46202</v>
      </c>
      <c r="H10" s="126">
        <v>401072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123" t="s">
        <v>88</v>
      </c>
      <c r="G11" s="124">
        <v>46202</v>
      </c>
      <c r="H11" s="126">
        <v>401072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89" t="s">
        <v>66</v>
      </c>
      <c r="D12" s="90" t="s">
        <v>80</v>
      </c>
      <c r="E12" s="90">
        <v>120</v>
      </c>
      <c r="F12" s="135" t="s">
        <v>88</v>
      </c>
      <c r="G12" s="136">
        <v>46202</v>
      </c>
      <c r="H12" s="137">
        <v>401072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9" t="s">
        <v>80</v>
      </c>
      <c r="E13" s="90">
        <v>120</v>
      </c>
      <c r="F13" s="90"/>
      <c r="G13" s="91"/>
      <c r="H13" s="93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62" t="s">
        <v>75</v>
      </c>
      <c r="D15" s="163" t="s">
        <v>134</v>
      </c>
      <c r="E15" s="163">
        <v>96</v>
      </c>
      <c r="F15" s="90" t="s">
        <v>77</v>
      </c>
      <c r="G15" s="91">
        <v>46203</v>
      </c>
      <c r="H15" s="92">
        <v>40142220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1476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46196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48</v>
      </c>
      <c r="D54" s="123" t="s">
        <v>72</v>
      </c>
      <c r="E54" s="123">
        <v>96</v>
      </c>
      <c r="F54" s="123" t="s">
        <v>99</v>
      </c>
      <c r="G54" s="124">
        <v>46210</v>
      </c>
      <c r="H54" s="126">
        <v>743707</v>
      </c>
    </row>
    <row r="55" spans="1:15">
      <c r="A55" s="47"/>
      <c r="B55" s="48"/>
      <c r="C55" s="19" t="s">
        <v>75</v>
      </c>
      <c r="D55" s="19" t="s">
        <v>64</v>
      </c>
      <c r="E55" s="20">
        <v>144</v>
      </c>
      <c r="F55" s="20" t="s">
        <v>77</v>
      </c>
      <c r="G55" s="21">
        <v>46203</v>
      </c>
      <c r="H55" s="49">
        <v>40142220</v>
      </c>
      <c r="N55" s="81"/>
      <c r="O55" s="3"/>
    </row>
    <row r="56" spans="1:15">
      <c r="A56" s="47"/>
      <c r="B56" s="48"/>
      <c r="C56" s="122" t="s">
        <v>75</v>
      </c>
      <c r="D56" s="123" t="s">
        <v>68</v>
      </c>
      <c r="E56" s="123">
        <v>48</v>
      </c>
      <c r="F56" s="20" t="s">
        <v>77</v>
      </c>
      <c r="G56" s="21">
        <v>46203</v>
      </c>
      <c r="H56" s="49">
        <v>40142220</v>
      </c>
      <c r="N56" s="81"/>
      <c r="O56" s="3"/>
    </row>
    <row r="57" spans="1:15">
      <c r="A57" s="47"/>
      <c r="B57" s="48"/>
      <c r="C57" s="19" t="s">
        <v>75</v>
      </c>
      <c r="D57" s="20" t="s">
        <v>68</v>
      </c>
      <c r="E57" s="20">
        <v>48</v>
      </c>
      <c r="F57" s="20" t="s">
        <v>77</v>
      </c>
      <c r="G57" s="21">
        <v>46218</v>
      </c>
      <c r="H57" s="49">
        <v>40144403</v>
      </c>
      <c r="N57" s="81"/>
      <c r="O57" s="3"/>
    </row>
    <row r="58" spans="1:15">
      <c r="A58" s="47"/>
      <c r="B58" s="48"/>
      <c r="C58" s="19" t="s">
        <v>75</v>
      </c>
      <c r="D58" s="65" t="s">
        <v>63</v>
      </c>
      <c r="E58" s="20">
        <v>192</v>
      </c>
      <c r="F58" s="20" t="s">
        <v>77</v>
      </c>
      <c r="G58" s="21">
        <v>46203</v>
      </c>
      <c r="H58" s="49">
        <v>40142220</v>
      </c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N59" s="81"/>
      <c r="O59" s="3"/>
    </row>
    <row r="60" spans="1:15">
      <c r="A60" s="47"/>
      <c r="B60" s="48"/>
      <c r="C60" s="19" t="s">
        <v>75</v>
      </c>
      <c r="D60" s="20" t="s">
        <v>71</v>
      </c>
      <c r="E60" s="20">
        <v>48</v>
      </c>
      <c r="F60" s="20" t="s">
        <v>77</v>
      </c>
      <c r="G60" s="21">
        <v>46203</v>
      </c>
      <c r="H60" s="49">
        <v>40142220</v>
      </c>
      <c r="N60" s="81"/>
      <c r="O60" s="3"/>
    </row>
    <row r="61" spans="1:15">
      <c r="A61" s="47"/>
      <c r="B61" s="48"/>
      <c r="C61" s="19" t="s">
        <v>75</v>
      </c>
      <c r="D61" s="20" t="s">
        <v>71</v>
      </c>
      <c r="E61" s="20">
        <v>48</v>
      </c>
      <c r="F61" s="20" t="s">
        <v>77</v>
      </c>
      <c r="G61" s="21">
        <v>46218</v>
      </c>
      <c r="H61" s="49">
        <v>40144403</v>
      </c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48</v>
      </c>
      <c r="F62" s="20" t="s">
        <v>77</v>
      </c>
      <c r="G62" s="21">
        <v>46203</v>
      </c>
      <c r="H62" s="49">
        <v>40142220</v>
      </c>
      <c r="N62" s="81"/>
      <c r="O62" s="3"/>
    </row>
    <row r="63" spans="1:15">
      <c r="A63" s="47"/>
      <c r="B63" s="48"/>
      <c r="C63" s="19" t="s">
        <v>75</v>
      </c>
      <c r="D63" s="20" t="s">
        <v>76</v>
      </c>
      <c r="E63" s="20">
        <v>144</v>
      </c>
      <c r="F63" s="20" t="s">
        <v>77</v>
      </c>
      <c r="G63" s="21">
        <v>46203</v>
      </c>
      <c r="H63" s="49">
        <v>40142220</v>
      </c>
      <c r="N63" s="81"/>
      <c r="O63" s="3"/>
    </row>
    <row r="64" spans="1:15">
      <c r="A64" s="47"/>
      <c r="B64" s="48"/>
      <c r="C64" s="19" t="s">
        <v>75</v>
      </c>
      <c r="D64" s="20" t="s">
        <v>76</v>
      </c>
      <c r="E64" s="20">
        <v>288</v>
      </c>
      <c r="F64" s="20" t="s">
        <v>77</v>
      </c>
      <c r="G64" s="21">
        <v>46218</v>
      </c>
      <c r="H64" s="49">
        <v>40144403</v>
      </c>
      <c r="N64" s="81"/>
      <c r="O64" s="3"/>
    </row>
    <row r="65" spans="1:15">
      <c r="A65" s="47"/>
      <c r="B65" s="48"/>
      <c r="C65" s="19" t="s">
        <v>75</v>
      </c>
      <c r="D65" s="164" t="s">
        <v>78</v>
      </c>
      <c r="E65" s="20">
        <v>96</v>
      </c>
      <c r="F65" s="20" t="s">
        <v>77</v>
      </c>
      <c r="G65" s="21">
        <v>46203</v>
      </c>
      <c r="H65" s="49">
        <v>40142220</v>
      </c>
      <c r="N65" s="81"/>
      <c r="O65" s="3"/>
    </row>
    <row r="66" spans="1:15" s="4" customFormat="1" ht="14.25">
      <c r="A66" s="47"/>
      <c r="B66" s="48"/>
      <c r="C66" s="19" t="s">
        <v>75</v>
      </c>
      <c r="D66" s="20" t="s">
        <v>78</v>
      </c>
      <c r="E66" s="20">
        <v>48</v>
      </c>
      <c r="F66" s="20" t="s">
        <v>77</v>
      </c>
      <c r="G66" s="21">
        <v>46218</v>
      </c>
      <c r="H66" s="49">
        <v>40144403</v>
      </c>
      <c r="J66" s="158"/>
      <c r="K66" s="158"/>
      <c r="L66" s="158"/>
      <c r="M66" s="158"/>
      <c r="N66" s="81"/>
      <c r="O66" s="3"/>
    </row>
    <row r="67" spans="1:15" s="4" customFormat="1" ht="14.25">
      <c r="A67" s="47"/>
      <c r="B67" s="48"/>
      <c r="C67" s="19"/>
      <c r="D67" s="20"/>
      <c r="E67" s="20"/>
      <c r="F67" s="20"/>
      <c r="G67" s="21"/>
      <c r="H67" s="49"/>
      <c r="J67" s="158"/>
      <c r="K67" s="158"/>
      <c r="L67" s="158"/>
      <c r="M67" s="158"/>
    </row>
    <row r="68" spans="1:15" s="4" customFormat="1" ht="14.25">
      <c r="A68" s="47"/>
      <c r="B68" s="48"/>
      <c r="C68" s="19"/>
      <c r="D68" s="20"/>
      <c r="E68" s="20"/>
      <c r="F68" s="20"/>
      <c r="G68" s="21"/>
      <c r="H68" s="49"/>
      <c r="J68" s="158"/>
      <c r="K68" s="158"/>
      <c r="L68" s="158"/>
      <c r="M68" s="158"/>
    </row>
    <row r="69" spans="1:15" s="4" customFormat="1" ht="14.25">
      <c r="A69" s="47"/>
      <c r="B69" s="48"/>
      <c r="C69" s="19"/>
      <c r="D69" s="20"/>
      <c r="E69" s="20"/>
      <c r="F69" s="20"/>
      <c r="G69" s="21"/>
      <c r="H69" s="22"/>
      <c r="J69" s="158"/>
      <c r="K69" s="158"/>
      <c r="L69" s="158"/>
      <c r="M69" s="158"/>
    </row>
    <row r="70" spans="1:15" s="4" customFormat="1" ht="14.25">
      <c r="A70" s="47"/>
      <c r="B70" s="48"/>
      <c r="C70" s="19"/>
      <c r="D70" s="20"/>
      <c r="E70" s="70">
        <f>SUM(E53:E69)</f>
        <v>1248</v>
      </c>
      <c r="F70" s="20"/>
      <c r="G70" s="21"/>
      <c r="H70" s="22"/>
      <c r="J70" s="158"/>
      <c r="K70" s="158"/>
      <c r="L70" s="158"/>
      <c r="M70" s="158"/>
    </row>
    <row r="71" spans="1:15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5" s="4" customFormat="1" thickBot="1">
      <c r="A72" s="7" t="s">
        <v>54</v>
      </c>
      <c r="B72" s="8">
        <f>B52+1</f>
        <v>46199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5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5" s="4" customFormat="1" ht="14.25">
      <c r="A74" s="44"/>
      <c r="B74" s="45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5" s="4" customFormat="1" ht="14.25">
      <c r="A75" s="44"/>
      <c r="B75" s="45"/>
      <c r="C75" s="122"/>
      <c r="D75" s="20"/>
      <c r="E75" s="123"/>
      <c r="F75" s="123"/>
      <c r="G75" s="124"/>
      <c r="H75" s="126"/>
      <c r="J75" s="158"/>
      <c r="K75" s="158"/>
      <c r="L75" s="158"/>
      <c r="M75" s="158"/>
    </row>
    <row r="76" spans="1:15" s="4" customFormat="1" ht="14.25">
      <c r="A76" s="47"/>
      <c r="B76" s="48"/>
      <c r="C76" s="122" t="s">
        <v>3</v>
      </c>
      <c r="D76" s="20" t="s">
        <v>86</v>
      </c>
      <c r="E76" s="123">
        <v>240</v>
      </c>
      <c r="F76" s="123" t="s">
        <v>148</v>
      </c>
      <c r="G76" s="124">
        <v>46209</v>
      </c>
      <c r="H76" s="126">
        <v>77824</v>
      </c>
      <c r="J76" s="158"/>
      <c r="K76" s="158"/>
      <c r="L76" s="158"/>
      <c r="M76" s="158"/>
    </row>
    <row r="77" spans="1:15" s="4" customFormat="1" ht="14.25">
      <c r="A77" s="47"/>
      <c r="B77" s="48"/>
      <c r="C77" s="19"/>
      <c r="D77" s="20"/>
      <c r="E77" s="20"/>
      <c r="F77" s="123"/>
      <c r="G77" s="124"/>
      <c r="H77" s="126"/>
      <c r="J77" s="158"/>
      <c r="K77" s="158"/>
      <c r="L77" s="158"/>
      <c r="M77" s="158"/>
    </row>
    <row r="78" spans="1:15" s="4" customFormat="1" ht="14.25">
      <c r="A78" s="47"/>
      <c r="B78" s="48"/>
      <c r="C78" s="19" t="s">
        <v>57</v>
      </c>
      <c r="D78" s="20" t="s">
        <v>58</v>
      </c>
      <c r="E78" s="20">
        <v>1200</v>
      </c>
      <c r="F78" s="123"/>
      <c r="G78" s="124"/>
      <c r="H78" s="126"/>
      <c r="J78" s="158"/>
      <c r="K78" s="158"/>
      <c r="L78" s="158"/>
      <c r="M78" s="158"/>
    </row>
    <row r="79" spans="1:15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5" s="4" customFormat="1" ht="14.25">
      <c r="A80" s="47"/>
      <c r="B80" s="48"/>
      <c r="C80" s="19"/>
      <c r="D80" s="65"/>
      <c r="E80" s="20"/>
      <c r="F80" s="123"/>
      <c r="G80" s="124"/>
      <c r="H80" s="126"/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65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65"/>
      <c r="E82" s="20"/>
      <c r="F82" s="123"/>
      <c r="G82" s="124"/>
      <c r="H82" s="126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123"/>
      <c r="G83" s="124"/>
      <c r="H83" s="126"/>
      <c r="J83" s="158"/>
      <c r="K83" s="158"/>
      <c r="L83" s="158"/>
      <c r="M83" s="158"/>
    </row>
    <row r="84" spans="1:13" s="4" customFormat="1" ht="14.25">
      <c r="A84" s="56"/>
      <c r="B84" s="57"/>
      <c r="C84" s="19"/>
      <c r="D84" s="20"/>
      <c r="E84" s="20"/>
      <c r="F84" s="123"/>
      <c r="G84" s="124"/>
      <c r="H84" s="126"/>
      <c r="J84" s="158"/>
      <c r="K84" s="158"/>
      <c r="L84" s="158"/>
      <c r="M84" s="158"/>
    </row>
    <row r="85" spans="1:13" s="4" customFormat="1" ht="14.25">
      <c r="A85" s="56"/>
      <c r="B85" s="57"/>
      <c r="C85" s="19"/>
      <c r="D85" s="20"/>
      <c r="E85" s="20"/>
      <c r="F85" s="20"/>
      <c r="G85" s="21"/>
      <c r="H85" s="49"/>
      <c r="J85" s="158"/>
      <c r="K85" s="158"/>
      <c r="L85" s="158"/>
      <c r="M85" s="158"/>
    </row>
    <row r="86" spans="1:13" s="4" customFormat="1" thickBot="1">
      <c r="A86" s="56"/>
      <c r="B86" s="57"/>
      <c r="C86" s="19"/>
      <c r="D86" s="20"/>
      <c r="E86" s="20"/>
      <c r="F86" s="20"/>
      <c r="G86" s="20"/>
      <c r="H86" s="22"/>
      <c r="J86" s="158"/>
      <c r="K86" s="158"/>
      <c r="L86" s="158"/>
      <c r="M86" s="158"/>
    </row>
    <row r="87" spans="1:13" s="4" customFormat="1" thickBot="1">
      <c r="A87" s="39"/>
      <c r="B87" s="40"/>
      <c r="C87" s="35"/>
      <c r="D87" s="36"/>
      <c r="E87" s="58">
        <f>SUM(E73:E86)</f>
        <v>1440</v>
      </c>
      <c r="F87" s="36"/>
      <c r="G87" s="36"/>
      <c r="H87" s="38"/>
      <c r="J87" s="158"/>
      <c r="K87" s="158"/>
      <c r="L87" s="158"/>
      <c r="M87" s="158"/>
    </row>
    <row r="88" spans="1:13" s="4" customFormat="1" thickBot="1">
      <c r="A88" s="7" t="s">
        <v>55</v>
      </c>
      <c r="B88" s="8">
        <f>B72+1</f>
        <v>46200</v>
      </c>
      <c r="C88" s="82" t="s">
        <v>3</v>
      </c>
      <c r="D88" s="83" t="s">
        <v>4</v>
      </c>
      <c r="E88" s="83" t="s">
        <v>5</v>
      </c>
      <c r="F88" s="83" t="s">
        <v>6</v>
      </c>
      <c r="G88" s="83" t="s">
        <v>7</v>
      </c>
      <c r="H88" s="84" t="s">
        <v>8</v>
      </c>
      <c r="J88" s="158"/>
      <c r="K88" s="158"/>
      <c r="L88" s="158"/>
      <c r="M88" s="158"/>
    </row>
    <row r="89" spans="1:13" s="4" customFormat="1" ht="14.25">
      <c r="A89" s="44"/>
      <c r="B89" s="45"/>
      <c r="C89" s="14"/>
      <c r="D89" s="15"/>
      <c r="E89" s="15"/>
      <c r="F89" s="15"/>
      <c r="G89" s="16"/>
      <c r="H89" s="17"/>
      <c r="J89" s="158"/>
      <c r="K89" s="158"/>
      <c r="L89" s="158"/>
      <c r="M89" s="158"/>
    </row>
    <row r="90" spans="1:13" s="4" customFormat="1" ht="14.25">
      <c r="A90" s="47"/>
      <c r="B90" s="48"/>
      <c r="C90" s="122"/>
      <c r="D90" s="123"/>
      <c r="E90" s="123"/>
      <c r="F90" s="123"/>
      <c r="G90" s="124"/>
      <c r="H90" s="126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19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123"/>
      <c r="E92" s="123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85"/>
      <c r="E102" s="86">
        <f>SUM(E89:E101)</f>
        <v>0</v>
      </c>
      <c r="F102" s="20"/>
      <c r="G102" s="20"/>
      <c r="H102" s="22"/>
      <c r="J102" s="158"/>
      <c r="K102" s="158"/>
      <c r="L102" s="158"/>
      <c r="M102" s="158"/>
    </row>
    <row r="103" spans="1:13" s="4" customFormat="1" thickBot="1">
      <c r="A103" s="87"/>
      <c r="B103" s="88"/>
      <c r="C103" s="35"/>
      <c r="D103" s="36"/>
      <c r="E103" s="36"/>
      <c r="F103" s="36"/>
      <c r="G103" s="36"/>
      <c r="H103" s="38"/>
      <c r="J103" s="158"/>
      <c r="K103" s="158"/>
      <c r="L103" s="158"/>
      <c r="M103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328-0421-45E5-A30F-41ED41232C65}">
  <dimension ref="A1:P97"/>
  <sheetViews>
    <sheetView topLeftCell="A42" workbookViewId="0">
      <selection activeCell="E7" sqref="E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337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62</v>
      </c>
      <c r="E7" s="20">
        <v>96</v>
      </c>
      <c r="F7" s="20" t="s">
        <v>59</v>
      </c>
      <c r="G7" s="21">
        <v>46210</v>
      </c>
      <c r="H7" s="49">
        <v>335501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65" t="s">
        <v>64</v>
      </c>
      <c r="E8" s="20">
        <v>384</v>
      </c>
      <c r="F8" s="20" t="s">
        <v>59</v>
      </c>
      <c r="G8" s="21">
        <v>46209</v>
      </c>
      <c r="H8" s="49">
        <v>335499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68</v>
      </c>
      <c r="E9" s="20">
        <v>480</v>
      </c>
      <c r="F9" s="20" t="s">
        <v>59</v>
      </c>
      <c r="G9" s="21">
        <v>46209</v>
      </c>
      <c r="H9" s="49">
        <v>335499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134</v>
      </c>
      <c r="E11" s="20">
        <v>384</v>
      </c>
      <c r="F11" s="20" t="s">
        <v>59</v>
      </c>
      <c r="G11" s="21">
        <v>46209</v>
      </c>
      <c r="H11" s="49">
        <v>335499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19"/>
      <c r="E17" s="20"/>
      <c r="F17" s="123"/>
      <c r="G17" s="124"/>
      <c r="H17" s="126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46203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46204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46205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384</v>
      </c>
      <c r="F54" s="123" t="s">
        <v>59</v>
      </c>
      <c r="G54" s="124">
        <v>46210</v>
      </c>
      <c r="H54" s="126">
        <v>335501</v>
      </c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123" t="s">
        <v>59</v>
      </c>
      <c r="G55" s="124">
        <v>46210</v>
      </c>
      <c r="H55" s="126">
        <v>335501</v>
      </c>
      <c r="N55" s="81"/>
      <c r="O55" s="3"/>
    </row>
    <row r="56" spans="1:15">
      <c r="A56" s="47"/>
      <c r="B56" s="48"/>
      <c r="C56" s="19" t="s">
        <v>53</v>
      </c>
      <c r="D56" s="20" t="s">
        <v>133</v>
      </c>
      <c r="E56" s="20">
        <v>384</v>
      </c>
      <c r="F56" s="123" t="s">
        <v>59</v>
      </c>
      <c r="G56" s="124">
        <v>46210</v>
      </c>
      <c r="H56" s="126">
        <v>335501</v>
      </c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 t="s">
        <v>48</v>
      </c>
      <c r="D58" s="65" t="s">
        <v>346</v>
      </c>
      <c r="E58" s="20">
        <v>48</v>
      </c>
      <c r="F58" s="20" t="s">
        <v>70</v>
      </c>
      <c r="G58" s="21">
        <v>46210</v>
      </c>
      <c r="H58" s="49">
        <v>13799699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1200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46206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46207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30DE-73C9-4C81-8D6B-B7F6E0F908E0}">
  <dimension ref="A1:P97"/>
  <sheetViews>
    <sheetView workbookViewId="0">
      <selection activeCell="C75" sqref="C75:H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378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242</v>
      </c>
      <c r="D7" s="65" t="s">
        <v>111</v>
      </c>
      <c r="E7" s="20">
        <v>105</v>
      </c>
      <c r="F7" s="20" t="s">
        <v>77</v>
      </c>
      <c r="G7" s="21">
        <v>46218</v>
      </c>
      <c r="H7" s="49">
        <v>40144403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242</v>
      </c>
      <c r="D8" s="65" t="s">
        <v>181</v>
      </c>
      <c r="E8" s="20">
        <v>105</v>
      </c>
      <c r="F8" s="20" t="s">
        <v>77</v>
      </c>
      <c r="G8" s="21">
        <v>46218</v>
      </c>
      <c r="H8" s="49">
        <v>40144403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384</v>
      </c>
      <c r="F9" s="20" t="s">
        <v>70</v>
      </c>
      <c r="G9" s="21">
        <v>46210</v>
      </c>
      <c r="H9" s="49">
        <v>13799699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76</v>
      </c>
      <c r="E10" s="20">
        <v>240</v>
      </c>
      <c r="F10" s="20" t="s">
        <v>70</v>
      </c>
      <c r="G10" s="21">
        <v>46210</v>
      </c>
      <c r="H10" s="49">
        <v>13799699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72</v>
      </c>
      <c r="E11" s="20">
        <v>144</v>
      </c>
      <c r="F11" s="20" t="s">
        <v>70</v>
      </c>
      <c r="G11" s="21">
        <v>46210</v>
      </c>
      <c r="H11" s="49">
        <v>13799699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64</v>
      </c>
      <c r="E12" s="20">
        <v>192</v>
      </c>
      <c r="F12" s="20" t="s">
        <v>77</v>
      </c>
      <c r="G12" s="21">
        <v>46218</v>
      </c>
      <c r="H12" s="49">
        <v>40144403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96</v>
      </c>
      <c r="F14" s="90" t="s">
        <v>70</v>
      </c>
      <c r="G14" s="91">
        <v>46210</v>
      </c>
      <c r="H14" s="93">
        <v>13799699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75</v>
      </c>
      <c r="D15" s="90" t="s">
        <v>83</v>
      </c>
      <c r="E15" s="90">
        <v>48</v>
      </c>
      <c r="F15" s="90" t="s">
        <v>77</v>
      </c>
      <c r="G15" s="91">
        <v>46218</v>
      </c>
      <c r="H15" s="93">
        <v>40144403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80</v>
      </c>
      <c r="E16" s="90">
        <v>48</v>
      </c>
      <c r="F16" s="90" t="s">
        <v>77</v>
      </c>
      <c r="G16" s="91">
        <v>46218</v>
      </c>
      <c r="H16" s="93">
        <v>40144403</v>
      </c>
      <c r="J16" s="25" t="s">
        <v>23</v>
      </c>
      <c r="K16" s="26" t="s">
        <v>14</v>
      </c>
      <c r="L16" s="29"/>
      <c r="M16" s="26"/>
    </row>
    <row r="17" spans="1:13">
      <c r="C17" s="89" t="s">
        <v>75</v>
      </c>
      <c r="D17" s="90" t="s">
        <v>79</v>
      </c>
      <c r="E17" s="90">
        <v>48</v>
      </c>
      <c r="F17" s="90" t="s">
        <v>77</v>
      </c>
      <c r="G17" s="91">
        <v>46218</v>
      </c>
      <c r="H17" s="93">
        <v>40144403</v>
      </c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123"/>
      <c r="G55" s="124"/>
      <c r="H55" s="126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123" t="s">
        <v>59</v>
      </c>
      <c r="G56" s="124">
        <v>46216</v>
      </c>
      <c r="H56" s="126">
        <v>335843</v>
      </c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288</v>
      </c>
      <c r="F57" s="123" t="s">
        <v>59</v>
      </c>
      <c r="G57" s="124">
        <v>46216</v>
      </c>
      <c r="H57" s="126">
        <v>335843</v>
      </c>
      <c r="N57" s="81"/>
      <c r="O57" s="3"/>
    </row>
    <row r="58" spans="1:15">
      <c r="A58" s="47"/>
      <c r="B58" s="48"/>
      <c r="C58" s="19" t="s">
        <v>53</v>
      </c>
      <c r="D58" s="20" t="s">
        <v>233</v>
      </c>
      <c r="E58" s="20">
        <v>288</v>
      </c>
      <c r="F58" s="20" t="s">
        <v>59</v>
      </c>
      <c r="G58" s="21">
        <v>46219</v>
      </c>
      <c r="H58" s="49">
        <v>335937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69"/>
      <c r="D60" s="170"/>
      <c r="E60" s="170"/>
      <c r="F60" s="166"/>
      <c r="G60" s="167"/>
      <c r="H60" s="168"/>
      <c r="N60" s="81"/>
      <c r="O60" s="3"/>
    </row>
    <row r="61" spans="1:15">
      <c r="A61" s="47"/>
      <c r="B61" s="48"/>
      <c r="C61" s="19" t="s">
        <v>75</v>
      </c>
      <c r="D61" s="65" t="s">
        <v>63</v>
      </c>
      <c r="E61" s="20">
        <v>240</v>
      </c>
      <c r="F61" s="20" t="s">
        <v>77</v>
      </c>
      <c r="G61" s="21">
        <v>46218</v>
      </c>
      <c r="H61" s="49">
        <v>40144403</v>
      </c>
      <c r="N61" s="81"/>
      <c r="O61" s="3"/>
    </row>
    <row r="62" spans="1:15" s="4" customFormat="1" ht="14.25">
      <c r="A62" s="47"/>
      <c r="B62" s="48"/>
      <c r="C62" s="19" t="s">
        <v>75</v>
      </c>
      <c r="D62" s="65" t="s">
        <v>63</v>
      </c>
      <c r="E62" s="20">
        <v>192</v>
      </c>
      <c r="F62" s="20" t="s">
        <v>77</v>
      </c>
      <c r="G62" s="21">
        <v>46224</v>
      </c>
      <c r="H62" s="49">
        <v>40145290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 t="s">
        <v>98</v>
      </c>
      <c r="D63" s="65" t="s">
        <v>61</v>
      </c>
      <c r="E63" s="20">
        <v>70</v>
      </c>
      <c r="F63" s="20" t="s">
        <v>392</v>
      </c>
      <c r="G63" s="21">
        <v>46217</v>
      </c>
      <c r="H63" s="22">
        <v>725309</v>
      </c>
      <c r="J63" s="158"/>
      <c r="K63" s="158"/>
      <c r="L63" s="158"/>
      <c r="M63" s="158"/>
    </row>
    <row r="64" spans="1:15" s="4" customFormat="1" ht="14.25">
      <c r="A64" s="47"/>
      <c r="B64" s="48"/>
      <c r="C64" s="89" t="s">
        <v>98</v>
      </c>
      <c r="D64" s="99" t="s">
        <v>65</v>
      </c>
      <c r="E64" s="90">
        <v>48</v>
      </c>
      <c r="F64" s="90" t="s">
        <v>392</v>
      </c>
      <c r="G64" s="91">
        <v>46217</v>
      </c>
      <c r="H64" s="92">
        <v>725309</v>
      </c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1414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46213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/>
      <c r="D70" s="65"/>
      <c r="E70" s="20"/>
      <c r="F70" s="20"/>
      <c r="G70" s="21"/>
      <c r="H70" s="49"/>
      <c r="J70" s="158"/>
      <c r="K70" s="158"/>
      <c r="L70" s="158"/>
      <c r="M70" s="158"/>
    </row>
    <row r="71" spans="1:13" s="4" customFormat="1" ht="14.25">
      <c r="A71" s="47"/>
      <c r="B71" s="48"/>
      <c r="C71" s="19" t="s">
        <v>53</v>
      </c>
      <c r="D71" s="20" t="s">
        <v>76</v>
      </c>
      <c r="E71" s="20">
        <v>192</v>
      </c>
      <c r="F71" s="123" t="s">
        <v>59</v>
      </c>
      <c r="G71" s="124">
        <v>46217</v>
      </c>
      <c r="H71" s="126">
        <v>335858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53</v>
      </c>
      <c r="D72" s="20" t="s">
        <v>63</v>
      </c>
      <c r="E72" s="20">
        <v>336</v>
      </c>
      <c r="F72" s="123" t="s">
        <v>59</v>
      </c>
      <c r="G72" s="124">
        <v>46216</v>
      </c>
      <c r="H72" s="126">
        <v>335843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63</v>
      </c>
      <c r="E73" s="20">
        <v>336</v>
      </c>
      <c r="F73" s="123" t="s">
        <v>59</v>
      </c>
      <c r="G73" s="124">
        <v>46217</v>
      </c>
      <c r="H73" s="126">
        <v>335858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53</v>
      </c>
      <c r="D74" s="20" t="s">
        <v>67</v>
      </c>
      <c r="E74" s="20">
        <v>192</v>
      </c>
      <c r="F74" s="123" t="s">
        <v>59</v>
      </c>
      <c r="G74" s="124">
        <v>46217</v>
      </c>
      <c r="H74" s="126">
        <v>335858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 t="s">
        <v>53</v>
      </c>
      <c r="D77" s="20" t="s">
        <v>133</v>
      </c>
      <c r="E77" s="20">
        <v>96</v>
      </c>
      <c r="F77" s="123" t="s">
        <v>59</v>
      </c>
      <c r="G77" s="124">
        <v>46216</v>
      </c>
      <c r="H77" s="126">
        <v>335843</v>
      </c>
      <c r="J77" s="158"/>
      <c r="K77" s="158"/>
      <c r="L77" s="158"/>
      <c r="M77" s="158"/>
    </row>
    <row r="78" spans="1:13" s="4" customFormat="1" ht="14.25">
      <c r="A78" s="56"/>
      <c r="B78" s="57"/>
      <c r="C78" s="19" t="s">
        <v>53</v>
      </c>
      <c r="D78" s="20" t="s">
        <v>133</v>
      </c>
      <c r="E78" s="20">
        <v>288</v>
      </c>
      <c r="F78" s="20" t="s">
        <v>59</v>
      </c>
      <c r="G78" s="21">
        <v>46219</v>
      </c>
      <c r="H78" s="49">
        <v>335937</v>
      </c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46214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6A18-5B2B-4606-AF39-E47236A683CB}">
  <dimension ref="A1:P97"/>
  <sheetViews>
    <sheetView workbookViewId="0">
      <selection activeCell="H21" sqref="H2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379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46216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64</v>
      </c>
      <c r="E7" s="20">
        <v>240</v>
      </c>
      <c r="F7" s="20" t="s">
        <v>59</v>
      </c>
      <c r="G7" s="21">
        <v>46219</v>
      </c>
      <c r="H7" s="49">
        <v>335937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123"/>
      <c r="G8" s="124"/>
      <c r="H8" s="126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387</v>
      </c>
      <c r="D9" s="20" t="s">
        <v>71</v>
      </c>
      <c r="E9" s="20">
        <v>96</v>
      </c>
      <c r="F9" s="123" t="s">
        <v>387</v>
      </c>
      <c r="G9" s="124">
        <v>46224</v>
      </c>
      <c r="H9" s="126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69" t="s">
        <v>387</v>
      </c>
      <c r="D10" s="171" t="s">
        <v>63</v>
      </c>
      <c r="E10" s="170">
        <v>96</v>
      </c>
      <c r="F10" s="170" t="s">
        <v>387</v>
      </c>
      <c r="G10" s="172">
        <v>46224</v>
      </c>
      <c r="H10" s="173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69" t="s">
        <v>387</v>
      </c>
      <c r="D11" s="171" t="s">
        <v>388</v>
      </c>
      <c r="E11" s="170">
        <v>96</v>
      </c>
      <c r="F11" s="170" t="s">
        <v>387</v>
      </c>
      <c r="G11" s="172">
        <v>46224</v>
      </c>
      <c r="H11" s="173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123"/>
      <c r="G12" s="124"/>
      <c r="H12" s="126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394</v>
      </c>
      <c r="E13" s="20">
        <v>144</v>
      </c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53</v>
      </c>
      <c r="D14" s="90" t="s">
        <v>393</v>
      </c>
      <c r="E14" s="90">
        <v>48</v>
      </c>
      <c r="F14" s="135" t="s">
        <v>59</v>
      </c>
      <c r="G14" s="136">
        <v>46217</v>
      </c>
      <c r="H14" s="137">
        <v>335858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53</v>
      </c>
      <c r="D15" s="20" t="s">
        <v>134</v>
      </c>
      <c r="E15" s="20">
        <v>240</v>
      </c>
      <c r="F15" s="20" t="s">
        <v>59</v>
      </c>
      <c r="G15" s="21">
        <v>46219</v>
      </c>
      <c r="H15" s="49">
        <v>335937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69"/>
      <c r="D16" s="170"/>
      <c r="E16" s="170"/>
      <c r="F16" s="166"/>
      <c r="G16" s="167"/>
      <c r="H16" s="168"/>
      <c r="J16" s="25" t="s">
        <v>23</v>
      </c>
      <c r="K16" s="26" t="s">
        <v>14</v>
      </c>
      <c r="L16" s="29"/>
      <c r="M16" s="26"/>
    </row>
    <row r="17" spans="1:13">
      <c r="C17" s="19" t="s">
        <v>48</v>
      </c>
      <c r="D17" s="20" t="s">
        <v>76</v>
      </c>
      <c r="E17" s="20">
        <v>240</v>
      </c>
      <c r="F17" s="20" t="s">
        <v>70</v>
      </c>
      <c r="G17" s="21">
        <v>46231</v>
      </c>
      <c r="H17" s="49">
        <v>13852198</v>
      </c>
      <c r="J17" s="25" t="s">
        <v>24</v>
      </c>
      <c r="K17" s="26" t="s">
        <v>14</v>
      </c>
      <c r="L17" s="29"/>
      <c r="M17" s="26"/>
    </row>
    <row r="18" spans="1:13">
      <c r="C18" s="19" t="s">
        <v>48</v>
      </c>
      <c r="D18" s="20" t="s">
        <v>396</v>
      </c>
      <c r="E18" s="20">
        <v>144</v>
      </c>
      <c r="F18" s="20" t="s">
        <v>70</v>
      </c>
      <c r="G18" s="21">
        <v>46231</v>
      </c>
      <c r="H18" s="49">
        <v>13852198</v>
      </c>
      <c r="J18" s="33" t="s">
        <v>25</v>
      </c>
      <c r="K18" s="26"/>
      <c r="L18" s="26" t="s">
        <v>14</v>
      </c>
      <c r="M18" s="26"/>
    </row>
    <row r="19" spans="1:13">
      <c r="C19" s="19" t="s">
        <v>48</v>
      </c>
      <c r="D19" s="20" t="s">
        <v>396</v>
      </c>
      <c r="E19" s="20">
        <v>144</v>
      </c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1488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357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358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359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360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3" t="s">
        <v>361</v>
      </c>
      <c r="K37" s="46"/>
      <c r="L37" s="4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362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25" t="s">
        <v>363</v>
      </c>
      <c r="K39" s="46" t="s">
        <v>14</v>
      </c>
      <c r="L39" s="46"/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3" t="s">
        <v>364</v>
      </c>
      <c r="K40" s="46"/>
      <c r="L40" s="4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365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25" t="s">
        <v>366</v>
      </c>
      <c r="K42" s="46" t="s">
        <v>14</v>
      </c>
      <c r="L42" s="46"/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367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368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369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66</v>
      </c>
      <c r="D54" s="123" t="s">
        <v>63</v>
      </c>
      <c r="E54" s="123">
        <v>300</v>
      </c>
      <c r="F54" s="123" t="s">
        <v>88</v>
      </c>
      <c r="G54" s="124">
        <v>46220</v>
      </c>
      <c r="H54" s="126">
        <v>401258</v>
      </c>
    </row>
    <row r="55" spans="1:15">
      <c r="A55" s="47"/>
      <c r="B55" s="48"/>
      <c r="C55" s="122" t="s">
        <v>66</v>
      </c>
      <c r="D55" s="123" t="s">
        <v>63</v>
      </c>
      <c r="E55" s="123">
        <v>60</v>
      </c>
      <c r="F55" s="123"/>
      <c r="G55" s="124"/>
      <c r="H55" s="126"/>
      <c r="N55" s="81"/>
      <c r="O55" s="3"/>
    </row>
    <row r="56" spans="1:15">
      <c r="A56" s="47"/>
      <c r="B56" s="48"/>
      <c r="C56" s="19" t="s">
        <v>66</v>
      </c>
      <c r="D56" s="19" t="s">
        <v>81</v>
      </c>
      <c r="E56" s="20">
        <v>60</v>
      </c>
      <c r="F56" s="123"/>
      <c r="G56" s="124"/>
      <c r="H56" s="126"/>
      <c r="N56" s="81"/>
      <c r="O56" s="3"/>
    </row>
    <row r="57" spans="1:15">
      <c r="A57" s="47"/>
      <c r="B57" s="48"/>
      <c r="C57" s="19" t="s">
        <v>66</v>
      </c>
      <c r="D57" s="19" t="s">
        <v>67</v>
      </c>
      <c r="E57" s="20">
        <v>180</v>
      </c>
      <c r="F57" s="123" t="s">
        <v>88</v>
      </c>
      <c r="G57" s="124">
        <v>46220</v>
      </c>
      <c r="H57" s="126">
        <v>401258</v>
      </c>
      <c r="N57" s="81"/>
      <c r="O57" s="3"/>
    </row>
    <row r="58" spans="1:15">
      <c r="A58" s="47"/>
      <c r="B58" s="48"/>
      <c r="C58" s="19" t="s">
        <v>66</v>
      </c>
      <c r="D58" s="19" t="s">
        <v>67</v>
      </c>
      <c r="E58" s="20">
        <v>180</v>
      </c>
      <c r="F58" s="123"/>
      <c r="G58" s="124"/>
      <c r="H58" s="126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300</v>
      </c>
      <c r="F59" s="123" t="s">
        <v>88</v>
      </c>
      <c r="G59" s="124">
        <v>46220</v>
      </c>
      <c r="H59" s="126">
        <v>401258</v>
      </c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60</v>
      </c>
      <c r="F60" s="123"/>
      <c r="G60" s="124"/>
      <c r="H60" s="126"/>
      <c r="N60" s="81"/>
      <c r="O60" s="3"/>
    </row>
    <row r="61" spans="1:15">
      <c r="A61" s="47"/>
      <c r="B61" s="48"/>
      <c r="C61" s="19" t="s">
        <v>66</v>
      </c>
      <c r="D61" s="20" t="s">
        <v>68</v>
      </c>
      <c r="E61" s="20">
        <v>180</v>
      </c>
      <c r="F61" s="123"/>
      <c r="G61" s="124"/>
      <c r="H61" s="126"/>
      <c r="N61" s="81"/>
      <c r="O61" s="3"/>
    </row>
    <row r="62" spans="1:15" s="4" customFormat="1" ht="14.25">
      <c r="A62" s="47"/>
      <c r="B62" s="48"/>
      <c r="C62" s="19" t="s">
        <v>66</v>
      </c>
      <c r="D62" s="65" t="s">
        <v>69</v>
      </c>
      <c r="E62" s="20">
        <v>120</v>
      </c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89" t="s">
        <v>66</v>
      </c>
      <c r="D63" s="90" t="s">
        <v>80</v>
      </c>
      <c r="E63" s="90">
        <v>120</v>
      </c>
      <c r="F63" s="135" t="s">
        <v>88</v>
      </c>
      <c r="G63" s="136">
        <v>46220</v>
      </c>
      <c r="H63" s="137">
        <v>401258</v>
      </c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65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65"/>
      <c r="E65" s="20"/>
      <c r="F65" s="20"/>
      <c r="G65" s="21"/>
      <c r="H65" s="49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1560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46223</v>
      </c>
      <c r="H70" s="126">
        <v>78037</v>
      </c>
      <c r="J70" s="158"/>
      <c r="K70" s="158"/>
      <c r="L70" s="158"/>
      <c r="M70" s="158"/>
    </row>
    <row r="71" spans="1:13" s="4" customFormat="1" ht="14.25">
      <c r="A71" s="47"/>
      <c r="B71" s="48"/>
      <c r="C71" s="122"/>
      <c r="D71" s="20"/>
      <c r="E71" s="123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 t="s">
        <v>242</v>
      </c>
      <c r="D72" s="20" t="s">
        <v>213</v>
      </c>
      <c r="E72" s="20">
        <v>210</v>
      </c>
      <c r="F72" s="20" t="s">
        <v>77</v>
      </c>
      <c r="G72" s="21">
        <v>46224</v>
      </c>
      <c r="H72" s="49">
        <v>40145290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242</v>
      </c>
      <c r="D73" s="20" t="s">
        <v>111</v>
      </c>
      <c r="E73" s="20">
        <v>210</v>
      </c>
      <c r="F73" s="20" t="s">
        <v>77</v>
      </c>
      <c r="G73" s="21">
        <v>46224</v>
      </c>
      <c r="H73" s="49">
        <v>40145290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242</v>
      </c>
      <c r="D74" s="20" t="s">
        <v>113</v>
      </c>
      <c r="E74" s="20">
        <v>105</v>
      </c>
      <c r="F74" s="20" t="s">
        <v>77</v>
      </c>
      <c r="G74" s="21">
        <v>46224</v>
      </c>
      <c r="H74" s="49">
        <v>40145290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242</v>
      </c>
      <c r="D75" s="65" t="s">
        <v>109</v>
      </c>
      <c r="E75" s="20">
        <v>105</v>
      </c>
      <c r="F75" s="20" t="s">
        <v>77</v>
      </c>
      <c r="G75" s="21">
        <v>46224</v>
      </c>
      <c r="H75" s="49">
        <v>40145290</v>
      </c>
      <c r="J75" s="158"/>
      <c r="K75" s="158"/>
      <c r="L75" s="158"/>
      <c r="M75" s="158"/>
    </row>
    <row r="76" spans="1:13" s="4" customFormat="1" ht="14.25">
      <c r="A76" s="56"/>
      <c r="B76" s="57"/>
      <c r="C76" s="19" t="s">
        <v>242</v>
      </c>
      <c r="D76" s="65" t="s">
        <v>109</v>
      </c>
      <c r="E76" s="20">
        <v>105</v>
      </c>
      <c r="F76" s="20" t="s">
        <v>77</v>
      </c>
      <c r="G76" s="21">
        <v>46230</v>
      </c>
      <c r="H76" s="49">
        <v>40145924</v>
      </c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05" t="s">
        <v>75</v>
      </c>
      <c r="D78" s="106" t="s">
        <v>89</v>
      </c>
      <c r="E78" s="106">
        <v>96</v>
      </c>
      <c r="F78" s="106" t="s">
        <v>77</v>
      </c>
      <c r="G78" s="107">
        <v>46224</v>
      </c>
      <c r="H78" s="108">
        <v>40145290</v>
      </c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49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1071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D1F-EF7B-4FF3-80BD-57CADFFE1539}">
  <dimension ref="A1:P100"/>
  <sheetViews>
    <sheetView topLeftCell="A51" workbookViewId="0">
      <selection activeCell="E64" sqref="E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380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46223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 t="s">
        <v>387</v>
      </c>
      <c r="D6" s="15" t="s">
        <v>71</v>
      </c>
      <c r="E6" s="15">
        <v>96</v>
      </c>
      <c r="F6" s="15" t="s">
        <v>387</v>
      </c>
      <c r="G6" s="16">
        <v>46224</v>
      </c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387</v>
      </c>
      <c r="D7" s="65" t="s">
        <v>63</v>
      </c>
      <c r="E7" s="20">
        <v>96</v>
      </c>
      <c r="F7" s="20" t="s">
        <v>387</v>
      </c>
      <c r="G7" s="21">
        <v>46224</v>
      </c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387</v>
      </c>
      <c r="D8" s="20" t="s">
        <v>388</v>
      </c>
      <c r="E8" s="20">
        <v>96</v>
      </c>
      <c r="F8" s="20" t="s">
        <v>387</v>
      </c>
      <c r="G8" s="21">
        <v>46224</v>
      </c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61</v>
      </c>
      <c r="E10" s="20">
        <v>96</v>
      </c>
      <c r="F10" s="20" t="s">
        <v>77</v>
      </c>
      <c r="G10" s="21">
        <v>46224</v>
      </c>
      <c r="H10" s="49">
        <v>40145290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65" t="s">
        <v>75</v>
      </c>
      <c r="D11" s="20" t="s">
        <v>76</v>
      </c>
      <c r="E11" s="20">
        <v>96</v>
      </c>
      <c r="F11" s="20" t="s">
        <v>77</v>
      </c>
      <c r="G11" s="21">
        <v>46224</v>
      </c>
      <c r="H11" s="49">
        <v>40145290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96</v>
      </c>
      <c r="F12" s="20" t="s">
        <v>77</v>
      </c>
      <c r="G12" s="21">
        <v>46224</v>
      </c>
      <c r="H12" s="49">
        <v>40145290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71</v>
      </c>
      <c r="E13" s="20">
        <v>48</v>
      </c>
      <c r="F13" s="20" t="s">
        <v>77</v>
      </c>
      <c r="G13" s="21">
        <v>46224</v>
      </c>
      <c r="H13" s="49">
        <v>40145290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338</v>
      </c>
      <c r="D14" s="20" t="s">
        <v>87</v>
      </c>
      <c r="E14" s="20">
        <v>48</v>
      </c>
      <c r="F14" s="20" t="s">
        <v>77</v>
      </c>
      <c r="G14" s="21">
        <v>46224</v>
      </c>
      <c r="H14" s="49">
        <v>40145290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65" t="s">
        <v>64</v>
      </c>
      <c r="E15" s="20">
        <v>48</v>
      </c>
      <c r="F15" s="20" t="s">
        <v>77</v>
      </c>
      <c r="G15" s="21">
        <v>46224</v>
      </c>
      <c r="H15" s="49">
        <v>40145290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72</v>
      </c>
      <c r="E16" s="20">
        <v>96</v>
      </c>
      <c r="F16" s="20" t="s">
        <v>99</v>
      </c>
      <c r="G16" s="21">
        <v>46224</v>
      </c>
      <c r="H16" s="49">
        <v>771800</v>
      </c>
      <c r="J16" s="25" t="s">
        <v>23</v>
      </c>
      <c r="K16" s="26" t="s">
        <v>14</v>
      </c>
      <c r="L16" s="29"/>
      <c r="M16" s="26"/>
    </row>
    <row r="17" spans="1:13">
      <c r="C17" s="19" t="s">
        <v>75</v>
      </c>
      <c r="D17" s="65" t="s">
        <v>68</v>
      </c>
      <c r="E17" s="20">
        <v>48</v>
      </c>
      <c r="F17" s="20" t="s">
        <v>77</v>
      </c>
      <c r="G17" s="21">
        <v>46224</v>
      </c>
      <c r="H17" s="49">
        <v>40145290</v>
      </c>
      <c r="J17" s="25" t="s">
        <v>24</v>
      </c>
      <c r="K17" s="26" t="s">
        <v>14</v>
      </c>
      <c r="L17" s="29"/>
      <c r="M17" s="26"/>
    </row>
    <row r="18" spans="1:13">
      <c r="C18" s="89" t="s">
        <v>75</v>
      </c>
      <c r="D18" s="99" t="s">
        <v>80</v>
      </c>
      <c r="E18" s="90">
        <v>48</v>
      </c>
      <c r="F18" s="90" t="s">
        <v>77</v>
      </c>
      <c r="G18" s="91">
        <v>46224</v>
      </c>
      <c r="H18" s="93">
        <v>40145290</v>
      </c>
      <c r="J18" s="33" t="s">
        <v>25</v>
      </c>
      <c r="K18" s="26"/>
      <c r="L18" s="26" t="s">
        <v>14</v>
      </c>
      <c r="M18" s="26"/>
    </row>
    <row r="19" spans="1:13">
      <c r="C19" s="89" t="s">
        <v>75</v>
      </c>
      <c r="D19" s="99" t="s">
        <v>65</v>
      </c>
      <c r="E19" s="90">
        <v>144</v>
      </c>
      <c r="F19" s="90" t="s">
        <v>77</v>
      </c>
      <c r="G19" s="91">
        <v>46224</v>
      </c>
      <c r="H19" s="93">
        <v>40145290</v>
      </c>
      <c r="J19" s="33" t="s">
        <v>355</v>
      </c>
      <c r="K19" s="26"/>
      <c r="L19" s="26" t="s">
        <v>14</v>
      </c>
      <c r="M19" s="26"/>
    </row>
    <row r="20" spans="1:13">
      <c r="C20" s="89" t="s">
        <v>48</v>
      </c>
      <c r="D20" s="99" t="s">
        <v>83</v>
      </c>
      <c r="E20" s="90">
        <v>96</v>
      </c>
      <c r="F20" s="90" t="s">
        <v>99</v>
      </c>
      <c r="G20" s="91">
        <v>46224</v>
      </c>
      <c r="H20" s="93">
        <v>771800</v>
      </c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1152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46224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65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65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46225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46226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242</v>
      </c>
      <c r="D54" s="20" t="s">
        <v>111</v>
      </c>
      <c r="E54" s="20">
        <v>105</v>
      </c>
      <c r="F54" s="20" t="s">
        <v>77</v>
      </c>
      <c r="G54" s="21">
        <v>46230</v>
      </c>
      <c r="H54" s="49">
        <v>40145924</v>
      </c>
    </row>
    <row r="55" spans="1:15">
      <c r="A55" s="47"/>
      <c r="B55" s="48"/>
      <c r="C55" s="19" t="s">
        <v>242</v>
      </c>
      <c r="D55" s="20" t="s">
        <v>112</v>
      </c>
      <c r="E55" s="20">
        <v>105</v>
      </c>
      <c r="F55" s="20" t="s">
        <v>77</v>
      </c>
      <c r="G55" s="21">
        <v>46230</v>
      </c>
      <c r="H55" s="49">
        <v>40145924</v>
      </c>
      <c r="N55" s="81"/>
      <c r="O55" s="3"/>
    </row>
    <row r="56" spans="1:15">
      <c r="A56" s="47"/>
      <c r="B56" s="48"/>
      <c r="C56" s="19" t="s">
        <v>242</v>
      </c>
      <c r="D56" s="20" t="s">
        <v>113</v>
      </c>
      <c r="E56" s="20">
        <v>105</v>
      </c>
      <c r="F56" s="20" t="s">
        <v>77</v>
      </c>
      <c r="G56" s="21">
        <v>46230</v>
      </c>
      <c r="H56" s="49">
        <v>40145924</v>
      </c>
      <c r="N56" s="81"/>
      <c r="O56" s="3"/>
    </row>
    <row r="57" spans="1:15">
      <c r="A57" s="47"/>
      <c r="B57" s="48"/>
      <c r="C57" s="19" t="s">
        <v>242</v>
      </c>
      <c r="D57" s="20" t="s">
        <v>181</v>
      </c>
      <c r="E57" s="20">
        <v>105</v>
      </c>
      <c r="F57" s="20" t="s">
        <v>77</v>
      </c>
      <c r="G57" s="21">
        <v>46230</v>
      </c>
      <c r="H57" s="49">
        <v>40145924</v>
      </c>
      <c r="N57" s="81"/>
      <c r="O57" s="3"/>
    </row>
    <row r="58" spans="1:15">
      <c r="A58" s="47"/>
      <c r="B58" s="48"/>
      <c r="C58" s="19" t="s">
        <v>75</v>
      </c>
      <c r="D58" s="20" t="s">
        <v>61</v>
      </c>
      <c r="E58" s="20">
        <v>144</v>
      </c>
      <c r="F58" s="20" t="s">
        <v>77</v>
      </c>
      <c r="G58" s="21">
        <v>46230</v>
      </c>
      <c r="H58" s="49">
        <v>40145924</v>
      </c>
      <c r="N58" s="81"/>
      <c r="O58" s="3"/>
    </row>
    <row r="59" spans="1:15">
      <c r="A59" s="47"/>
      <c r="B59" s="48"/>
      <c r="C59" s="169" t="s">
        <v>75</v>
      </c>
      <c r="D59" s="170" t="s">
        <v>76</v>
      </c>
      <c r="E59" s="170">
        <v>192</v>
      </c>
      <c r="F59" s="20" t="s">
        <v>77</v>
      </c>
      <c r="G59" s="21">
        <v>46230</v>
      </c>
      <c r="H59" s="49">
        <v>40145924</v>
      </c>
      <c r="N59" s="81"/>
      <c r="O59" s="3"/>
    </row>
    <row r="60" spans="1:15">
      <c r="A60" s="47"/>
      <c r="B60" s="48"/>
      <c r="C60" s="169" t="s">
        <v>75</v>
      </c>
      <c r="D60" s="170" t="s">
        <v>84</v>
      </c>
      <c r="E60" s="170">
        <v>96</v>
      </c>
      <c r="F60" s="20" t="s">
        <v>77</v>
      </c>
      <c r="G60" s="21">
        <v>46230</v>
      </c>
      <c r="H60" s="49">
        <v>40145924</v>
      </c>
      <c r="N60" s="81"/>
      <c r="O60" s="3"/>
    </row>
    <row r="61" spans="1:15">
      <c r="A61" s="47"/>
      <c r="B61" s="48"/>
      <c r="C61" s="169" t="s">
        <v>75</v>
      </c>
      <c r="D61" s="170" t="s">
        <v>87</v>
      </c>
      <c r="E61" s="170">
        <v>48</v>
      </c>
      <c r="F61" s="20" t="s">
        <v>77</v>
      </c>
      <c r="G61" s="21">
        <v>46230</v>
      </c>
      <c r="H61" s="49">
        <v>40145924</v>
      </c>
      <c r="N61" s="81"/>
      <c r="O61" s="3"/>
    </row>
    <row r="62" spans="1:15" s="4" customFormat="1" ht="14.25">
      <c r="A62" s="47"/>
      <c r="B62" s="48"/>
      <c r="C62" s="19" t="s">
        <v>75</v>
      </c>
      <c r="D62" s="20" t="s">
        <v>63</v>
      </c>
      <c r="E62" s="20">
        <v>192</v>
      </c>
      <c r="F62" s="20" t="s">
        <v>77</v>
      </c>
      <c r="G62" s="21">
        <v>46230</v>
      </c>
      <c r="H62" s="49">
        <v>40145924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 t="s">
        <v>75</v>
      </c>
      <c r="D63" s="65" t="s">
        <v>78</v>
      </c>
      <c r="E63" s="20">
        <v>96</v>
      </c>
      <c r="F63" s="20" t="s">
        <v>77</v>
      </c>
      <c r="G63" s="21">
        <v>46230</v>
      </c>
      <c r="H63" s="49">
        <v>40145924</v>
      </c>
      <c r="J63" s="158"/>
      <c r="K63" s="158"/>
      <c r="L63" s="158"/>
      <c r="M63" s="158"/>
    </row>
    <row r="64" spans="1:15" s="4" customFormat="1" ht="14.25">
      <c r="A64" s="47"/>
      <c r="B64" s="48"/>
      <c r="C64" s="19" t="s">
        <v>75</v>
      </c>
      <c r="D64" s="65" t="s">
        <v>64</v>
      </c>
      <c r="E64" s="20">
        <v>144</v>
      </c>
      <c r="F64" s="20" t="s">
        <v>77</v>
      </c>
      <c r="G64" s="21">
        <v>46230</v>
      </c>
      <c r="H64" s="49">
        <v>40145924</v>
      </c>
      <c r="J64" s="158"/>
      <c r="K64" s="158"/>
      <c r="L64" s="158"/>
      <c r="M64" s="158"/>
    </row>
    <row r="65" spans="1:13" s="4" customFormat="1" ht="14.25">
      <c r="A65" s="47"/>
      <c r="B65" s="48"/>
      <c r="C65" s="19" t="s">
        <v>75</v>
      </c>
      <c r="D65" s="65" t="s">
        <v>68</v>
      </c>
      <c r="E65" s="20">
        <v>48</v>
      </c>
      <c r="F65" s="20" t="s">
        <v>77</v>
      </c>
      <c r="G65" s="21">
        <v>46230</v>
      </c>
      <c r="H65" s="49">
        <v>40145924</v>
      </c>
      <c r="J65" s="158"/>
      <c r="K65" s="158"/>
      <c r="L65" s="158"/>
      <c r="M65" s="158"/>
    </row>
    <row r="66" spans="1:13" s="4" customFormat="1" ht="14.25">
      <c r="A66" s="47"/>
      <c r="B66" s="48"/>
      <c r="C66" s="89" t="s">
        <v>75</v>
      </c>
      <c r="D66" s="99" t="s">
        <v>83</v>
      </c>
      <c r="E66" s="90">
        <v>48</v>
      </c>
      <c r="F66" s="90" t="s">
        <v>77</v>
      </c>
      <c r="G66" s="91">
        <v>46230</v>
      </c>
      <c r="H66" s="93">
        <v>40145924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75</v>
      </c>
      <c r="D67" s="99" t="s">
        <v>134</v>
      </c>
      <c r="E67" s="90">
        <v>48</v>
      </c>
      <c r="F67" s="90" t="s">
        <v>77</v>
      </c>
      <c r="G67" s="91">
        <v>46230</v>
      </c>
      <c r="H67" s="93">
        <v>40145924</v>
      </c>
      <c r="J67" s="158"/>
      <c r="K67" s="158"/>
      <c r="L67" s="158"/>
      <c r="M67" s="158"/>
    </row>
    <row r="68" spans="1:13" s="4" customFormat="1" ht="14.25">
      <c r="A68" s="47"/>
      <c r="B68" s="48"/>
      <c r="C68" s="19"/>
      <c r="D68" s="20"/>
      <c r="E68" s="20"/>
      <c r="F68" s="20"/>
      <c r="G68" s="21"/>
      <c r="H68" s="22"/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70">
        <f>SUM(E53:E68)</f>
        <v>1476</v>
      </c>
      <c r="F69" s="20"/>
      <c r="G69" s="21"/>
      <c r="H69" s="22"/>
      <c r="J69" s="158"/>
      <c r="K69" s="158"/>
      <c r="L69" s="158"/>
      <c r="M69" s="158"/>
    </row>
    <row r="70" spans="1:13" s="4" customFormat="1" thickBot="1">
      <c r="A70" s="56"/>
      <c r="B70" s="57"/>
      <c r="C70" s="71"/>
      <c r="D70" s="72"/>
      <c r="E70" s="37"/>
      <c r="F70" s="36"/>
      <c r="G70" s="36"/>
      <c r="H70" s="38"/>
      <c r="J70" s="158"/>
      <c r="K70" s="158"/>
      <c r="L70" s="158"/>
      <c r="M70" s="158"/>
    </row>
    <row r="71" spans="1:13" s="4" customFormat="1" thickBot="1">
      <c r="A71" s="7" t="s">
        <v>54</v>
      </c>
      <c r="B71" s="8">
        <f>B52+1</f>
        <v>46227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  <c r="J71" s="158"/>
      <c r="K71" s="158"/>
      <c r="L71" s="158"/>
      <c r="M71" s="158"/>
    </row>
    <row r="72" spans="1:13" s="4" customFormat="1" ht="14.25">
      <c r="A72" s="44"/>
      <c r="B72" s="45"/>
      <c r="C72" s="14"/>
      <c r="D72" s="15"/>
      <c r="E72" s="15"/>
      <c r="F72" s="15"/>
      <c r="G72" s="16"/>
      <c r="H72" s="17"/>
      <c r="J72" s="158"/>
      <c r="K72" s="158"/>
      <c r="L72" s="158"/>
      <c r="M72" s="158"/>
    </row>
    <row r="73" spans="1:13" s="4" customFormat="1" ht="14.25">
      <c r="A73" s="44"/>
      <c r="B73" s="45"/>
      <c r="C73" s="122" t="s">
        <v>94</v>
      </c>
      <c r="D73" s="123" t="s">
        <v>74</v>
      </c>
      <c r="E73" s="123">
        <v>144</v>
      </c>
      <c r="F73" s="123"/>
      <c r="G73" s="124"/>
      <c r="H73" s="126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94</v>
      </c>
      <c r="D74" s="19" t="s">
        <v>61</v>
      </c>
      <c r="E74" s="20">
        <v>144</v>
      </c>
      <c r="F74" s="123"/>
      <c r="G74" s="124"/>
      <c r="H74" s="126"/>
      <c r="J74" s="158"/>
      <c r="K74" s="158"/>
      <c r="L74" s="158"/>
      <c r="M74" s="158"/>
    </row>
    <row r="75" spans="1:13" s="4" customFormat="1" ht="14.25">
      <c r="A75" s="47"/>
      <c r="B75" s="48"/>
      <c r="C75" s="19" t="s">
        <v>94</v>
      </c>
      <c r="D75" s="20" t="s">
        <v>389</v>
      </c>
      <c r="E75" s="20">
        <v>144</v>
      </c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94</v>
      </c>
      <c r="D76" s="20" t="s">
        <v>390</v>
      </c>
      <c r="E76" s="20">
        <v>144</v>
      </c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94</v>
      </c>
      <c r="D77" s="65" t="s">
        <v>164</v>
      </c>
      <c r="E77" s="20">
        <v>144</v>
      </c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47"/>
      <c r="B78" s="48"/>
      <c r="C78" s="19" t="s">
        <v>94</v>
      </c>
      <c r="D78" s="20" t="s">
        <v>58</v>
      </c>
      <c r="E78" s="20">
        <v>144</v>
      </c>
      <c r="F78" s="20"/>
      <c r="G78" s="21"/>
      <c r="H78" s="49"/>
      <c r="J78" s="158"/>
      <c r="K78" s="158"/>
      <c r="L78" s="158"/>
      <c r="M78" s="158"/>
    </row>
    <row r="79" spans="1:13" s="4" customFormat="1" ht="14.25">
      <c r="A79" s="56"/>
      <c r="B79" s="57"/>
      <c r="C79" s="19" t="s">
        <v>94</v>
      </c>
      <c r="D79" s="20" t="s">
        <v>391</v>
      </c>
      <c r="E79" s="20">
        <v>144</v>
      </c>
      <c r="F79" s="20"/>
      <c r="G79" s="21"/>
      <c r="H79" s="49"/>
      <c r="J79" s="158"/>
      <c r="K79" s="158"/>
      <c r="L79" s="158"/>
      <c r="M79" s="158"/>
    </row>
    <row r="80" spans="1:13" s="4" customFormat="1" ht="14.25">
      <c r="A80" s="56"/>
      <c r="B80" s="57"/>
      <c r="C80" s="89" t="s">
        <v>94</v>
      </c>
      <c r="D80" s="90" t="s">
        <v>102</v>
      </c>
      <c r="E80" s="90">
        <v>144</v>
      </c>
      <c r="F80" s="90"/>
      <c r="G80" s="91"/>
      <c r="H80" s="93"/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20"/>
      <c r="E81" s="20"/>
      <c r="F81" s="20"/>
      <c r="G81" s="21"/>
      <c r="H81" s="22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/>
      <c r="E82" s="20"/>
      <c r="F82" s="20"/>
      <c r="G82" s="21"/>
      <c r="H82" s="22"/>
      <c r="J82" s="158"/>
      <c r="K82" s="158"/>
      <c r="L82" s="158"/>
      <c r="M82" s="158"/>
    </row>
    <row r="83" spans="1:13" s="4" customFormat="1" thickBot="1">
      <c r="A83" s="56"/>
      <c r="B83" s="57"/>
      <c r="C83" s="19"/>
      <c r="D83" s="20"/>
      <c r="E83" s="20"/>
      <c r="F83" s="20"/>
      <c r="G83" s="20"/>
      <c r="H83" s="22"/>
      <c r="J83" s="158"/>
      <c r="K83" s="158"/>
      <c r="L83" s="158"/>
      <c r="M83" s="158"/>
    </row>
    <row r="84" spans="1:13" s="4" customFormat="1" thickBot="1">
      <c r="A84" s="39"/>
      <c r="B84" s="40"/>
      <c r="C84" s="35"/>
      <c r="D84" s="36"/>
      <c r="E84" s="58">
        <f>SUM(E72:E83)</f>
        <v>1152</v>
      </c>
      <c r="F84" s="36"/>
      <c r="G84" s="36"/>
      <c r="H84" s="38"/>
      <c r="J84" s="158"/>
      <c r="K84" s="158"/>
      <c r="L84" s="158"/>
      <c r="M84" s="158"/>
    </row>
    <row r="85" spans="1:13" s="4" customFormat="1" thickBot="1">
      <c r="A85" s="7" t="s">
        <v>55</v>
      </c>
      <c r="B85" s="8">
        <f>B71+1</f>
        <v>46228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  <c r="J85" s="158"/>
      <c r="K85" s="158"/>
      <c r="L85" s="158"/>
      <c r="M85" s="158"/>
    </row>
    <row r="86" spans="1:13" s="4" customFormat="1" ht="14.25">
      <c r="A86" s="44"/>
      <c r="B86" s="45"/>
      <c r="C86" s="14"/>
      <c r="D86" s="15"/>
      <c r="E86" s="15"/>
      <c r="F86" s="15"/>
      <c r="G86" s="16"/>
      <c r="H86" s="17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49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85"/>
      <c r="E99" s="86">
        <f>SUM(E86:E98)</f>
        <v>0</v>
      </c>
      <c r="F99" s="20"/>
      <c r="G99" s="20"/>
      <c r="H99" s="22"/>
      <c r="J99" s="158"/>
      <c r="K99" s="158"/>
      <c r="L99" s="158"/>
      <c r="M99" s="158"/>
    </row>
    <row r="100" spans="1:13" s="4" customFormat="1" thickBot="1">
      <c r="A100" s="87"/>
      <c r="B100" s="88"/>
      <c r="C100" s="35"/>
      <c r="D100" s="36"/>
      <c r="E100" s="36"/>
      <c r="F100" s="36"/>
      <c r="G100" s="36"/>
      <c r="H100" s="38"/>
      <c r="J100" s="158"/>
      <c r="K100" s="158"/>
      <c r="L100" s="158"/>
      <c r="M100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8F52-5A93-4228-A4A5-07455C1AD5EF}">
  <dimension ref="A1:P97"/>
  <sheetViews>
    <sheetView tabSelected="1" workbookViewId="0">
      <selection activeCell="F18" sqref="F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381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192</v>
      </c>
      <c r="F7" s="20" t="s">
        <v>70</v>
      </c>
      <c r="G7" s="21">
        <v>46231</v>
      </c>
      <c r="H7" s="49">
        <v>13852198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65" t="s">
        <v>61</v>
      </c>
      <c r="E8" s="20">
        <v>192</v>
      </c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395</v>
      </c>
      <c r="E9" s="20">
        <v>96</v>
      </c>
      <c r="F9" s="20" t="s">
        <v>70</v>
      </c>
      <c r="G9" s="21">
        <v>46231</v>
      </c>
      <c r="H9" s="49">
        <v>13852198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395</v>
      </c>
      <c r="E10" s="20">
        <v>144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101</v>
      </c>
      <c r="E11" s="20">
        <v>144</v>
      </c>
      <c r="F11" s="20" t="s">
        <v>70</v>
      </c>
      <c r="G11" s="21">
        <v>46231</v>
      </c>
      <c r="H11" s="49">
        <v>13852198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101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20" t="s">
        <v>70</v>
      </c>
      <c r="G13" s="21">
        <v>46231</v>
      </c>
      <c r="H13" s="49">
        <v>13852198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72</v>
      </c>
      <c r="E14" s="20">
        <v>144</v>
      </c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48</v>
      </c>
      <c r="D15" s="99" t="s">
        <v>83</v>
      </c>
      <c r="E15" s="90">
        <v>192</v>
      </c>
      <c r="F15" s="90" t="s">
        <v>70</v>
      </c>
      <c r="G15" s="91">
        <v>46231</v>
      </c>
      <c r="H15" s="93">
        <v>13852198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48</v>
      </c>
      <c r="D16" s="99" t="s">
        <v>83</v>
      </c>
      <c r="E16" s="90">
        <v>192</v>
      </c>
      <c r="F16" s="90"/>
      <c r="G16" s="91"/>
      <c r="H16" s="93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46233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46234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46235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0E6E-56B2-4181-AAD6-195D547A881D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382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11F-7D1B-4BE6-8AE6-E2E95F1F2ADF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46244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46245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46246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14B-F8D5-4D39-8531-4B869E6E9EDA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46253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46254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46255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46256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3EE-E0D8-4B6B-BC22-81161FFDE949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46263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4CFE-CB5E-4399-9019-8867C55F0971}">
  <dimension ref="A1:P97"/>
  <sheetViews>
    <sheetView workbookViewId="0">
      <selection activeCell="G24" sqref="G2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46265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46266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46270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87</vt:i4>
      </vt:variant>
      <vt:variant>
        <vt:lpstr>Named Ranges</vt:lpstr>
      </vt:variant>
      <vt:variant>
        <vt:i4>4</vt:i4>
      </vt:variant>
    </vt:vector>
  </HeadingPairs>
  <TitlesOfParts>
    <vt:vector size="91" baseType="lpstr">
      <vt:lpstr>1-6</vt:lpstr>
      <vt:lpstr>1-13</vt:lpstr>
      <vt:lpstr>1-20</vt:lpstr>
      <vt:lpstr>1-27</vt:lpstr>
      <vt:lpstr>2-3</vt:lpstr>
      <vt:lpstr>2-10</vt:lpstr>
      <vt:lpstr>2-17</vt:lpstr>
      <vt:lpstr>2-24</vt:lpstr>
      <vt:lpstr>3-3</vt:lpstr>
      <vt:lpstr>3-10</vt:lpstr>
      <vt:lpstr>3-17</vt:lpstr>
      <vt:lpstr>3-24</vt:lpstr>
      <vt:lpstr>3-31</vt:lpstr>
      <vt:lpstr>4-7</vt:lpstr>
      <vt:lpstr>4-14</vt:lpstr>
      <vt:lpstr>4-21</vt:lpstr>
      <vt:lpstr>4-28</vt:lpstr>
      <vt:lpstr>5-5</vt:lpstr>
      <vt:lpstr>5-12</vt:lpstr>
      <vt:lpstr>5-19</vt:lpstr>
      <vt:lpstr>5-26</vt:lpstr>
      <vt:lpstr>6-2</vt:lpstr>
      <vt:lpstr>6-9</vt:lpstr>
      <vt:lpstr>6-16</vt:lpstr>
      <vt:lpstr>6-23</vt:lpstr>
      <vt:lpstr>6-30</vt:lpstr>
      <vt:lpstr>7-7</vt:lpstr>
      <vt:lpstr>7-14</vt:lpstr>
      <vt:lpstr>7-21</vt:lpstr>
      <vt:lpstr>7-28</vt:lpstr>
      <vt:lpstr>8-4</vt:lpstr>
      <vt:lpstr>8-11</vt:lpstr>
      <vt:lpstr>8-18</vt:lpstr>
      <vt:lpstr>8-25</vt:lpstr>
      <vt:lpstr>9-1</vt:lpstr>
      <vt:lpstr>9-8</vt:lpstr>
      <vt:lpstr>9-15</vt:lpstr>
      <vt:lpstr>9-22</vt:lpstr>
      <vt:lpstr>9-29</vt:lpstr>
      <vt:lpstr>10-6</vt:lpstr>
      <vt:lpstr>10-13</vt:lpstr>
      <vt:lpstr>10-20</vt:lpstr>
      <vt:lpstr>10-27</vt:lpstr>
      <vt:lpstr>11-3</vt:lpstr>
      <vt:lpstr>11-10</vt:lpstr>
      <vt:lpstr>11-17</vt:lpstr>
      <vt:lpstr>11-24</vt:lpstr>
      <vt:lpstr>12-1</vt:lpstr>
      <vt:lpstr>12-8</vt:lpstr>
      <vt:lpstr>12-15</vt:lpstr>
      <vt:lpstr>12-22</vt:lpstr>
      <vt:lpstr>12-29</vt:lpstr>
      <vt:lpstr>1-5</vt:lpstr>
      <vt:lpstr>1-12</vt:lpstr>
      <vt:lpstr>1-19</vt:lpstr>
      <vt:lpstr>1-26</vt:lpstr>
      <vt:lpstr>2-2</vt:lpstr>
      <vt:lpstr>2-9</vt:lpstr>
      <vt:lpstr>2-16</vt:lpstr>
      <vt:lpstr>2-23</vt:lpstr>
      <vt:lpstr>3-2</vt:lpstr>
      <vt:lpstr>3-9</vt:lpstr>
      <vt:lpstr>3-16</vt:lpstr>
      <vt:lpstr>3-23</vt:lpstr>
      <vt:lpstr>3-30</vt:lpstr>
      <vt:lpstr>4-6</vt:lpstr>
      <vt:lpstr>4-13</vt:lpstr>
      <vt:lpstr>4-20</vt:lpstr>
      <vt:lpstr>4-27</vt:lpstr>
      <vt:lpstr>5-4</vt:lpstr>
      <vt:lpstr>5-11</vt:lpstr>
      <vt:lpstr>5-18</vt:lpstr>
      <vt:lpstr>5-25</vt:lpstr>
      <vt:lpstr>6-1</vt:lpstr>
      <vt:lpstr>6-8</vt:lpstr>
      <vt:lpstr>6-15</vt:lpstr>
      <vt:lpstr>6-22</vt:lpstr>
      <vt:lpstr>6-29</vt:lpstr>
      <vt:lpstr>7-6</vt:lpstr>
      <vt:lpstr>7-13</vt:lpstr>
      <vt:lpstr>7-20</vt:lpstr>
      <vt:lpstr>7-27</vt:lpstr>
      <vt:lpstr>8-3</vt:lpstr>
      <vt:lpstr>8-10</vt:lpstr>
      <vt:lpstr>8-17</vt:lpstr>
      <vt:lpstr>8-24</vt:lpstr>
      <vt:lpstr>8-31</vt:lpstr>
      <vt:lpstr>'10-13'!Print_Area</vt:lpstr>
      <vt:lpstr>'10-20'!Print_Area</vt:lpstr>
      <vt:lpstr>'10-6'!Print_Area</vt:lpstr>
      <vt:lpstr>'9-29'!Print_Area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Huskey</dc:creator>
  <cp:lastModifiedBy>Shannon Huskey</cp:lastModifiedBy>
  <cp:lastPrinted>2025-10-02T20:43:09Z</cp:lastPrinted>
  <dcterms:created xsi:type="dcterms:W3CDTF">2023-12-11T17:23:26Z</dcterms:created>
  <dcterms:modified xsi:type="dcterms:W3CDTF">2026-07-08T15:28:08Z</dcterms:modified>
</cp:coreProperties>
</file>