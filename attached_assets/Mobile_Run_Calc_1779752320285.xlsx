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er Info" sheetId="1" r:id="rId5"/>
    <sheet state="visible" name="Dough" sheetId="2" r:id="rId6"/>
    <sheet state="visible" name="Timing" sheetId="3" r:id="rId7"/>
    <sheet state="visible" name="Frontline" sheetId="4" r:id="rId8"/>
  </sheets>
  <definedNames/>
  <calcPr/>
</workbook>
</file>

<file path=xl/sharedStrings.xml><?xml version="1.0" encoding="utf-8"?>
<sst xmlns="http://schemas.openxmlformats.org/spreadsheetml/2006/main" count="60" uniqueCount="56">
  <si>
    <t>cases needed</t>
  </si>
  <si>
    <t>freezer speed</t>
  </si>
  <si>
    <t>crusts per cycle</t>
  </si>
  <si>
    <t>cycle speed</t>
  </si>
  <si>
    <t xml:space="preserve">Speed adjustment </t>
  </si>
  <si>
    <t>pizzas per case</t>
  </si>
  <si>
    <t>cases per skid</t>
  </si>
  <si>
    <t>cases per layer</t>
  </si>
  <si>
    <t>total skids completed</t>
  </si>
  <si>
    <t>total number of trays</t>
  </si>
  <si>
    <t>total cases on current skid</t>
  </si>
  <si>
    <t>total baches ready</t>
  </si>
  <si>
    <t>number of doughballs per tray</t>
  </si>
  <si>
    <t>bough batch yeld</t>
  </si>
  <si>
    <t>Batches needed</t>
  </si>
  <si>
    <t>Trays needed</t>
  </si>
  <si>
    <t>Cases Left To Run</t>
  </si>
  <si>
    <t>Approximate total cases on the line</t>
  </si>
  <si>
    <t>Approximate Buffer</t>
  </si>
  <si>
    <t>Approximate Number of cases needed on last skid</t>
  </si>
  <si>
    <t>Batches Per Skid</t>
  </si>
  <si>
    <t>Trays Per Skid</t>
  </si>
  <si>
    <t>Approximate number of trays per batch</t>
  </si>
  <si>
    <t>Approximate pizzas per min</t>
  </si>
  <si>
    <t>hrs</t>
  </si>
  <si>
    <t>min</t>
  </si>
  <si>
    <t>sec</t>
  </si>
  <si>
    <t>Total Time Left for Run</t>
  </si>
  <si>
    <t>Time Per Press Cycle</t>
  </si>
  <si>
    <t>Approximate time per tray</t>
  </si>
  <si>
    <t>Time per batch</t>
  </si>
  <si>
    <t>Time per skid</t>
  </si>
  <si>
    <t>Time Per 10 Tray Rack</t>
  </si>
  <si>
    <t>Time Per 12 Tray Rack</t>
  </si>
  <si>
    <t>Time Per 16 Tray Rack</t>
  </si>
  <si>
    <t>Time Per 18 Tray Rack</t>
  </si>
  <si>
    <t>Time Per 20 Tray Rack</t>
  </si>
  <si>
    <t>Time Per 22 Tray Rack</t>
  </si>
  <si>
    <t>Time For Dough Made</t>
  </si>
  <si>
    <t>Wieghts</t>
  </si>
  <si>
    <t>Need</t>
  </si>
  <si>
    <t>Sauce Weight</t>
  </si>
  <si>
    <t>Sauce Barrel  Weight</t>
  </si>
  <si>
    <t>Batches</t>
  </si>
  <si>
    <t>Applicator 1 weight</t>
  </si>
  <si>
    <t>Applicator 1 Batch weight</t>
  </si>
  <si>
    <t>Applicator 2 weight</t>
  </si>
  <si>
    <t>Applicator 2 Batch weight</t>
  </si>
  <si>
    <t>Applicator 3 weight</t>
  </si>
  <si>
    <t>Applicator 3 Batch weight</t>
  </si>
  <si>
    <t>Applicator 4 weight</t>
  </si>
  <si>
    <t>Applicator 4 Batch weight</t>
  </si>
  <si>
    <t>Pep weight</t>
  </si>
  <si>
    <t>Pounds</t>
  </si>
  <si>
    <t>/</t>
  </si>
  <si>
    <t>222
222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</si>
</sst>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sz val="14.0"/>
      <color theme="1"/>
      <name val="Aptos Narrow"/>
    </font>
    <font>
      <sz val="11.0"/>
      <color theme="1"/>
      <name val="Aptos Narrow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63"/>
    <col customWidth="1" min="2" max="11" width="8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8.75" customHeight="1">
      <c r="A2" s="1" t="s">
        <v>0</v>
      </c>
      <c r="B2" s="2">
        <v>384.0</v>
      </c>
      <c r="C2" s="1"/>
      <c r="D2" s="1"/>
      <c r="E2" s="1"/>
      <c r="F2" s="1"/>
      <c r="G2" s="1"/>
      <c r="H2" s="1"/>
      <c r="I2" s="1"/>
      <c r="J2" s="1"/>
      <c r="K2" s="1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18.75" customHeight="1">
      <c r="A4" s="1" t="s">
        <v>1</v>
      </c>
      <c r="B4" s="2">
        <v>15.0</v>
      </c>
      <c r="C4" s="1"/>
      <c r="D4" s="1"/>
      <c r="E4" s="1"/>
      <c r="F4" s="1"/>
      <c r="G4" s="1"/>
      <c r="H4" s="1"/>
      <c r="I4" s="1"/>
      <c r="J4" s="1"/>
      <c r="K4" s="1"/>
    </row>
    <row r="5" ht="18.75" customHeight="1">
      <c r="A5" s="1" t="s">
        <v>2</v>
      </c>
      <c r="B5" s="2">
        <v>5.0</v>
      </c>
      <c r="C5" s="1"/>
      <c r="D5" s="1"/>
      <c r="E5" s="1"/>
      <c r="F5" s="1"/>
      <c r="G5" s="1"/>
      <c r="H5" s="1"/>
      <c r="I5" s="1"/>
      <c r="J5" s="1"/>
      <c r="K5" s="1"/>
    </row>
    <row r="6" ht="18.75" customHeight="1">
      <c r="A6" s="1" t="s">
        <v>3</v>
      </c>
      <c r="B6" s="2">
        <v>7.8</v>
      </c>
      <c r="C6" s="1"/>
      <c r="D6" s="1"/>
      <c r="E6" s="1"/>
      <c r="F6" s="1"/>
      <c r="G6" s="1"/>
      <c r="H6" s="1"/>
      <c r="I6" s="1"/>
      <c r="J6" s="1"/>
      <c r="K6" s="1"/>
    </row>
    <row r="7" ht="18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ht="18.75" customHeight="1">
      <c r="A8" s="1" t="s">
        <v>4</v>
      </c>
      <c r="B8" s="2">
        <v>1.0</v>
      </c>
      <c r="C8" s="1"/>
      <c r="D8" s="1"/>
      <c r="E8" s="1"/>
      <c r="F8" s="1"/>
      <c r="G8" s="1"/>
      <c r="H8" s="1"/>
      <c r="I8" s="1"/>
      <c r="J8" s="1"/>
      <c r="K8" s="1"/>
    </row>
    <row r="9" ht="18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ht="18.75" customHeight="1">
      <c r="A10" s="1" t="s">
        <v>5</v>
      </c>
      <c r="B10" s="2">
        <v>12.0</v>
      </c>
      <c r="C10" s="1"/>
      <c r="D10" s="1"/>
      <c r="E10" s="1"/>
      <c r="F10" s="1"/>
      <c r="G10" s="1"/>
      <c r="H10" s="1"/>
      <c r="I10" s="1"/>
      <c r="J10" s="1"/>
      <c r="K10" s="1"/>
    </row>
    <row r="11" ht="18.75" customHeight="1">
      <c r="A11" s="1" t="s">
        <v>6</v>
      </c>
      <c r="B11" s="2">
        <v>48.0</v>
      </c>
      <c r="C11" s="1"/>
      <c r="D11" s="1"/>
      <c r="E11" s="1"/>
      <c r="F11" s="1"/>
      <c r="G11" s="1"/>
      <c r="H11" s="1"/>
      <c r="I11" s="1"/>
      <c r="J11" s="1"/>
      <c r="K11" s="1"/>
    </row>
    <row r="12" ht="18.75" customHeight="1">
      <c r="A12" s="2" t="s">
        <v>7</v>
      </c>
      <c r="B12" s="2">
        <v>6.0</v>
      </c>
      <c r="C12" s="1"/>
      <c r="D12" s="1"/>
      <c r="E12" s="1"/>
      <c r="F12" s="1"/>
      <c r="G12" s="1"/>
      <c r="H12" s="1"/>
      <c r="I12" s="1"/>
      <c r="J12" s="1"/>
      <c r="K12" s="1"/>
    </row>
    <row r="13" ht="18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ht="18.75" customHeight="1">
      <c r="A14" s="1" t="s">
        <v>8</v>
      </c>
      <c r="B14" s="2">
        <v>5.0</v>
      </c>
      <c r="C14" s="1"/>
      <c r="D14" s="1"/>
      <c r="E14" s="1"/>
      <c r="F14" s="1"/>
      <c r="G14" s="1"/>
      <c r="H14" s="1"/>
      <c r="I14" s="1"/>
      <c r="J14" s="1"/>
      <c r="K14" s="1"/>
    </row>
    <row r="15" ht="18.75" customHeight="1">
      <c r="A15" s="1" t="s">
        <v>9</v>
      </c>
      <c r="B15" s="2">
        <v>43.0</v>
      </c>
      <c r="C15" s="1"/>
      <c r="D15" s="1"/>
      <c r="E15" s="1"/>
      <c r="F15" s="1"/>
      <c r="G15" s="1"/>
      <c r="H15" s="1"/>
      <c r="I15" s="1"/>
      <c r="J15" s="1"/>
      <c r="K15" s="1"/>
    </row>
    <row r="16" ht="18.75" customHeight="1">
      <c r="A16" s="1" t="s">
        <v>10</v>
      </c>
      <c r="B16" s="2">
        <v>6.0</v>
      </c>
      <c r="C16" s="1"/>
      <c r="D16" s="1"/>
      <c r="E16" s="1"/>
      <c r="F16" s="1"/>
      <c r="G16" s="1"/>
      <c r="H16" s="1"/>
      <c r="I16" s="1"/>
      <c r="J16" s="1"/>
      <c r="K16" s="1"/>
    </row>
    <row r="17" ht="18.75" customHeight="1">
      <c r="A17" s="1" t="s">
        <v>11</v>
      </c>
      <c r="B17" s="2">
        <v>0.0</v>
      </c>
      <c r="C17" s="1"/>
      <c r="D17" s="1"/>
      <c r="E17" s="1"/>
      <c r="F17" s="1"/>
      <c r="G17" s="1"/>
      <c r="H17" s="1"/>
      <c r="I17" s="1"/>
      <c r="J17" s="1"/>
      <c r="K17" s="1"/>
    </row>
    <row r="18" ht="18.75" customHeight="1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</row>
    <row r="19" ht="24.0" customHeight="1">
      <c r="A19" s="1" t="s">
        <v>12</v>
      </c>
      <c r="B19" s="2">
        <v>24.0</v>
      </c>
      <c r="C19" s="1"/>
      <c r="D19" s="1"/>
      <c r="E19" s="1"/>
      <c r="F19" s="1"/>
      <c r="G19" s="1"/>
      <c r="H19" s="1"/>
      <c r="I19" s="1"/>
      <c r="J19" s="1"/>
      <c r="K19" s="1"/>
    </row>
    <row r="20" ht="18.75" customHeight="1">
      <c r="A20" s="1" t="s">
        <v>13</v>
      </c>
      <c r="B20" s="2">
        <v>620.0</v>
      </c>
      <c r="C20" s="1"/>
      <c r="D20" s="1"/>
      <c r="E20" s="1"/>
      <c r="F20" s="1"/>
      <c r="G20" s="1"/>
      <c r="H20" s="1"/>
      <c r="I20" s="1"/>
      <c r="J20" s="1"/>
      <c r="K20" s="1"/>
    </row>
    <row r="21" ht="18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</row>
    <row r="22" ht="18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8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13"/>
    <col customWidth="1" min="2" max="2" width="6.75"/>
    <col customWidth="1" min="3" max="3" width="5.13"/>
    <col customWidth="1" min="4" max="11" width="8.63"/>
  </cols>
  <sheetData>
    <row r="1" ht="25.5" customHeight="1">
      <c r="A1" s="1" t="s">
        <v>14</v>
      </c>
      <c r="B1" s="1">
        <f>roundup((((B4:C4*'Enter Info'!B10/'Enter Info'!B19)-'Enter Info'!B15)*'Enter Info'!B19/'Enter Info'!B20)-'Enter Info'!B17,2)</f>
        <v>0.2</v>
      </c>
      <c r="D1" s="1"/>
      <c r="E1" s="1"/>
      <c r="F1" s="1"/>
      <c r="G1" s="1"/>
      <c r="H1" s="1"/>
      <c r="I1" s="1"/>
      <c r="J1" s="1"/>
      <c r="K1" s="1"/>
    </row>
    <row r="2" ht="18.75" customHeight="1">
      <c r="A2" s="1" t="s">
        <v>15</v>
      </c>
      <c r="B2" s="1">
        <f>roundup(((B4:C4*'Enter Info'!B10/'Enter Info'!B19)-'Enter Info'!B15),0)</f>
        <v>5</v>
      </c>
      <c r="D2" s="1"/>
      <c r="E2" s="1"/>
      <c r="F2" s="1"/>
      <c r="G2" s="1"/>
      <c r="H2" s="1"/>
      <c r="I2" s="1"/>
      <c r="J2" s="1"/>
      <c r="K2" s="1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18.75" customHeight="1">
      <c r="A4" s="2" t="s">
        <v>16</v>
      </c>
      <c r="B4" s="1">
        <f>'Enter Info'!B2-('Enter Info'!B14*'Enter Info'!B11)-'Enter Info'!B16-B6+'Enter Info'!B12</f>
        <v>96</v>
      </c>
      <c r="D4" s="1"/>
      <c r="E4" s="1"/>
      <c r="F4" s="1"/>
      <c r="G4" s="1"/>
      <c r="H4" s="1"/>
      <c r="I4" s="1"/>
      <c r="J4" s="1"/>
      <c r="K4" s="1"/>
    </row>
    <row r="5" ht="18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34.5" customHeight="1">
      <c r="A6" s="1" t="s">
        <v>17</v>
      </c>
      <c r="B6" s="1">
        <f>rounddown(Timing!B1*'Enter Info'!B4/'Enter Info'!B10*'Enter Info'!B8,0)</f>
        <v>48</v>
      </c>
      <c r="C6" s="1">
        <f>rounddown(Timing!C1*'Enter Info'!B4/'Enter Info'!B10,0)</f>
        <v>48</v>
      </c>
      <c r="D6" s="1"/>
      <c r="E6" s="1"/>
      <c r="F6" s="1"/>
      <c r="G6" s="1"/>
      <c r="H6" s="1"/>
      <c r="I6" s="1"/>
      <c r="J6" s="1"/>
      <c r="K6" s="1"/>
    </row>
    <row r="7" ht="18.75" customHeight="1">
      <c r="A7" s="1" t="s">
        <v>18</v>
      </c>
      <c r="B7" s="1">
        <f>C6-B6</f>
        <v>0</v>
      </c>
      <c r="D7" s="1"/>
      <c r="E7" s="1"/>
      <c r="F7" s="1"/>
      <c r="G7" s="1"/>
      <c r="H7" s="1"/>
      <c r="I7" s="1"/>
      <c r="J7" s="1"/>
      <c r="K7" s="1"/>
    </row>
    <row r="8" ht="17.25" customHeight="1">
      <c r="A8" s="1"/>
      <c r="B8" s="1"/>
      <c r="D8" s="1"/>
      <c r="E8" s="1"/>
      <c r="F8" s="1"/>
      <c r="G8" s="1"/>
      <c r="H8" s="1"/>
      <c r="I8" s="1"/>
      <c r="J8" s="1"/>
      <c r="K8" s="1"/>
    </row>
    <row r="9" ht="34.5" customHeight="1">
      <c r="A9" s="1" t="s">
        <v>19</v>
      </c>
      <c r="B9" s="1">
        <f>roundup('Enter Info'!B11-Dough!C6,0)</f>
        <v>0</v>
      </c>
      <c r="C9" s="1">
        <f>roundup('Enter Info'!B11-Dough!B6,0)</f>
        <v>0</v>
      </c>
      <c r="D9" s="1"/>
      <c r="E9" s="1"/>
      <c r="F9" s="1"/>
      <c r="G9" s="1"/>
      <c r="H9" s="1"/>
      <c r="I9" s="1"/>
      <c r="J9" s="1"/>
      <c r="K9" s="1"/>
    </row>
    <row r="10" ht="18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ht="25.5" customHeight="1">
      <c r="A11" s="1" t="s">
        <v>20</v>
      </c>
      <c r="B11" s="1">
        <f>rounddown(('Enter Info'!B11*'Enter Info'!B10)/'Enter Info'!B20,2)</f>
        <v>0.92</v>
      </c>
      <c r="D11" s="1"/>
      <c r="E11" s="1"/>
      <c r="F11" s="1"/>
      <c r="G11" s="1"/>
      <c r="H11" s="1"/>
      <c r="I11" s="1"/>
      <c r="J11" s="1"/>
      <c r="K11" s="1"/>
    </row>
    <row r="12" ht="18.75" customHeight="1">
      <c r="A12" s="1" t="s">
        <v>21</v>
      </c>
      <c r="B12" s="1">
        <f>rounddown(('Enter Info'!B11*'Enter Info'!B10)/'Enter Info'!B19,0)</f>
        <v>24</v>
      </c>
      <c r="D12" s="1"/>
      <c r="E12" s="1"/>
      <c r="F12" s="1"/>
      <c r="G12" s="1"/>
      <c r="H12" s="1"/>
      <c r="I12" s="1"/>
      <c r="J12" s="1"/>
      <c r="K12" s="1"/>
    </row>
    <row r="13" ht="39.0" customHeight="1">
      <c r="A13" s="1" t="s">
        <v>22</v>
      </c>
      <c r="B13" s="1">
        <f>ROUNDDOWN('Enter Info'!B20/'Enter Info'!B19,2)</f>
        <v>25.83</v>
      </c>
      <c r="D13" s="1"/>
      <c r="E13" s="1"/>
      <c r="F13" s="1"/>
      <c r="G13" s="1"/>
      <c r="H13" s="1"/>
      <c r="I13" s="1"/>
      <c r="J13" s="1"/>
      <c r="K13" s="1"/>
    </row>
    <row r="14" ht="18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18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8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18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8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18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8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8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8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8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">
    <mergeCell ref="B1:C1"/>
    <mergeCell ref="B2:C2"/>
    <mergeCell ref="B4:C4"/>
    <mergeCell ref="B7:C7"/>
    <mergeCell ref="B8:C8"/>
    <mergeCell ref="B11:C11"/>
    <mergeCell ref="B12:C12"/>
    <mergeCell ref="B13:C1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6.88"/>
    <col customWidth="1" min="3" max="3" width="7.25"/>
    <col customWidth="1" min="4" max="4" width="8.0"/>
    <col customWidth="1" min="5" max="11" width="9.13"/>
  </cols>
  <sheetData>
    <row r="1">
      <c r="A1" s="2" t="s">
        <v>23</v>
      </c>
      <c r="B1" s="1">
        <f>rounddown('Enter Info'!B5*'Enter Info'!B6*'Enter Info'!B8,2)</f>
        <v>39</v>
      </c>
      <c r="C1" s="1">
        <f>'Enter Info'!B5*'Enter Info'!B6</f>
        <v>39</v>
      </c>
      <c r="D1" s="1"/>
      <c r="E1" s="1"/>
      <c r="F1" s="1"/>
      <c r="G1" s="1"/>
      <c r="H1" s="1"/>
      <c r="I1" s="1"/>
      <c r="J1" s="1"/>
      <c r="K1" s="1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>
      <c r="A3" s="3"/>
      <c r="B3" s="3" t="s">
        <v>24</v>
      </c>
      <c r="C3" s="3" t="s">
        <v>25</v>
      </c>
      <c r="D3" s="3" t="s">
        <v>26</v>
      </c>
      <c r="E3" s="3"/>
      <c r="F3" s="3"/>
      <c r="G3" s="3"/>
      <c r="H3" s="3"/>
      <c r="I3" s="3"/>
      <c r="J3" s="3"/>
      <c r="K3" s="3"/>
    </row>
    <row r="4" ht="24.75" customHeight="1">
      <c r="A4" s="1" t="s">
        <v>27</v>
      </c>
      <c r="B4" s="3">
        <f>ROUNDDOWN(((((('Enter Info'!B2-('Enter Info'!B14*'Enter Info'!B11)-'Enter Info'!B16-Dough!B6))*'Enter Info'!B10/'Enter Info'!B5)*D5)/60/60),0)</f>
        <v>0</v>
      </c>
      <c r="C4" s="3">
        <f>ROUNDDOWN((((((('Enter Info'!B2-('Enter Info'!B14*'Enter Info'!B11)-'Enter Info'!B16-Dough!B6))*'Enter Info'!B10/'Enter Info'!B5)*D5)/60/60)-B4)*60,0)</f>
        <v>27</v>
      </c>
      <c r="D4" s="3">
        <f>ROUNDDOWN((((((((('Enter Info'!B2-('Enter Info'!B14*'Enter Info'!B11)-'Enter Info'!B16-Dough!B6))*'Enter Info'!B10/'Enter Info'!B5)*D5)/60/60)-B4)*60)-C4)*60,0)</f>
        <v>41</v>
      </c>
      <c r="E4" s="3"/>
      <c r="F4" s="3"/>
      <c r="G4" s="3"/>
      <c r="H4" s="3"/>
      <c r="I4" s="3"/>
      <c r="J4" s="3"/>
      <c r="K4" s="3"/>
    </row>
    <row r="5" ht="30.0" customHeight="1">
      <c r="A5" s="1" t="s">
        <v>28</v>
      </c>
      <c r="C5" s="3"/>
      <c r="D5" s="3">
        <f>rounddown((60/'Enter Info'!B6)/'Enter Info'!B8,2)</f>
        <v>7.69</v>
      </c>
      <c r="E5" s="3"/>
      <c r="F5" s="3"/>
      <c r="G5" s="3"/>
      <c r="H5" s="3"/>
      <c r="I5" s="3"/>
      <c r="J5" s="3"/>
      <c r="K5" s="3"/>
    </row>
    <row r="6" ht="33.0" customHeight="1">
      <c r="A6" s="1" t="s">
        <v>29</v>
      </c>
      <c r="C6" s="3"/>
      <c r="D6" s="3">
        <f>rounddown('Enter Info'!B19/'Enter Info'!B5*Timing!D5,2)</f>
        <v>36.91</v>
      </c>
      <c r="E6" s="3"/>
      <c r="F6" s="3"/>
      <c r="G6" s="3"/>
      <c r="H6" s="3"/>
      <c r="I6" s="3"/>
      <c r="J6" s="3"/>
      <c r="K6" s="3"/>
    </row>
    <row r="7" ht="24.75" customHeight="1">
      <c r="A7" s="1" t="s">
        <v>30</v>
      </c>
      <c r="C7" s="3">
        <f>rounddown(('Enter Info'!B20/'Enter Info'!B5*D5/60),0)</f>
        <v>15</v>
      </c>
      <c r="D7" s="3">
        <f>roundup(((rounddown(('Enter Info'!B20/'Enter Info'!B5*D5/60),2))-C7)*60,0)</f>
        <v>54</v>
      </c>
      <c r="E7" s="3"/>
      <c r="F7" s="3"/>
      <c r="G7" s="3"/>
      <c r="H7" s="3"/>
      <c r="I7" s="3"/>
      <c r="J7" s="3"/>
      <c r="K7" s="3"/>
    </row>
    <row r="8" ht="23.25" customHeight="1">
      <c r="A8" s="1" t="s">
        <v>31</v>
      </c>
      <c r="C8" s="3">
        <f>rounddown(('Enter Info'!B11*'Enter Info'!B10/('Enter Info'!B6*'Enter Info'!B5)/'Enter Info'!B8),0)</f>
        <v>14</v>
      </c>
      <c r="D8" s="3">
        <f>roundup(((rounddown(('Enter Info'!B11*'Enter Info'!B10/('Enter Info'!B6*'Enter Info'!B5)/'Enter Info'!B8),2))-C8)*60,0)</f>
        <v>46</v>
      </c>
      <c r="E8" s="3"/>
      <c r="F8" s="3"/>
      <c r="G8" s="3"/>
      <c r="H8" s="3"/>
      <c r="I8" s="3"/>
      <c r="J8" s="3"/>
      <c r="K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>
      <c r="A10" s="1" t="s">
        <v>32</v>
      </c>
      <c r="C10" s="3">
        <f>rounddown(D6*10/60,0)</f>
        <v>6</v>
      </c>
      <c r="D10" s="3">
        <f>roundup(((rounddown(D6*10/60,2))-C10)*60,0)</f>
        <v>10</v>
      </c>
      <c r="E10" s="3"/>
      <c r="F10" s="3"/>
      <c r="G10" s="3"/>
      <c r="H10" s="3"/>
      <c r="I10" s="3"/>
      <c r="J10" s="3"/>
      <c r="K10" s="3"/>
    </row>
    <row r="11">
      <c r="A11" s="1" t="s">
        <v>33</v>
      </c>
      <c r="C11" s="3">
        <f>rounddown(D6*12/60,0)</f>
        <v>7</v>
      </c>
      <c r="D11" s="3">
        <f>roundup(((rounddown(D6*12/60,2))-C11)*60,0)</f>
        <v>23</v>
      </c>
      <c r="E11" s="3"/>
      <c r="F11" s="3"/>
      <c r="G11" s="3"/>
      <c r="H11" s="3"/>
      <c r="I11" s="3"/>
      <c r="J11" s="3"/>
      <c r="K11" s="3"/>
    </row>
    <row r="12">
      <c r="A12" s="2" t="s">
        <v>34</v>
      </c>
      <c r="C12" s="3">
        <f>rounddown(D6*16/60,0)</f>
        <v>9</v>
      </c>
      <c r="D12" s="3">
        <f>roundup(((rounddown(D6*16/60,2))-C12)*60,0)</f>
        <v>51</v>
      </c>
      <c r="E12" s="3"/>
      <c r="F12" s="3"/>
      <c r="G12" s="3"/>
      <c r="H12" s="3"/>
      <c r="I12" s="3"/>
      <c r="J12" s="3"/>
      <c r="K12" s="3"/>
    </row>
    <row r="13">
      <c r="A13" s="1" t="s">
        <v>35</v>
      </c>
      <c r="C13" s="3">
        <f>rounddown(D6*18/60,0)</f>
        <v>11</v>
      </c>
      <c r="D13" s="3">
        <f>roundup(((rounddown(D6*18/60,2))-C13)*60,0)</f>
        <v>5</v>
      </c>
      <c r="E13" s="3"/>
      <c r="F13" s="3"/>
      <c r="G13" s="3"/>
      <c r="H13" s="3"/>
      <c r="I13" s="3"/>
      <c r="J13" s="3"/>
      <c r="K13" s="3"/>
    </row>
    <row r="14">
      <c r="A14" s="1" t="s">
        <v>36</v>
      </c>
      <c r="C14" s="3">
        <f>rounddown(D6*20/60,0)</f>
        <v>12</v>
      </c>
      <c r="D14" s="3">
        <f>roundup(((rounddown(D6*20/60,2))-C14)*60,0)</f>
        <v>18</v>
      </c>
      <c r="E14" s="3"/>
      <c r="F14" s="3"/>
      <c r="G14" s="3"/>
      <c r="H14" s="3"/>
      <c r="I14" s="3"/>
      <c r="J14" s="3"/>
      <c r="K14" s="3"/>
    </row>
    <row r="15">
      <c r="A15" s="1" t="s">
        <v>37</v>
      </c>
      <c r="C15" s="3">
        <f>rounddown(D6*22/60,0)</f>
        <v>13</v>
      </c>
      <c r="D15" s="3">
        <f>roundup(((rounddown(D6*22/60,2))-C15)*60,0)</f>
        <v>32</v>
      </c>
      <c r="E15" s="3"/>
      <c r="F15" s="3"/>
      <c r="G15" s="3"/>
      <c r="H15" s="3"/>
      <c r="I15" s="3"/>
      <c r="J15" s="3"/>
      <c r="K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30.0" customHeight="1">
      <c r="A17" s="1" t="s">
        <v>38</v>
      </c>
      <c r="B17" s="3">
        <f>ROUNDDOWN(((('Enter Info'!B15*'Enter Info'!B19)+('Enter Info'!B17*'Enter Info'!B20))/'Enter Info'!B5)*D5/60/60,0)</f>
        <v>0</v>
      </c>
      <c r="C17" s="3">
        <f>ROUNDDOWN(((((('Enter Info'!B15*'Enter Info'!B19)+('Enter Info'!B17*'Enter Info'!B20))/'Enter Info'!B5)*D5/60/60)-B17)*60,0)</f>
        <v>26</v>
      </c>
      <c r="D17" s="3">
        <f>ROUNDDOWN(((((((('Enter Info'!B15*'Enter Info'!B19)+('Enter Info'!B17*'Enter Info'!B20))/'Enter Info'!B5)*D5/60/60)-B17)*60)-C17)*60,0)</f>
        <v>27</v>
      </c>
      <c r="E17" s="3"/>
      <c r="F17" s="3"/>
      <c r="G17" s="3"/>
      <c r="H17" s="3"/>
      <c r="I17" s="3"/>
      <c r="J17" s="3"/>
      <c r="K17" s="3"/>
    </row>
    <row r="18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9.13"/>
    <col customWidth="1" min="3" max="3" width="5.13"/>
    <col customWidth="1" min="4" max="4" width="10.63"/>
    <col customWidth="1" min="5" max="5" width="12.63"/>
    <col customWidth="1" min="6" max="10" width="9.13"/>
  </cols>
  <sheetData>
    <row r="1" ht="18.75" customHeight="1">
      <c r="A1" s="4"/>
      <c r="B1" s="4"/>
      <c r="C1" s="4"/>
      <c r="D1" s="4"/>
      <c r="E1" s="4"/>
      <c r="F1" s="4"/>
      <c r="G1" s="4"/>
      <c r="H1" s="4"/>
      <c r="I1" s="4"/>
      <c r="J1" s="4"/>
    </row>
    <row r="2" ht="18.75" customHeight="1">
      <c r="A2" s="4"/>
      <c r="B2" s="4" t="s">
        <v>39</v>
      </c>
      <c r="C2" s="4"/>
      <c r="D2" s="4" t="s">
        <v>40</v>
      </c>
      <c r="E2" s="4"/>
      <c r="F2" s="4"/>
      <c r="G2" s="4"/>
      <c r="H2" s="4"/>
      <c r="I2" s="4"/>
      <c r="J2" s="4"/>
    </row>
    <row r="3" ht="21.0" customHeight="1">
      <c r="A3" s="5" t="s">
        <v>41</v>
      </c>
      <c r="B3" s="6">
        <v>4.0</v>
      </c>
      <c r="C3" s="4"/>
      <c r="D3" s="4"/>
      <c r="E3" s="4"/>
      <c r="F3" s="4"/>
      <c r="G3" s="4"/>
      <c r="H3" s="4"/>
      <c r="I3" s="4"/>
      <c r="J3" s="4"/>
    </row>
    <row r="4" ht="36.0" customHeight="1">
      <c r="A4" s="5" t="s">
        <v>42</v>
      </c>
      <c r="B4" s="6">
        <v>450.0</v>
      </c>
      <c r="C4" s="4"/>
      <c r="D4" s="4">
        <f>roundup((((Dough!B4*'Enter Info'!B10)+'Enter Info'!B12)*B3/16/B4),2)</f>
        <v>0.65</v>
      </c>
      <c r="E4" s="4" t="s">
        <v>43</v>
      </c>
      <c r="F4" s="4"/>
      <c r="G4" s="4"/>
      <c r="H4" s="4"/>
      <c r="I4" s="4"/>
      <c r="J4" s="4"/>
    </row>
    <row r="5" ht="39.0" customHeight="1">
      <c r="A5" s="1" t="s">
        <v>44</v>
      </c>
      <c r="B5" s="2">
        <v>0.0</v>
      </c>
      <c r="C5" s="4"/>
      <c r="D5" s="4"/>
      <c r="E5" s="4"/>
      <c r="F5" s="4"/>
      <c r="G5" s="4"/>
      <c r="H5" s="4"/>
      <c r="I5" s="4"/>
      <c r="J5" s="4"/>
    </row>
    <row r="6" ht="39.0" customHeight="1">
      <c r="A6" s="1" t="s">
        <v>45</v>
      </c>
      <c r="B6" s="2">
        <v>30.0</v>
      </c>
      <c r="C6" s="4"/>
      <c r="D6" s="4">
        <f>roundup((Dough!B4*'Enter Info'!B10*B5/16/B6),2)</f>
        <v>0</v>
      </c>
      <c r="E6" s="4" t="s">
        <v>43</v>
      </c>
      <c r="F6" s="4"/>
      <c r="G6" s="4"/>
      <c r="H6" s="4"/>
      <c r="I6" s="4"/>
      <c r="J6" s="4"/>
    </row>
    <row r="7" ht="38.25" customHeight="1">
      <c r="A7" s="5" t="s">
        <v>46</v>
      </c>
      <c r="B7" s="6">
        <v>4.0</v>
      </c>
      <c r="C7" s="4"/>
      <c r="D7" s="4"/>
      <c r="E7" s="4"/>
      <c r="F7" s="4"/>
      <c r="G7" s="4"/>
      <c r="H7" s="4"/>
      <c r="I7" s="4"/>
      <c r="J7" s="4"/>
    </row>
    <row r="8" ht="38.25" customHeight="1">
      <c r="A8" s="5" t="s">
        <v>47</v>
      </c>
      <c r="B8" s="6">
        <v>55.0</v>
      </c>
      <c r="C8" s="4"/>
      <c r="D8" s="4">
        <f>roundup((Dough!B4*'Enter Info'!B10*B7/16/B8),2)</f>
        <v>5.24</v>
      </c>
      <c r="E8" s="4" t="s">
        <v>43</v>
      </c>
      <c r="F8" s="4"/>
      <c r="G8" s="4"/>
      <c r="H8" s="4"/>
      <c r="I8" s="4"/>
      <c r="J8" s="4"/>
    </row>
    <row r="9" ht="37.5" customHeight="1">
      <c r="A9" s="1" t="s">
        <v>48</v>
      </c>
      <c r="B9" s="2">
        <v>0.0</v>
      </c>
      <c r="C9" s="4"/>
      <c r="D9" s="4"/>
      <c r="E9" s="4"/>
      <c r="F9" s="4"/>
      <c r="G9" s="4"/>
      <c r="H9" s="4"/>
      <c r="I9" s="4"/>
      <c r="J9" s="4"/>
    </row>
    <row r="10" ht="37.5" customHeight="1">
      <c r="A10" s="1" t="s">
        <v>49</v>
      </c>
      <c r="B10" s="2">
        <v>45.0</v>
      </c>
      <c r="C10" s="4"/>
      <c r="D10" s="4">
        <f>roundup((Dough!B4*'Enter Info'!B10*B9/16/B10),2)</f>
        <v>0</v>
      </c>
      <c r="E10" s="4" t="s">
        <v>43</v>
      </c>
      <c r="F10" s="4"/>
      <c r="G10" s="4"/>
      <c r="H10" s="4"/>
      <c r="I10" s="4"/>
      <c r="J10" s="4"/>
    </row>
    <row r="11" ht="37.5" customHeight="1">
      <c r="A11" s="5" t="s">
        <v>50</v>
      </c>
      <c r="B11" s="6">
        <v>4.0</v>
      </c>
      <c r="C11" s="4"/>
      <c r="D11" s="4"/>
      <c r="E11" s="4"/>
      <c r="F11" s="4"/>
      <c r="G11" s="4"/>
      <c r="H11" s="4"/>
      <c r="I11" s="4"/>
      <c r="J11" s="4"/>
    </row>
    <row r="12" ht="37.5" customHeight="1">
      <c r="A12" s="5" t="s">
        <v>51</v>
      </c>
      <c r="B12" s="6">
        <v>55.0</v>
      </c>
      <c r="C12" s="4"/>
      <c r="D12" s="4">
        <f>roundup((Dough!B4*'Enter Info'!B10*B11/16/B12),2)</f>
        <v>5.24</v>
      </c>
      <c r="E12" s="4" t="s">
        <v>43</v>
      </c>
      <c r="F12" s="4"/>
      <c r="G12" s="4"/>
      <c r="H12" s="4"/>
      <c r="I12" s="4"/>
      <c r="J12" s="4"/>
    </row>
    <row r="13" ht="22.5" customHeight="1">
      <c r="A13" s="1" t="s">
        <v>52</v>
      </c>
      <c r="B13" s="2">
        <v>0.0</v>
      </c>
      <c r="C13" s="4"/>
      <c r="D13" s="4">
        <f>roundup(Dough!B4*'Enter Info'!B10*B13/16,2)</f>
        <v>0</v>
      </c>
      <c r="E13" s="4" t="s">
        <v>53</v>
      </c>
      <c r="F13" s="4"/>
      <c r="G13" s="4"/>
      <c r="H13" s="4"/>
      <c r="I13" s="4"/>
      <c r="J13" s="4"/>
    </row>
    <row r="14" ht="18.75" customHeight="1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ht="18.75" customHeight="1">
      <c r="A15" s="7"/>
      <c r="B15" s="4"/>
      <c r="C15" s="4"/>
      <c r="D15" s="4"/>
      <c r="E15" s="4"/>
      <c r="F15" s="4"/>
      <c r="G15" s="4"/>
      <c r="H15" s="4"/>
      <c r="I15" s="4"/>
      <c r="J15" s="4"/>
    </row>
    <row r="16" ht="18.75" customHeight="1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ht="18.75" customHeight="1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ht="18.75" customHeight="1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ht="18.75" customHeight="1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X67" s="8" t="s">
        <v>54</v>
      </c>
    </row>
    <row r="68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V86" s="8" t="s">
        <v>55</v>
      </c>
    </row>
    <row r="87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