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tions\Finished Product Recipes\Sauce\"/>
    </mc:Choice>
  </mc:AlternateContent>
  <xr:revisionPtr revIDLastSave="0" documentId="13_ncr:1_{4B8BDBC3-92B9-486D-BCB1-B1376649824D}" xr6:coauthVersionLast="47" xr6:coauthVersionMax="47" xr10:uidLastSave="{00000000-0000-0000-0000-000000000000}"/>
  <bookViews>
    <workbookView xWindow="-28920" yWindow="-120" windowWidth="29040" windowHeight="15720" xr2:uid="{3A04C6B3-6088-478B-8899-977283FE5BC0}"/>
  </bookViews>
  <sheets>
    <sheet name="Sheet1" sheetId="1" r:id="rId1"/>
  </sheets>
  <definedNames>
    <definedName name="_xlnm.Print_Area" localSheetId="0">Sheet1!$A$4:$J$29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K11" i="1"/>
  <c r="K10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9" i="1"/>
  <c r="K8" i="1"/>
  <c r="J29" i="1"/>
  <c r="L28" i="1" s="1"/>
  <c r="L11" i="1" l="1"/>
  <c r="H29" i="1"/>
  <c r="L22" i="1"/>
  <c r="L12" i="1"/>
  <c r="L16" i="1"/>
  <c r="L25" i="1"/>
  <c r="L13" i="1"/>
  <c r="L19" i="1"/>
  <c r="L26" i="1"/>
  <c r="L8" i="1"/>
  <c r="L14" i="1"/>
  <c r="L17" i="1"/>
  <c r="L20" i="1"/>
  <c r="L23" i="1"/>
  <c r="L27" i="1"/>
  <c r="L9" i="1"/>
  <c r="L10" i="1"/>
  <c r="L15" i="1"/>
  <c r="L18" i="1"/>
  <c r="L21" i="1"/>
  <c r="L24" i="1"/>
  <c r="L29" i="1" l="1"/>
</calcChain>
</file>

<file path=xl/sharedStrings.xml><?xml version="1.0" encoding="utf-8"?>
<sst xmlns="http://schemas.openxmlformats.org/spreadsheetml/2006/main" count="69" uniqueCount="51">
  <si>
    <t>SinZenArd International Foods</t>
  </si>
  <si>
    <t>Maria &amp; Son</t>
  </si>
  <si>
    <t>Ingredients:</t>
  </si>
  <si>
    <t>Water</t>
  </si>
  <si>
    <t>Process</t>
  </si>
  <si>
    <t>If necessary clean Kettle</t>
  </si>
  <si>
    <t>A BOL is filled out and sent when batches are transferred</t>
  </si>
  <si>
    <t>Tika Masala Sauce</t>
  </si>
  <si>
    <t>qt</t>
  </si>
  <si>
    <t>Oil</t>
  </si>
  <si>
    <t>lbs</t>
  </si>
  <si>
    <t>Cinnamon Sticks</t>
  </si>
  <si>
    <t>Anise</t>
  </si>
  <si>
    <t>Cumin, Whole</t>
  </si>
  <si>
    <t>Bay Leaves</t>
  </si>
  <si>
    <t>Each</t>
  </si>
  <si>
    <t>Fenu Greek Leaves</t>
  </si>
  <si>
    <t>Tomato Paste</t>
  </si>
  <si>
    <t>Sugar</t>
  </si>
  <si>
    <t>Salt</t>
  </si>
  <si>
    <t>Cumin, Ground</t>
  </si>
  <si>
    <t>Corrrander Powder</t>
  </si>
  <si>
    <t>Chili Powder</t>
  </si>
  <si>
    <t>Green Cardamon Powder</t>
  </si>
  <si>
    <t>Gara Masalla Powder</t>
  </si>
  <si>
    <t>Paprika</t>
  </si>
  <si>
    <t>Cloves, Whole</t>
  </si>
  <si>
    <t>Heavy Cream</t>
  </si>
  <si>
    <t>Black Pepper Powder</t>
  </si>
  <si>
    <t>Check Middle Kettle for Cleaniness, including Spout</t>
  </si>
  <si>
    <t>Add Oil to Kettle</t>
  </si>
  <si>
    <t>Take Cheesecloth and add Cinnamon Sticks, Anise, Whole Cumin, Bay Leaves, Fenu Leaves, Whole Cloves to cheescloth and tie closed.</t>
  </si>
  <si>
    <t>When Oil is hot add Ginger/Garlic Puree mix to kettle</t>
  </si>
  <si>
    <t>Add remaining spices to kettle, stirring occasionally</t>
  </si>
  <si>
    <t>Hang Cheesecloth bag on inside of the kettle making sure it cannot reach the blades of the stirrer</t>
  </si>
  <si>
    <t>Add Tomato Paste and water</t>
  </si>
  <si>
    <t>Start the mixer, pausing it on occasion to use large paddle to pull Paste from sides and bottom, ensuring a good blend</t>
  </si>
  <si>
    <t>Once Paste is well blended, add coloring</t>
  </si>
  <si>
    <t>Allow to heat</t>
  </si>
  <si>
    <t>Add Heavy Cream, and bring back to a boil and let cook for at least 1/2 hour, occasionally using paddle to make sure limited stickage to the sides and well blended</t>
  </si>
  <si>
    <t>Prepare clean orange buckets with labels</t>
  </si>
  <si>
    <t>Fill Buckets from spout</t>
  </si>
  <si>
    <t>Weigh buckets on scale to ensure each is 30 lbs</t>
  </si>
  <si>
    <t>Place filled buckets on single layer on pallets</t>
  </si>
  <si>
    <t>Place pallets in freezer to chill</t>
  </si>
  <si>
    <t>Check in 1/2 hour for cooling, and if cooled put lids on buckets</t>
  </si>
  <si>
    <t>Restack buckets onto on pallet</t>
  </si>
  <si>
    <t>Place pallets back in freezer till ready for transfer</t>
  </si>
  <si>
    <t>Garlic Puree</t>
  </si>
  <si>
    <t>Ginger</t>
  </si>
  <si>
    <t>Batches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</si>
</sst>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6</xdr:col>
      <xdr:colOff>485775</xdr:colOff>
      <xdr:row>85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6544A6-28DF-2219-AC8D-841098823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068050"/>
          <a:ext cx="5362575" cy="6267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4BE6-CFE5-4105-A4BF-55F7401DAC99}">
  <dimension ref="A1:M52"/>
  <sheetViews>
    <sheetView tabSelected="1" workbookViewId="0">
      <selection activeCell="H29" sqref="H29"/>
    </sheetView>
  </sheetViews>
  <sheetFormatPr defaultRowHeight="15" x14ac:dyDescent="0.2"/>
  <cols>
    <col min="1" max="1" width="27.42578125" style="1" bestFit="1" customWidth="1"/>
    <col min="2" max="10" width="9.140625" style="1"/>
    <col min="11" max="11" width="29.42578125" style="1" customWidth="1"/>
    <col min="12" max="12" width="10.5703125" style="3" customWidth="1"/>
    <col min="13" max="13" width="9.5703125" style="3" bestFit="1" customWidth="1"/>
    <col min="14" max="16384" width="9.140625" style="1"/>
  </cols>
  <sheetData>
    <row r="1" spans="1:12" x14ac:dyDescent="0.2">
      <c r="A1" s="1" t="s">
        <v>0</v>
      </c>
    </row>
    <row r="2" spans="1:12" x14ac:dyDescent="0.2">
      <c r="A2" s="1" t="s">
        <v>1</v>
      </c>
    </row>
    <row r="4" spans="1:12" x14ac:dyDescent="0.2">
      <c r="A4" s="1" t="s">
        <v>7</v>
      </c>
      <c r="H4" s="1" t="s">
        <v>50</v>
      </c>
    </row>
    <row r="6" spans="1:12" ht="15.75" x14ac:dyDescent="0.25">
      <c r="A6" s="2" t="s">
        <v>2</v>
      </c>
      <c r="H6" s="4">
        <v>6</v>
      </c>
    </row>
    <row r="8" spans="1:12" x14ac:dyDescent="0.2">
      <c r="A8" s="1" t="s">
        <v>3</v>
      </c>
      <c r="C8" s="1">
        <v>28</v>
      </c>
      <c r="D8" s="1" t="s">
        <v>8</v>
      </c>
      <c r="H8" s="1">
        <f>$H$6*J8</f>
        <v>639.46800000000007</v>
      </c>
      <c r="J8" s="1">
        <v>106.57800000000002</v>
      </c>
      <c r="K8" s="1" t="str">
        <f>A8</f>
        <v>Water</v>
      </c>
      <c r="L8" s="3">
        <f>J8/$J$29</f>
        <v>0.39473333333333338</v>
      </c>
    </row>
    <row r="9" spans="1:12" x14ac:dyDescent="0.2">
      <c r="A9" s="1" t="s">
        <v>9</v>
      </c>
      <c r="C9" s="1">
        <v>10</v>
      </c>
      <c r="D9" s="1" t="s">
        <v>10</v>
      </c>
      <c r="H9" s="1">
        <f t="shared" ref="H9:H29" si="0">$H$6*J9</f>
        <v>60</v>
      </c>
      <c r="J9" s="1">
        <v>10</v>
      </c>
      <c r="K9" s="1" t="str">
        <f t="shared" ref="K9:K28" si="1">A9</f>
        <v>Oil</v>
      </c>
      <c r="L9" s="3">
        <f>J9/$J$29</f>
        <v>3.7037037037037035E-2</v>
      </c>
    </row>
    <row r="10" spans="1:12" x14ac:dyDescent="0.2">
      <c r="A10" s="1" t="s">
        <v>49</v>
      </c>
      <c r="C10" s="1">
        <v>3.65</v>
      </c>
      <c r="D10" s="1" t="s">
        <v>10</v>
      </c>
      <c r="H10" s="1">
        <f t="shared" si="0"/>
        <v>21.9</v>
      </c>
      <c r="J10" s="1">
        <v>3.65</v>
      </c>
      <c r="K10" s="1" t="str">
        <f t="shared" si="1"/>
        <v>Ginger</v>
      </c>
      <c r="L10" s="3">
        <f>J10/$J$29</f>
        <v>1.3518518518518518E-2</v>
      </c>
    </row>
    <row r="11" spans="1:12" x14ac:dyDescent="0.2">
      <c r="A11" s="1" t="s">
        <v>48</v>
      </c>
      <c r="C11" s="1">
        <v>3.65</v>
      </c>
      <c r="D11" s="1" t="s">
        <v>10</v>
      </c>
      <c r="H11" s="1">
        <f t="shared" si="0"/>
        <v>21.9</v>
      </c>
      <c r="J11" s="1">
        <v>3.65</v>
      </c>
      <c r="K11" s="1" t="str">
        <f t="shared" si="1"/>
        <v>Garlic Puree</v>
      </c>
      <c r="L11" s="3">
        <f>J11/$J$29</f>
        <v>1.3518518518518518E-2</v>
      </c>
    </row>
    <row r="12" spans="1:12" x14ac:dyDescent="0.2">
      <c r="A12" s="1" t="s">
        <v>11</v>
      </c>
      <c r="C12" s="1">
        <v>0.1</v>
      </c>
      <c r="D12" s="1" t="s">
        <v>10</v>
      </c>
      <c r="H12" s="1">
        <f t="shared" si="0"/>
        <v>0.60000000000000009</v>
      </c>
      <c r="J12" s="1">
        <v>0.1</v>
      </c>
      <c r="K12" s="1" t="str">
        <f t="shared" si="1"/>
        <v>Cinnamon Sticks</v>
      </c>
      <c r="L12" s="3">
        <f>J12/$J$29</f>
        <v>3.7037037037037041E-4</v>
      </c>
    </row>
    <row r="13" spans="1:12" x14ac:dyDescent="0.2">
      <c r="A13" s="1" t="s">
        <v>12</v>
      </c>
      <c r="C13" s="1">
        <v>0.15</v>
      </c>
      <c r="D13" s="1" t="s">
        <v>10</v>
      </c>
      <c r="H13" s="1">
        <f t="shared" si="0"/>
        <v>0.89999999999999991</v>
      </c>
      <c r="J13" s="1">
        <v>0.15</v>
      </c>
      <c r="K13" s="1" t="str">
        <f t="shared" si="1"/>
        <v>Anise</v>
      </c>
      <c r="L13" s="3">
        <f>J13/$J$29</f>
        <v>5.5555555555555556E-4</v>
      </c>
    </row>
    <row r="14" spans="1:12" x14ac:dyDescent="0.2">
      <c r="A14" s="1" t="s">
        <v>13</v>
      </c>
      <c r="C14" s="1">
        <v>0.38</v>
      </c>
      <c r="D14" s="1" t="s">
        <v>10</v>
      </c>
      <c r="H14" s="1">
        <f t="shared" si="0"/>
        <v>2.2800000000000002</v>
      </c>
      <c r="J14" s="1">
        <v>0.38</v>
      </c>
      <c r="K14" s="1" t="str">
        <f t="shared" si="1"/>
        <v>Cumin, Whole</v>
      </c>
      <c r="L14" s="3">
        <f>J14/$J$29</f>
        <v>1.4074074074074073E-3</v>
      </c>
    </row>
    <row r="15" spans="1:12" x14ac:dyDescent="0.2">
      <c r="A15" s="1" t="s">
        <v>14</v>
      </c>
      <c r="C15" s="1">
        <v>8</v>
      </c>
      <c r="D15" s="1" t="s">
        <v>15</v>
      </c>
      <c r="H15" s="1">
        <f t="shared" si="0"/>
        <v>1.2E-2</v>
      </c>
      <c r="J15" s="1">
        <v>2E-3</v>
      </c>
      <c r="K15" s="1" t="str">
        <f t="shared" si="1"/>
        <v>Bay Leaves</v>
      </c>
      <c r="L15" s="3">
        <f>J15/$J$29</f>
        <v>7.4074074074074075E-6</v>
      </c>
    </row>
    <row r="16" spans="1:12" x14ac:dyDescent="0.2">
      <c r="A16" s="1" t="s">
        <v>16</v>
      </c>
      <c r="C16" s="1">
        <v>0.39</v>
      </c>
      <c r="D16" s="1" t="s">
        <v>10</v>
      </c>
      <c r="H16" s="1">
        <f t="shared" si="0"/>
        <v>2.34</v>
      </c>
      <c r="J16" s="1">
        <v>0.39</v>
      </c>
      <c r="K16" s="1" t="str">
        <f t="shared" si="1"/>
        <v>Fenu Greek Leaves</v>
      </c>
      <c r="L16" s="3">
        <f>J16/$J$29</f>
        <v>1.4444444444444446E-3</v>
      </c>
    </row>
    <row r="17" spans="1:12" x14ac:dyDescent="0.2">
      <c r="A17" s="1" t="s">
        <v>17</v>
      </c>
      <c r="C17" s="1">
        <v>83.2</v>
      </c>
      <c r="D17" s="1" t="s">
        <v>10</v>
      </c>
      <c r="H17" s="1">
        <f t="shared" si="0"/>
        <v>499.20000000000005</v>
      </c>
      <c r="J17" s="1">
        <v>83.2</v>
      </c>
      <c r="K17" s="1" t="str">
        <f t="shared" si="1"/>
        <v>Tomato Paste</v>
      </c>
      <c r="L17" s="3">
        <f>J17/$J$29</f>
        <v>0.30814814814814817</v>
      </c>
    </row>
    <row r="18" spans="1:12" x14ac:dyDescent="0.2">
      <c r="A18" s="1" t="s">
        <v>18</v>
      </c>
      <c r="C18" s="1">
        <v>7</v>
      </c>
      <c r="D18" s="1" t="s">
        <v>10</v>
      </c>
      <c r="H18" s="1">
        <f t="shared" si="0"/>
        <v>42</v>
      </c>
      <c r="J18" s="1">
        <v>7</v>
      </c>
      <c r="K18" s="1" t="str">
        <f t="shared" si="1"/>
        <v>Sugar</v>
      </c>
      <c r="L18" s="3">
        <f>J18/$J$29</f>
        <v>2.5925925925925925E-2</v>
      </c>
    </row>
    <row r="19" spans="1:12" x14ac:dyDescent="0.2">
      <c r="A19" s="1" t="s">
        <v>19</v>
      </c>
      <c r="C19" s="1">
        <v>2.5</v>
      </c>
      <c r="D19" s="1" t="s">
        <v>10</v>
      </c>
      <c r="H19" s="1">
        <f t="shared" si="0"/>
        <v>15</v>
      </c>
      <c r="J19" s="1">
        <v>2.5</v>
      </c>
      <c r="K19" s="1" t="str">
        <f t="shared" si="1"/>
        <v>Salt</v>
      </c>
      <c r="L19" s="3">
        <f>J19/$J$29</f>
        <v>9.2592592592592587E-3</v>
      </c>
    </row>
    <row r="20" spans="1:12" x14ac:dyDescent="0.2">
      <c r="A20" s="1" t="s">
        <v>20</v>
      </c>
      <c r="C20" s="1">
        <v>0.67</v>
      </c>
      <c r="D20" s="1" t="s">
        <v>10</v>
      </c>
      <c r="H20" s="1">
        <f t="shared" si="0"/>
        <v>4.0200000000000005</v>
      </c>
      <c r="J20" s="1">
        <v>0.67</v>
      </c>
      <c r="K20" s="1" t="str">
        <f t="shared" si="1"/>
        <v>Cumin, Ground</v>
      </c>
      <c r="L20" s="3">
        <f>J20/$J$29</f>
        <v>2.4814814814814816E-3</v>
      </c>
    </row>
    <row r="21" spans="1:12" x14ac:dyDescent="0.2">
      <c r="A21" s="1" t="s">
        <v>21</v>
      </c>
      <c r="C21" s="1">
        <v>0.67</v>
      </c>
      <c r="D21" s="1" t="s">
        <v>10</v>
      </c>
      <c r="H21" s="1">
        <f t="shared" si="0"/>
        <v>4.0200000000000005</v>
      </c>
      <c r="J21" s="1">
        <v>0.67</v>
      </c>
      <c r="K21" s="1" t="str">
        <f t="shared" si="1"/>
        <v>Corrrander Powder</v>
      </c>
      <c r="L21" s="3">
        <f>J21/$J$29</f>
        <v>2.4814814814814816E-3</v>
      </c>
    </row>
    <row r="22" spans="1:12" x14ac:dyDescent="0.2">
      <c r="A22" s="1" t="s">
        <v>22</v>
      </c>
      <c r="C22" s="1">
        <v>1</v>
      </c>
      <c r="D22" s="1" t="s">
        <v>10</v>
      </c>
      <c r="H22" s="1">
        <f t="shared" si="0"/>
        <v>6</v>
      </c>
      <c r="J22" s="1">
        <v>1</v>
      </c>
      <c r="K22" s="1" t="str">
        <f t="shared" si="1"/>
        <v>Chili Powder</v>
      </c>
      <c r="L22" s="3">
        <f>J22/$J$29</f>
        <v>3.7037037037037038E-3</v>
      </c>
    </row>
    <row r="23" spans="1:12" x14ac:dyDescent="0.2">
      <c r="A23" s="1" t="s">
        <v>23</v>
      </c>
      <c r="C23" s="1">
        <v>7.0000000000000007E-2</v>
      </c>
      <c r="D23" s="1" t="s">
        <v>10</v>
      </c>
      <c r="H23" s="1">
        <f t="shared" si="0"/>
        <v>0.42000000000000004</v>
      </c>
      <c r="J23" s="1">
        <v>7.0000000000000007E-2</v>
      </c>
      <c r="K23" s="1" t="str">
        <f t="shared" si="1"/>
        <v>Green Cardamon Powder</v>
      </c>
      <c r="L23" s="3">
        <f>J23/$J$29</f>
        <v>2.5925925925925926E-4</v>
      </c>
    </row>
    <row r="24" spans="1:12" x14ac:dyDescent="0.2">
      <c r="A24" s="1" t="s">
        <v>24</v>
      </c>
      <c r="C24" s="1">
        <v>0.67</v>
      </c>
      <c r="D24" s="1" t="s">
        <v>10</v>
      </c>
      <c r="H24" s="1">
        <f t="shared" si="0"/>
        <v>4.0200000000000005</v>
      </c>
      <c r="J24" s="1">
        <v>0.67</v>
      </c>
      <c r="K24" s="1" t="str">
        <f t="shared" si="1"/>
        <v>Gara Masalla Powder</v>
      </c>
      <c r="L24" s="3">
        <f>J24/$J$29</f>
        <v>2.4814814814814816E-3</v>
      </c>
    </row>
    <row r="25" spans="1:12" x14ac:dyDescent="0.2">
      <c r="A25" s="1" t="s">
        <v>25</v>
      </c>
      <c r="C25" s="1">
        <v>1</v>
      </c>
      <c r="D25" s="1" t="s">
        <v>10</v>
      </c>
      <c r="H25" s="1">
        <f t="shared" si="0"/>
        <v>6</v>
      </c>
      <c r="J25" s="1">
        <v>1</v>
      </c>
      <c r="K25" s="1" t="str">
        <f t="shared" si="1"/>
        <v>Paprika</v>
      </c>
      <c r="L25" s="3">
        <f>J25/$J$29</f>
        <v>3.7037037037037038E-3</v>
      </c>
    </row>
    <row r="26" spans="1:12" x14ac:dyDescent="0.2">
      <c r="A26" s="1" t="s">
        <v>26</v>
      </c>
      <c r="C26" s="1">
        <v>0.08</v>
      </c>
      <c r="D26" s="1" t="s">
        <v>10</v>
      </c>
      <c r="H26" s="1">
        <f t="shared" si="0"/>
        <v>0.48</v>
      </c>
      <c r="J26" s="1">
        <v>0.08</v>
      </c>
      <c r="K26" s="1" t="str">
        <f t="shared" si="1"/>
        <v>Cloves, Whole</v>
      </c>
      <c r="L26" s="3">
        <f>J26/$J$29</f>
        <v>2.9629629629629629E-4</v>
      </c>
    </row>
    <row r="27" spans="1:12" x14ac:dyDescent="0.2">
      <c r="A27" s="1" t="s">
        <v>27</v>
      </c>
      <c r="C27" s="1">
        <v>32</v>
      </c>
      <c r="D27" s="1" t="s">
        <v>8</v>
      </c>
      <c r="H27" s="1">
        <f t="shared" si="0"/>
        <v>288</v>
      </c>
      <c r="J27" s="1">
        <v>48</v>
      </c>
      <c r="K27" s="1" t="str">
        <f t="shared" si="1"/>
        <v>Heavy Cream</v>
      </c>
      <c r="L27" s="3">
        <f>J27/$J$29</f>
        <v>0.17777777777777778</v>
      </c>
    </row>
    <row r="28" spans="1:12" x14ac:dyDescent="0.2">
      <c r="A28" s="1" t="s">
        <v>28</v>
      </c>
      <c r="C28" s="1">
        <v>0.24</v>
      </c>
      <c r="D28" s="1" t="s">
        <v>10</v>
      </c>
      <c r="H28" s="1">
        <f t="shared" si="0"/>
        <v>1.44</v>
      </c>
      <c r="J28" s="1">
        <v>0.24</v>
      </c>
      <c r="K28" s="1" t="str">
        <f t="shared" si="1"/>
        <v>Black Pepper Powder</v>
      </c>
      <c r="L28" s="3">
        <f>J28/$J$29</f>
        <v>8.8888888888888882E-4</v>
      </c>
    </row>
    <row r="29" spans="1:12" x14ac:dyDescent="0.2">
      <c r="H29" s="1">
        <f t="shared" si="0"/>
        <v>1620</v>
      </c>
      <c r="J29" s="1">
        <f>SUM(J8:J28)</f>
        <v>270</v>
      </c>
      <c r="L29" s="3">
        <f>SUM(L8:L28)</f>
        <v>1.0000000000000002</v>
      </c>
    </row>
    <row r="30" spans="1:12" ht="15.75" x14ac:dyDescent="0.25">
      <c r="A30" s="2" t="s">
        <v>4</v>
      </c>
    </row>
    <row r="31" spans="1:12" x14ac:dyDescent="0.2">
      <c r="A31" s="1" t="s">
        <v>29</v>
      </c>
    </row>
    <row r="32" spans="1:12" x14ac:dyDescent="0.2">
      <c r="A32" s="1" t="s">
        <v>5</v>
      </c>
    </row>
    <row r="33" spans="1:7" x14ac:dyDescent="0.2">
      <c r="A33" s="1" t="s">
        <v>30</v>
      </c>
    </row>
    <row r="34" spans="1:7" ht="30" customHeight="1" x14ac:dyDescent="0.2">
      <c r="A34" s="5" t="s">
        <v>31</v>
      </c>
      <c r="B34" s="5"/>
      <c r="C34" s="5"/>
      <c r="D34" s="5"/>
      <c r="E34" s="5"/>
      <c r="F34" s="5"/>
      <c r="G34" s="5"/>
    </row>
    <row r="35" spans="1:7" x14ac:dyDescent="0.2">
      <c r="A35" s="1" t="s">
        <v>32</v>
      </c>
    </row>
    <row r="36" spans="1:7" x14ac:dyDescent="0.2">
      <c r="A36" s="1" t="s">
        <v>33</v>
      </c>
    </row>
    <row r="37" spans="1:7" ht="30" customHeight="1" x14ac:dyDescent="0.2">
      <c r="A37" s="5" t="s">
        <v>34</v>
      </c>
      <c r="B37" s="5"/>
      <c r="C37" s="5"/>
      <c r="D37" s="5"/>
      <c r="E37" s="5"/>
      <c r="F37" s="5"/>
      <c r="G37" s="5"/>
    </row>
    <row r="38" spans="1:7" x14ac:dyDescent="0.2">
      <c r="A38" s="1" t="s">
        <v>35</v>
      </c>
    </row>
    <row r="39" spans="1:7" ht="30" customHeight="1" x14ac:dyDescent="0.2">
      <c r="A39" s="5" t="s">
        <v>36</v>
      </c>
      <c r="B39" s="5"/>
      <c r="C39" s="5"/>
      <c r="D39" s="5"/>
      <c r="E39" s="5"/>
      <c r="F39" s="5"/>
      <c r="G39" s="5"/>
    </row>
    <row r="40" spans="1:7" x14ac:dyDescent="0.2">
      <c r="A40" s="1" t="s">
        <v>37</v>
      </c>
    </row>
    <row r="41" spans="1:7" x14ac:dyDescent="0.2">
      <c r="A41" s="1" t="s">
        <v>38</v>
      </c>
    </row>
    <row r="42" spans="1:7" ht="30" customHeight="1" x14ac:dyDescent="0.2">
      <c r="A42" s="5" t="s">
        <v>39</v>
      </c>
      <c r="B42" s="5"/>
      <c r="C42" s="5"/>
      <c r="D42" s="5"/>
      <c r="E42" s="5"/>
      <c r="F42" s="5"/>
      <c r="G42" s="5"/>
    </row>
    <row r="43" spans="1:7" x14ac:dyDescent="0.2">
      <c r="A43" s="1" t="s">
        <v>40</v>
      </c>
    </row>
    <row r="44" spans="1:7" x14ac:dyDescent="0.2">
      <c r="A44" s="1" t="s">
        <v>41</v>
      </c>
    </row>
    <row r="45" spans="1:7" x14ac:dyDescent="0.2">
      <c r="A45" s="1" t="s">
        <v>42</v>
      </c>
    </row>
    <row r="46" spans="1:7" x14ac:dyDescent="0.2">
      <c r="A46" s="1" t="s">
        <v>43</v>
      </c>
    </row>
    <row r="47" spans="1:7" x14ac:dyDescent="0.2">
      <c r="A47" s="1" t="s">
        <v>44</v>
      </c>
    </row>
    <row r="48" spans="1:7" x14ac:dyDescent="0.2">
      <c r="A48" s="1" t="s">
        <v>45</v>
      </c>
    </row>
    <row r="49" spans="1:1" x14ac:dyDescent="0.2">
      <c r="A49" s="1" t="s">
        <v>46</v>
      </c>
    </row>
    <row r="50" spans="1:1" x14ac:dyDescent="0.2">
      <c r="A50" s="1" t="s">
        <v>47</v>
      </c>
    </row>
    <row r="52" spans="1:1" x14ac:dyDescent="0.2">
      <c r="A52" s="1" t="s">
        <v>6</v>
      </c>
    </row>
  </sheetData>
  <mergeCells count="4">
    <mergeCell ref="A34:G34"/>
    <mergeCell ref="A37:G37"/>
    <mergeCell ref="A39:G39"/>
    <mergeCell ref="A42:G42"/>
  </mergeCells>
  <pageMargins left="0.7" right="0.7" top="0.75" bottom="0.75" header="0.3" footer="0.3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Ard</dc:creator>
  <cp:lastModifiedBy>Shannon Huskey</cp:lastModifiedBy>
  <cp:lastPrinted>2025-02-06T20:17:33Z</cp:lastPrinted>
  <dcterms:created xsi:type="dcterms:W3CDTF">2024-06-11T16:17:04Z</dcterms:created>
  <dcterms:modified xsi:type="dcterms:W3CDTF">2025-02-18T22:38:13Z</dcterms:modified>
</cp:coreProperties>
</file>