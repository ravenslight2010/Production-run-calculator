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058C22EF-0C2A-4A48-B0EE-DE2922A673BC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F59" i="1" l="1"/>
  <c r="F54" i="1"/>
  <c r="F58" i="1"/>
  <c r="F57" i="1"/>
  <c r="F56" i="1"/>
  <c r="F48" i="1"/>
  <c r="F55" i="1"/>
  <c r="F52" i="1"/>
  <c r="F49" i="1"/>
  <c r="F50" i="1"/>
  <c r="F53" i="1"/>
  <c r="F51" i="1"/>
</calcChain>
</file>

<file path=xl/sharedStrings.xml><?xml version="1.0" encoding="utf-8"?>
<sst xmlns="http://schemas.openxmlformats.org/spreadsheetml/2006/main" count="64" uniqueCount="63">
  <si>
    <t>CRB DOUGH</t>
  </si>
  <si>
    <t>Costco: All</t>
  </si>
  <si>
    <t>Corner Booth: All</t>
  </si>
  <si>
    <t>Lowe's CRB: Californian, Grilled Vegetable, Pepperoni, Five Cheese, BBQ Chicken, White Spinach</t>
  </si>
  <si>
    <t>Lucia's New &amp; Improved: All</t>
  </si>
  <si>
    <t>SMD CRB: All</t>
  </si>
  <si>
    <t>LBS.</t>
  </si>
  <si>
    <t xml:space="preserve">ADM WHEAT FLOUR </t>
  </si>
  <si>
    <t xml:space="preserve">WATER  </t>
  </si>
  <si>
    <t>*Make sure you are using correct Lowe's recipe*</t>
  </si>
  <si>
    <t>SUNFLOWER OIL</t>
  </si>
  <si>
    <t>FRESH COMPRESSED YEAST</t>
  </si>
  <si>
    <t>HONEY</t>
  </si>
  <si>
    <t>SALT</t>
  </si>
  <si>
    <t>GARLIC POWDER</t>
  </si>
  <si>
    <t>TOTAL</t>
  </si>
  <si>
    <t>All Ingredients are to be weighed, not measured in cups</t>
  </si>
  <si>
    <t>1. SET WATER TO 97.4 LBS &amp; TEMP TO 115</t>
  </si>
  <si>
    <t>2. SET MIXER LOW TO 225 TIME, 75 SPIRAL RPM &amp; -8 BOWL RPM</t>
  </si>
  <si>
    <t>3. SET MIXER HIGH TO 165 TIME, 240 SPIRAL RPM &amp; 20 BOWL RPM</t>
  </si>
  <si>
    <t xml:space="preserve">4. REMOVE OUTER LAYER OF 4 - 50 LB BAGS OF ADM WHEAT FLOUR, OPEN AND ADD TO MIXING BOWL </t>
  </si>
  <si>
    <t>5. MEASURE AND ADD 3 LBS OF FRESH COMPRESSED YEAST *KEEP SEPERATE FROM OTHER INGREDIENTS*</t>
  </si>
  <si>
    <t>6. MEASURE AND ADD 1 LB OF SALT</t>
  </si>
  <si>
    <t>7. MEASURE AND ADD 0.5 LBS OF GARLIC POWDER</t>
  </si>
  <si>
    <t>9. PLACE BOWL INTO MIXER AND LOCK IT IN</t>
  </si>
  <si>
    <t>10. CLOSE MIXING BOWL LID</t>
  </si>
  <si>
    <t>11. START MIXER</t>
  </si>
  <si>
    <t>12. ADD WATER</t>
  </si>
  <si>
    <t>13. WITH 30SEC OR LESS LEFT ON HIGH, DRIZZLE OIL INTO THE BOWL NEAR THE EDGE</t>
  </si>
  <si>
    <t>Scale must be set on oz. (not ozt.) prior to weighing out dough balls</t>
  </si>
  <si>
    <t>OZ.</t>
  </si>
  <si>
    <t xml:space="preserve"> YIELD</t>
  </si>
  <si>
    <t>PER TRAY</t>
  </si>
  <si>
    <t>Costco</t>
  </si>
  <si>
    <t>Hannaford, Lowe's, &amp; SMD</t>
  </si>
  <si>
    <t>Corner Booth</t>
  </si>
  <si>
    <r>
      <t xml:space="preserve">Four Hands CRB </t>
    </r>
    <r>
      <rPr>
        <b/>
        <sz val="11"/>
        <color theme="1"/>
        <rFont val="Calibri"/>
        <family val="2"/>
      </rPr>
      <t xml:space="preserve">Heavy </t>
    </r>
  </si>
  <si>
    <r>
      <t xml:space="preserve">Lowe's CRB </t>
    </r>
    <r>
      <rPr>
        <b/>
        <sz val="11"/>
        <color theme="1"/>
        <rFont val="Calibri"/>
        <family val="2"/>
      </rPr>
      <t>Heavier</t>
    </r>
  </si>
  <si>
    <t>Acceptable range on dougballs is -0.1oz/+0.25</t>
  </si>
  <si>
    <t>*Trays must be oiled piror to doughballs being placed on them</t>
  </si>
  <si>
    <t>8. MEASURE &amp; ADD 16 LBS SUNFLOWER OIL &amp; 2 LBS HONEY</t>
  </si>
  <si>
    <t xml:space="preserve">*10 min after dough is divided, check temp and adust water temp and mixer high to get </t>
  </si>
  <si>
    <t>doughballs around 95-100°</t>
  </si>
  <si>
    <r>
      <t xml:space="preserve">Lucia's &amp; Hannaford Craft CRB </t>
    </r>
    <r>
      <rPr>
        <b/>
        <sz val="11"/>
        <color theme="1"/>
        <rFont val="Calibri"/>
        <family val="2"/>
      </rPr>
      <t xml:space="preserve">Thick </t>
    </r>
  </si>
  <si>
    <t>Lowe's 7": All</t>
  </si>
  <si>
    <t>Lowe's 7 Inch</t>
  </si>
  <si>
    <t>Basha's Original: All</t>
  </si>
  <si>
    <r>
      <t xml:space="preserve">Nob Hill Craft </t>
    </r>
    <r>
      <rPr>
        <b/>
        <sz val="11"/>
        <color theme="1"/>
        <rFont val="Calibri"/>
        <family val="2"/>
        <scheme val="minor"/>
      </rPr>
      <t>Heavy Plus</t>
    </r>
  </si>
  <si>
    <r>
      <t xml:space="preserve">Nob Hill Craft CRB </t>
    </r>
    <r>
      <rPr>
        <b/>
        <sz val="12"/>
        <color theme="1"/>
        <rFont val="Calibri"/>
        <family val="2"/>
        <scheme val="minor"/>
      </rPr>
      <t>Heavy Plus</t>
    </r>
    <r>
      <rPr>
        <sz val="12"/>
        <color theme="1"/>
        <rFont val="Calibri"/>
        <family val="2"/>
        <scheme val="minor"/>
      </rPr>
      <t xml:space="preserve">: Caribbean </t>
    </r>
  </si>
  <si>
    <t>7'' FSD</t>
  </si>
  <si>
    <t>FSD 7'' CRB: Cheese, M/L, Pepperoni</t>
  </si>
  <si>
    <r>
      <t xml:space="preserve">Hannaford CRB </t>
    </r>
    <r>
      <rPr>
        <b/>
        <sz val="12"/>
        <color theme="1"/>
        <rFont val="Calibri"/>
        <family val="2"/>
        <scheme val="minor"/>
      </rPr>
      <t>Thick:</t>
    </r>
    <r>
      <rPr>
        <sz val="12"/>
        <color theme="1"/>
        <rFont val="Calibri"/>
        <family val="2"/>
        <scheme val="minor"/>
      </rPr>
      <t xml:space="preserve"> Chicken Bacon Club</t>
    </r>
  </si>
  <si>
    <r>
      <t>Lowe's CRB</t>
    </r>
    <r>
      <rPr>
        <b/>
        <sz val="12"/>
        <color theme="1"/>
        <rFont val="Calibri"/>
        <family val="2"/>
        <scheme val="minor"/>
      </rPr>
      <t xml:space="preserve"> Heavier: </t>
    </r>
    <r>
      <rPr>
        <sz val="12"/>
        <color theme="1"/>
        <rFont val="Calibri"/>
        <family val="2"/>
        <scheme val="minor"/>
      </rPr>
      <t>Spinach Mushroom</t>
    </r>
  </si>
  <si>
    <r>
      <t xml:space="preserve">Hannaford, Lowe's &amp; Lucia's Craft CRB </t>
    </r>
    <r>
      <rPr>
        <b/>
        <sz val="11"/>
        <color theme="1"/>
        <rFont val="Calibri"/>
        <family val="2"/>
      </rPr>
      <t>Heavy Plus</t>
    </r>
  </si>
  <si>
    <r>
      <t xml:space="preserve">Hannaford CRB </t>
    </r>
    <r>
      <rPr>
        <b/>
        <sz val="12"/>
        <color theme="1"/>
        <rFont val="Calibri"/>
        <family val="2"/>
        <scheme val="minor"/>
      </rPr>
      <t>Heavy Plus</t>
    </r>
    <r>
      <rPr>
        <sz val="12"/>
        <color theme="1"/>
        <rFont val="Calibri"/>
        <family val="2"/>
        <scheme val="minor"/>
      </rPr>
      <t xml:space="preserve">: Spicy 4 Cheese, Spinach Goat Cheese </t>
    </r>
  </si>
  <si>
    <t>Hannaford CRB: Five Cheese, BBQ Chicken</t>
  </si>
  <si>
    <t>Basha's Original, Lucia's New &amp; Improved</t>
  </si>
  <si>
    <t>07/21/2026  Rev. 39</t>
  </si>
  <si>
    <r>
      <t>Lucia's Craft CRB</t>
    </r>
    <r>
      <rPr>
        <b/>
        <sz val="12"/>
        <color theme="1"/>
        <rFont val="Calibri"/>
        <family val="2"/>
        <scheme val="minor"/>
      </rPr>
      <t xml:space="preserve"> Ultra Thin: </t>
    </r>
    <r>
      <rPr>
        <sz val="12"/>
        <color theme="1"/>
        <rFont val="Calibri"/>
        <family val="2"/>
        <scheme val="minor"/>
      </rPr>
      <t xml:space="preserve">Sweet Chili Garden, Backyard BBQ Chicken </t>
    </r>
  </si>
  <si>
    <r>
      <t xml:space="preserve">Basha's </t>
    </r>
    <r>
      <rPr>
        <b/>
        <sz val="12"/>
        <color theme="1"/>
        <rFont val="Calibri"/>
        <family val="2"/>
        <scheme val="minor"/>
      </rPr>
      <t>Ultra Thin</t>
    </r>
    <r>
      <rPr>
        <sz val="12"/>
        <color theme="1"/>
        <rFont val="Calibri"/>
        <family val="2"/>
        <scheme val="minor"/>
      </rPr>
      <t>: All</t>
    </r>
  </si>
  <si>
    <r>
      <t>Lowe's  CRB</t>
    </r>
    <r>
      <rPr>
        <b/>
        <sz val="12"/>
        <color theme="1"/>
        <rFont val="Calibri"/>
        <family val="2"/>
        <scheme val="minor"/>
      </rPr>
      <t xml:space="preserve"> Heavy Plus: </t>
    </r>
    <r>
      <rPr>
        <sz val="12"/>
        <color theme="1"/>
        <rFont val="Calibri"/>
        <family val="2"/>
        <scheme val="minor"/>
      </rPr>
      <t>Caribbean</t>
    </r>
  </si>
  <si>
    <r>
      <t xml:space="preserve">Lucia's Craft CRB </t>
    </r>
    <r>
      <rPr>
        <b/>
        <sz val="12"/>
        <color theme="1"/>
        <rFont val="Calibri"/>
        <family val="2"/>
        <scheme val="minor"/>
      </rPr>
      <t xml:space="preserve">Heavy Plus: </t>
    </r>
    <r>
      <rPr>
        <sz val="12"/>
        <color theme="1"/>
        <rFont val="Calibri"/>
        <family val="2"/>
        <scheme val="minor"/>
      </rPr>
      <t>Four Cheese Meltdown</t>
    </r>
  </si>
  <si>
    <r>
      <t xml:space="preserve">Craft, Basha's </t>
    </r>
    <r>
      <rPr>
        <b/>
        <sz val="11"/>
        <color theme="1"/>
        <rFont val="Calibri"/>
        <family val="2"/>
        <scheme val="minor"/>
      </rPr>
      <t>Ultra Thin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</si>
</sst>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4" fillId="0" borderId="3" xfId="0" applyFont="1" applyBorder="1" applyAlignment="1">
      <alignment horizontal="left" indent="4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4" fillId="2" borderId="11" xfId="0" applyFont="1" applyFill="1" applyBorder="1"/>
    <xf numFmtId="0" fontId="0" fillId="2" borderId="12" xfId="0" applyFill="1" applyBorder="1"/>
    <xf numFmtId="2" fontId="0" fillId="0" borderId="3" xfId="0" applyNumberFormat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4" xfId="0" applyFill="1" applyBorder="1" applyAlignment="1">
      <alignment horizontal="right"/>
    </xf>
    <xf numFmtId="0" fontId="7" fillId="3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1" xfId="0" applyFill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7" fillId="3" borderId="33" xfId="0" applyFont="1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7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2" fontId="0" fillId="3" borderId="29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4" borderId="19" xfId="0" applyFill="1" applyBorder="1"/>
    <xf numFmtId="0" fontId="0" fillId="4" borderId="15" xfId="0" applyFill="1" applyBorder="1" applyAlignment="1">
      <alignment horizontal="right"/>
    </xf>
    <xf numFmtId="0" fontId="7" fillId="4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2" fontId="0" fillId="4" borderId="15" xfId="0" applyNumberForma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0" borderId="26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3" xfId="0" applyBorder="1"/>
    <xf numFmtId="0" fontId="0" fillId="0" borderId="24" xfId="0" applyBorder="1"/>
    <xf numFmtId="0" fontId="0" fillId="0" borderId="18" xfId="0" applyBorder="1" applyAlignment="1">
      <alignment horizontal="right"/>
    </xf>
    <xf numFmtId="0" fontId="0" fillId="0" borderId="13" xfId="0" applyBorder="1" applyAlignment="1">
      <alignment horizontal="right"/>
    </xf>
    <xf numFmtId="0" fontId="7" fillId="0" borderId="0" xfId="0" applyFont="1" applyAlignment="1">
      <alignment horizontal="center"/>
    </xf>
    <xf numFmtId="0" fontId="0" fillId="3" borderId="16" xfId="0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3" borderId="31" xfId="0" applyFill="1" applyBorder="1" applyAlignment="1">
      <alignment horizontal="right"/>
    </xf>
    <xf numFmtId="0" fontId="0" fillId="3" borderId="32" xfId="0" applyFill="1" applyBorder="1" applyAlignment="1">
      <alignment horizontal="right"/>
    </xf>
    <xf numFmtId="0" fontId="0" fillId="4" borderId="35" xfId="0" applyFill="1" applyBorder="1" applyAlignment="1">
      <alignment horizontal="right"/>
    </xf>
    <xf numFmtId="0" fontId="0" fillId="4" borderId="36" xfId="0" applyFill="1" applyBorder="1" applyAlignment="1">
      <alignment horizontal="right"/>
    </xf>
    <xf numFmtId="0" fontId="0" fillId="3" borderId="35" xfId="0" applyFill="1" applyBorder="1" applyAlignment="1">
      <alignment horizontal="right"/>
    </xf>
    <xf numFmtId="0" fontId="0" fillId="3" borderId="36" xfId="0" applyFill="1" applyBorder="1" applyAlignment="1">
      <alignment horizontal="right"/>
    </xf>
    <xf numFmtId="0" fontId="0" fillId="3" borderId="18" xfId="0" applyFill="1" applyBorder="1" applyAlignment="1">
      <alignment horizontal="right" wrapText="1"/>
    </xf>
    <xf numFmtId="0" fontId="0" fillId="3" borderId="13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64"/>
  <sheetViews>
    <sheetView tabSelected="1" zoomScale="110" zoomScaleNormal="110" workbookViewId="0">
      <selection activeCell="N51" sqref="N51"/>
    </sheetView>
  </sheetViews>
  <sheetFormatPr defaultRowHeight="15" x14ac:dyDescent="0.25"/>
  <cols>
    <col min="1" max="1" width="7.28515625" customWidth="1"/>
    <col min="2" max="2" width="25.28515625" customWidth="1"/>
    <col min="3" max="3" width="19.140625" customWidth="1"/>
    <col min="4" max="4" width="11.85546875" customWidth="1"/>
    <col min="5" max="5" width="9.7109375" bestFit="1" customWidth="1"/>
    <col min="6" max="6" width="10.42578125" customWidth="1"/>
    <col min="7" max="7" width="9.42578125" customWidth="1"/>
    <col min="8" max="8" width="8.7109375" customWidth="1"/>
    <col min="9" max="9" width="8.28515625" customWidth="1"/>
    <col min="10" max="10" width="9.5703125" customWidth="1"/>
  </cols>
  <sheetData>
    <row r="1" spans="2:9" ht="31.5" x14ac:dyDescent="0.5">
      <c r="B1" s="1" t="s">
        <v>0</v>
      </c>
      <c r="C1" s="1"/>
      <c r="D1" s="1"/>
      <c r="E1" s="1"/>
      <c r="F1" s="1"/>
      <c r="G1" s="1"/>
      <c r="H1" s="2" t="s">
        <v>57</v>
      </c>
      <c r="I1" s="1"/>
    </row>
    <row r="2" spans="2:9" ht="15.75" customHeight="1" x14ac:dyDescent="0.25">
      <c r="B2" s="49" t="s">
        <v>46</v>
      </c>
      <c r="C2" s="50"/>
      <c r="D2" s="50"/>
      <c r="E2" s="50"/>
      <c r="F2" s="50"/>
      <c r="G2" s="50"/>
      <c r="H2" s="52"/>
      <c r="I2" s="50"/>
    </row>
    <row r="3" spans="2:9" ht="15.75" customHeight="1" x14ac:dyDescent="0.25">
      <c r="B3" s="49" t="s">
        <v>59</v>
      </c>
      <c r="C3" s="50"/>
      <c r="D3" s="50"/>
      <c r="E3" s="50"/>
      <c r="F3" s="50"/>
      <c r="G3" s="50"/>
      <c r="H3" s="52"/>
      <c r="I3" s="50"/>
    </row>
    <row r="4" spans="2:9" ht="15.75" customHeight="1" x14ac:dyDescent="0.25">
      <c r="B4" s="53" t="s">
        <v>1</v>
      </c>
      <c r="C4" s="51"/>
      <c r="D4" s="51"/>
      <c r="E4" s="51"/>
      <c r="F4" s="51"/>
      <c r="G4" s="51"/>
      <c r="H4" s="51"/>
      <c r="I4" s="51"/>
    </row>
    <row r="5" spans="2:9" ht="15.75" customHeight="1" x14ac:dyDescent="0.25">
      <c r="B5" s="3" t="s">
        <v>2</v>
      </c>
      <c r="C5" s="51"/>
      <c r="D5" s="51"/>
      <c r="E5" s="51"/>
      <c r="F5" s="51"/>
      <c r="G5" s="51"/>
      <c r="H5" s="51"/>
      <c r="I5" s="51"/>
    </row>
    <row r="6" spans="2:9" ht="15.75" customHeight="1" x14ac:dyDescent="0.25">
      <c r="B6" s="53" t="s">
        <v>50</v>
      </c>
      <c r="C6" s="53"/>
      <c r="D6" s="53"/>
      <c r="E6" s="53"/>
      <c r="F6" s="53"/>
      <c r="G6" s="50"/>
      <c r="H6" s="53"/>
      <c r="I6" s="53"/>
    </row>
    <row r="7" spans="2:9" ht="15.75" customHeight="1" x14ac:dyDescent="0.25">
      <c r="B7" s="53" t="s">
        <v>55</v>
      </c>
      <c r="C7" s="53"/>
      <c r="D7" s="53"/>
      <c r="E7" s="53"/>
      <c r="F7" s="53"/>
      <c r="G7" s="52"/>
      <c r="H7" s="52"/>
      <c r="I7" s="53"/>
    </row>
    <row r="8" spans="2:9" ht="15.75" customHeight="1" x14ac:dyDescent="0.25">
      <c r="B8" s="53" t="s">
        <v>54</v>
      </c>
      <c r="C8" s="53"/>
      <c r="D8" s="53"/>
      <c r="E8" s="53"/>
      <c r="F8" s="53"/>
      <c r="G8" s="52"/>
      <c r="H8" s="52"/>
      <c r="I8" s="53"/>
    </row>
    <row r="9" spans="2:9" ht="15.75" customHeight="1" x14ac:dyDescent="0.25">
      <c r="B9" s="54" t="s">
        <v>51</v>
      </c>
      <c r="C9" s="50"/>
      <c r="D9" s="53"/>
      <c r="E9" s="53"/>
      <c r="F9" s="53"/>
      <c r="G9" s="50"/>
      <c r="H9" s="53"/>
      <c r="I9" s="53"/>
    </row>
    <row r="10" spans="2:9" ht="15.75" customHeight="1" x14ac:dyDescent="0.25">
      <c r="B10" s="53" t="s">
        <v>3</v>
      </c>
      <c r="C10" s="53"/>
      <c r="D10" s="53"/>
      <c r="E10" s="53"/>
      <c r="F10" s="53"/>
      <c r="G10" s="50"/>
      <c r="H10" s="53"/>
      <c r="I10" s="53"/>
    </row>
    <row r="11" spans="2:9" ht="15.75" customHeight="1" x14ac:dyDescent="0.25">
      <c r="B11" s="54" t="s">
        <v>52</v>
      </c>
      <c r="C11" s="53"/>
      <c r="D11" s="53"/>
      <c r="E11" s="53"/>
      <c r="F11" s="53"/>
      <c r="G11" s="50"/>
      <c r="H11" s="53"/>
      <c r="I11" s="53"/>
    </row>
    <row r="12" spans="2:9" ht="15.75" customHeight="1" x14ac:dyDescent="0.25">
      <c r="B12" s="53" t="s">
        <v>60</v>
      </c>
      <c r="C12" s="53"/>
      <c r="D12" s="53"/>
      <c r="E12" s="53"/>
      <c r="F12" s="53"/>
      <c r="G12" s="50"/>
      <c r="H12" s="53"/>
      <c r="I12" s="53"/>
    </row>
    <row r="13" spans="2:9" ht="15.75" customHeight="1" x14ac:dyDescent="0.25">
      <c r="B13" s="53" t="s">
        <v>44</v>
      </c>
      <c r="C13" s="53"/>
      <c r="D13" s="53"/>
      <c r="E13" s="53"/>
      <c r="F13" s="53"/>
      <c r="G13" s="52"/>
      <c r="H13" s="52"/>
      <c r="I13" s="53"/>
    </row>
    <row r="14" spans="2:9" ht="15.75" customHeight="1" x14ac:dyDescent="0.25">
      <c r="B14" s="53" t="s">
        <v>58</v>
      </c>
      <c r="C14" s="53"/>
      <c r="D14" s="53"/>
      <c r="E14" s="53"/>
      <c r="F14" s="53"/>
      <c r="G14" s="52"/>
      <c r="H14" s="52"/>
      <c r="I14" s="53"/>
    </row>
    <row r="15" spans="2:9" ht="15.75" customHeight="1" x14ac:dyDescent="0.25">
      <c r="B15" s="4" t="s">
        <v>61</v>
      </c>
      <c r="C15" s="53"/>
      <c r="D15" s="53"/>
      <c r="E15" s="53"/>
      <c r="F15" s="53"/>
      <c r="G15" s="52"/>
      <c r="H15" s="52"/>
      <c r="I15" s="53"/>
    </row>
    <row r="16" spans="2:9" ht="15.75" customHeight="1" x14ac:dyDescent="0.25">
      <c r="B16" s="53" t="s">
        <v>4</v>
      </c>
      <c r="C16" s="53"/>
      <c r="D16" s="53"/>
      <c r="E16" s="53"/>
      <c r="F16" s="53"/>
      <c r="G16" s="52"/>
      <c r="H16" s="52"/>
      <c r="I16" s="53"/>
    </row>
    <row r="17" spans="2:9" ht="15.75" customHeight="1" x14ac:dyDescent="0.25">
      <c r="B17" s="53" t="s">
        <v>48</v>
      </c>
      <c r="C17" s="53"/>
      <c r="D17" s="53"/>
      <c r="E17" s="53"/>
      <c r="F17" s="53"/>
      <c r="G17" s="52"/>
      <c r="H17" s="52"/>
      <c r="I17" s="53"/>
    </row>
    <row r="18" spans="2:9" ht="15.75" customHeight="1" x14ac:dyDescent="0.25">
      <c r="B18" s="53" t="s">
        <v>5</v>
      </c>
      <c r="C18" s="50"/>
      <c r="D18" s="53"/>
      <c r="E18" s="53"/>
      <c r="F18" s="53"/>
      <c r="G18" s="53"/>
      <c r="H18" s="53"/>
      <c r="I18" s="53"/>
    </row>
    <row r="19" spans="2:9" ht="15.75" customHeight="1" thickBot="1" x14ac:dyDescent="0.4">
      <c r="B19" s="4"/>
      <c r="C19" s="5"/>
    </row>
    <row r="20" spans="2:9" ht="15.75" thickBot="1" x14ac:dyDescent="0.3">
      <c r="B20" s="6"/>
      <c r="C20" s="7"/>
      <c r="D20" s="8" t="s">
        <v>6</v>
      </c>
    </row>
    <row r="21" spans="2:9" x14ac:dyDescent="0.25">
      <c r="B21" s="9" t="s">
        <v>7</v>
      </c>
      <c r="C21" s="10"/>
      <c r="D21" s="11">
        <v>200</v>
      </c>
    </row>
    <row r="22" spans="2:9" x14ac:dyDescent="0.25">
      <c r="B22" s="12" t="s">
        <v>8</v>
      </c>
      <c r="C22" s="13"/>
      <c r="D22" s="14">
        <v>97.4</v>
      </c>
      <c r="G22" s="15" t="s">
        <v>9</v>
      </c>
    </row>
    <row r="23" spans="2:9" x14ac:dyDescent="0.25">
      <c r="B23" s="16" t="s">
        <v>10</v>
      </c>
      <c r="C23" s="17"/>
      <c r="D23" s="18">
        <v>16</v>
      </c>
    </row>
    <row r="24" spans="2:9" x14ac:dyDescent="0.25">
      <c r="B24" s="12" t="s">
        <v>11</v>
      </c>
      <c r="C24" s="13"/>
      <c r="D24" s="14">
        <v>3</v>
      </c>
    </row>
    <row r="25" spans="2:9" x14ac:dyDescent="0.25">
      <c r="B25" s="16" t="s">
        <v>12</v>
      </c>
      <c r="C25" s="17"/>
      <c r="D25" s="18">
        <v>2</v>
      </c>
    </row>
    <row r="26" spans="2:9" x14ac:dyDescent="0.25">
      <c r="B26" s="12" t="s">
        <v>13</v>
      </c>
      <c r="C26" s="13"/>
      <c r="D26" s="14">
        <v>1</v>
      </c>
    </row>
    <row r="27" spans="2:9" ht="15.75" thickBot="1" x14ac:dyDescent="0.3">
      <c r="B27" s="19" t="s">
        <v>14</v>
      </c>
      <c r="C27" s="20"/>
      <c r="D27" s="21">
        <v>0.5</v>
      </c>
    </row>
    <row r="28" spans="2:9" ht="15.75" thickBot="1" x14ac:dyDescent="0.3">
      <c r="B28" s="6" t="s">
        <v>15</v>
      </c>
      <c r="C28" s="7"/>
      <c r="D28" s="22">
        <f>SUM(D21:D27)</f>
        <v>319.89999999999998</v>
      </c>
    </row>
    <row r="30" spans="2:9" x14ac:dyDescent="0.25">
      <c r="B30" s="23" t="s">
        <v>16</v>
      </c>
    </row>
    <row r="31" spans="2:9" x14ac:dyDescent="0.25">
      <c r="B31" t="s">
        <v>17</v>
      </c>
    </row>
    <row r="32" spans="2:9" x14ac:dyDescent="0.25">
      <c r="B32" t="s">
        <v>18</v>
      </c>
    </row>
    <row r="33" spans="2:9" x14ac:dyDescent="0.25">
      <c r="B33" t="s">
        <v>19</v>
      </c>
    </row>
    <row r="34" spans="2:9" x14ac:dyDescent="0.25">
      <c r="B34" t="s">
        <v>20</v>
      </c>
    </row>
    <row r="35" spans="2:9" x14ac:dyDescent="0.25">
      <c r="B35" t="s">
        <v>21</v>
      </c>
    </row>
    <row r="36" spans="2:9" x14ac:dyDescent="0.25">
      <c r="B36" t="s">
        <v>22</v>
      </c>
    </row>
    <row r="37" spans="2:9" x14ac:dyDescent="0.25">
      <c r="B37" t="s">
        <v>23</v>
      </c>
    </row>
    <row r="38" spans="2:9" x14ac:dyDescent="0.25">
      <c r="B38" t="s">
        <v>40</v>
      </c>
    </row>
    <row r="39" spans="2:9" x14ac:dyDescent="0.25">
      <c r="B39" t="s">
        <v>24</v>
      </c>
    </row>
    <row r="40" spans="2:9" x14ac:dyDescent="0.25">
      <c r="B40" t="s">
        <v>25</v>
      </c>
    </row>
    <row r="41" spans="2:9" x14ac:dyDescent="0.25">
      <c r="B41" t="s">
        <v>26</v>
      </c>
    </row>
    <row r="42" spans="2:9" x14ac:dyDescent="0.25">
      <c r="B42" t="s">
        <v>27</v>
      </c>
    </row>
    <row r="43" spans="2:9" x14ac:dyDescent="0.25">
      <c r="B43" t="s">
        <v>28</v>
      </c>
    </row>
    <row r="45" spans="2:9" x14ac:dyDescent="0.25">
      <c r="B45" s="23" t="s">
        <v>29</v>
      </c>
    </row>
    <row r="46" spans="2:9" ht="15.75" thickBot="1" x14ac:dyDescent="0.3">
      <c r="B46" s="24"/>
      <c r="H46" s="25"/>
      <c r="I46" s="25"/>
    </row>
    <row r="47" spans="2:9" ht="15.75" thickBot="1" x14ac:dyDescent="0.3">
      <c r="B47" s="71"/>
      <c r="C47" s="72"/>
      <c r="D47" s="40" t="s">
        <v>30</v>
      </c>
      <c r="E47" s="40" t="s">
        <v>6</v>
      </c>
      <c r="F47" s="40" t="s">
        <v>31</v>
      </c>
      <c r="G47" s="41" t="s">
        <v>32</v>
      </c>
      <c r="H47" s="25"/>
      <c r="I47" s="25"/>
    </row>
    <row r="48" spans="2:9" x14ac:dyDescent="0.25">
      <c r="B48" s="69" t="s">
        <v>33</v>
      </c>
      <c r="C48" s="70"/>
      <c r="D48" s="42">
        <v>9.6</v>
      </c>
      <c r="E48" s="43">
        <v>0.6</v>
      </c>
      <c r="F48" s="44">
        <f>D28*16/D48</f>
        <v>533.16666666666663</v>
      </c>
      <c r="G48" s="45">
        <v>20</v>
      </c>
      <c r="H48" s="25"/>
      <c r="I48" s="25"/>
    </row>
    <row r="49" spans="2:9" x14ac:dyDescent="0.25">
      <c r="B49" s="76" t="s">
        <v>34</v>
      </c>
      <c r="C49" s="77"/>
      <c r="D49" s="30">
        <v>7.6</v>
      </c>
      <c r="E49" s="31">
        <v>0.48</v>
      </c>
      <c r="F49" s="32">
        <f>D28*16/D49</f>
        <v>673.47368421052624</v>
      </c>
      <c r="G49" s="33">
        <v>24</v>
      </c>
      <c r="H49" s="25"/>
      <c r="I49" s="25"/>
    </row>
    <row r="50" spans="2:9" x14ac:dyDescent="0.25">
      <c r="B50" s="78" t="s">
        <v>35</v>
      </c>
      <c r="C50" s="79"/>
      <c r="D50" s="26">
        <v>8.25</v>
      </c>
      <c r="E50" s="27">
        <v>0.52</v>
      </c>
      <c r="F50" s="28">
        <f>D28*16/D50</f>
        <v>620.41212121212118</v>
      </c>
      <c r="G50" s="29">
        <v>24</v>
      </c>
      <c r="H50" s="25"/>
      <c r="I50" s="25"/>
    </row>
    <row r="51" spans="2:9" x14ac:dyDescent="0.25">
      <c r="B51" s="76" t="s">
        <v>56</v>
      </c>
      <c r="C51" s="77"/>
      <c r="D51" s="30">
        <v>8.6</v>
      </c>
      <c r="E51" s="31">
        <v>0.54</v>
      </c>
      <c r="F51" s="32">
        <f>D28*16/D51</f>
        <v>595.16279069767438</v>
      </c>
      <c r="G51" s="33">
        <v>24</v>
      </c>
      <c r="H51" s="25"/>
      <c r="I51" s="25"/>
    </row>
    <row r="52" spans="2:9" x14ac:dyDescent="0.25">
      <c r="B52" s="73" t="s">
        <v>36</v>
      </c>
      <c r="C52" s="74"/>
      <c r="D52" s="26">
        <v>8.6999999999999993</v>
      </c>
      <c r="E52" s="27">
        <v>0.54</v>
      </c>
      <c r="F52" s="28">
        <f>D28*16/D52</f>
        <v>588.32183908045977</v>
      </c>
      <c r="G52" s="29">
        <v>24</v>
      </c>
      <c r="H52" s="25"/>
      <c r="I52" s="25"/>
    </row>
    <row r="53" spans="2:9" x14ac:dyDescent="0.25">
      <c r="B53" s="86" t="s">
        <v>53</v>
      </c>
      <c r="C53" s="87"/>
      <c r="D53" s="30">
        <v>12</v>
      </c>
      <c r="E53" s="31">
        <v>0.75</v>
      </c>
      <c r="F53" s="32">
        <f>D28*16/D53</f>
        <v>426.5333333333333</v>
      </c>
      <c r="G53" s="33">
        <v>16</v>
      </c>
    </row>
    <row r="54" spans="2:9" x14ac:dyDescent="0.25">
      <c r="B54" s="59"/>
      <c r="C54" s="60" t="s">
        <v>37</v>
      </c>
      <c r="D54" s="61">
        <v>13</v>
      </c>
      <c r="E54" s="62">
        <v>0.81</v>
      </c>
      <c r="F54" s="63">
        <f>D28*16/D54</f>
        <v>393.72307692307692</v>
      </c>
      <c r="G54" s="64">
        <v>16</v>
      </c>
    </row>
    <row r="55" spans="2:9" x14ac:dyDescent="0.25">
      <c r="B55" s="39"/>
      <c r="C55" s="34" t="s">
        <v>43</v>
      </c>
      <c r="D55" s="35">
        <v>13.8</v>
      </c>
      <c r="E55" s="36">
        <v>0.86</v>
      </c>
      <c r="F55" s="37">
        <f>D28*16/D55</f>
        <v>370.89855072463763</v>
      </c>
      <c r="G55" s="38">
        <v>16</v>
      </c>
    </row>
    <row r="56" spans="2:9" x14ac:dyDescent="0.25">
      <c r="B56" s="82" t="s">
        <v>62</v>
      </c>
      <c r="C56" s="83"/>
      <c r="D56" s="65">
        <v>7.8</v>
      </c>
      <c r="E56" s="67">
        <v>0.49</v>
      </c>
      <c r="F56" s="66">
        <f>D28*16/D56</f>
        <v>656.20512820512818</v>
      </c>
      <c r="G56" s="68">
        <v>24</v>
      </c>
    </row>
    <row r="57" spans="2:9" x14ac:dyDescent="0.25">
      <c r="B57" s="84" t="s">
        <v>47</v>
      </c>
      <c r="C57" s="85"/>
      <c r="D57" s="46">
        <v>12.1</v>
      </c>
      <c r="E57" s="47">
        <v>0.76</v>
      </c>
      <c r="F57" s="32">
        <f>D28*16/D57</f>
        <v>423.0082644628099</v>
      </c>
      <c r="G57" s="48">
        <v>16</v>
      </c>
    </row>
    <row r="58" spans="2:9" x14ac:dyDescent="0.25">
      <c r="B58" s="82" t="s">
        <v>49</v>
      </c>
      <c r="C58" s="83"/>
      <c r="D58" s="65">
        <v>5.5</v>
      </c>
      <c r="E58" s="67">
        <v>0.34</v>
      </c>
      <c r="F58" s="66">
        <f>D28*16/D58</f>
        <v>930.61818181818171</v>
      </c>
      <c r="G58" s="68">
        <v>24</v>
      </c>
    </row>
    <row r="59" spans="2:9" ht="15.75" thickBot="1" x14ac:dyDescent="0.3">
      <c r="B59" s="80" t="s">
        <v>45</v>
      </c>
      <c r="C59" s="81"/>
      <c r="D59" s="55">
        <v>5.7</v>
      </c>
      <c r="E59" s="56">
        <v>0.36</v>
      </c>
      <c r="F59" s="57">
        <f>D28*16/D59</f>
        <v>897.9649122807017</v>
      </c>
      <c r="G59" s="58">
        <v>24</v>
      </c>
    </row>
    <row r="60" spans="2:9" x14ac:dyDescent="0.25">
      <c r="D60" s="75" t="s">
        <v>38</v>
      </c>
      <c r="E60" s="75"/>
      <c r="F60" s="75"/>
      <c r="G60" s="75"/>
    </row>
    <row r="62" spans="2:9" x14ac:dyDescent="0.25">
      <c r="B62" t="s">
        <v>39</v>
      </c>
    </row>
    <row r="63" spans="2:9" x14ac:dyDescent="0.25">
      <c r="B63" t="s">
        <v>41</v>
      </c>
    </row>
    <row r="64" spans="2:9" x14ac:dyDescent="0.25">
      <c r="B64" t="s">
        <v>42</v>
      </c>
    </row>
  </sheetData>
  <mergeCells count="12">
    <mergeCell ref="B48:C48"/>
    <mergeCell ref="B47:C47"/>
    <mergeCell ref="B52:C52"/>
    <mergeCell ref="D60:G60"/>
    <mergeCell ref="B49:C49"/>
    <mergeCell ref="B50:C50"/>
    <mergeCell ref="B51:C51"/>
    <mergeCell ref="B59:C59"/>
    <mergeCell ref="B56:C56"/>
    <mergeCell ref="B57:C57"/>
    <mergeCell ref="B58:C58"/>
    <mergeCell ref="B53:C53"/>
  </mergeCells>
  <pageMargins left="0.25" right="0.25" top="0.5" bottom="0.75" header="0.3" footer="0.3"/>
  <pageSetup scale="72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Isabel Mesa</cp:lastModifiedBy>
  <cp:lastPrinted>2026-07-21T16:29:28Z</cp:lastPrinted>
  <dcterms:created xsi:type="dcterms:W3CDTF">2016-04-06T14:37:13Z</dcterms:created>
  <dcterms:modified xsi:type="dcterms:W3CDTF">2026-07-21T17:10:52Z</dcterms:modified>
</cp:coreProperties>
</file>