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ca2c39ac52d46c7/"/>
    </mc:Choice>
  </mc:AlternateContent>
  <xr:revisionPtr revIDLastSave="0" documentId="8_{203E5DB0-CB4F-7145-BBFC-3AE4F1034654}" xr6:coauthVersionLast="47" xr6:coauthVersionMax="47" xr10:uidLastSave="{00000000-0000-0000-0000-000000000000}"/>
  <bookViews>
    <workbookView xWindow="210" yWindow="0" windowWidth="28800" windowHeight="15480" firstSheet="38" activeTab="39" xr2:uid="{00000000-000D-0000-FFFF-FFFF00000000}"/>
  </bookViews>
  <sheets>
    <sheet name="Bobos Deluxe" sheetId="1" r:id="rId1"/>
    <sheet name="Bobos Breakfast" sheetId="2" r:id="rId2"/>
    <sheet name="Basha 11' Hawaiian" sheetId="62" r:id="rId3"/>
    <sheet name="Basha 12' Supreme" sheetId="51" r:id="rId4"/>
    <sheet name="Corner Booth Chicken Alfredo " sheetId="61" r:id="rId5"/>
    <sheet name="Corner Booth Giardiniera" sheetId="52" r:id="rId6"/>
    <sheet name="Corner Booth House" sheetId="53" r:id="rId7"/>
    <sheet name="Corner Booth Pep &amp; Jal" sheetId="63" r:id="rId8"/>
    <sheet name="Corner Booth Spinach" sheetId="3" r:id="rId9"/>
    <sheet name="Corner Booth Supreme" sheetId="4" r:id="rId10"/>
    <sheet name="Hannaford Tikka Masala Mix" sheetId="9" r:id="rId11"/>
    <sheet name="Hannaford Spinach Goat Cheese" sheetId="64" r:id="rId12"/>
    <sheet name="Hannaford Club" sheetId="14" r:id="rId13"/>
    <sheet name="Hannaford 4Meat" sheetId="15" r:id="rId14"/>
    <sheet name="Lowes 7in Red Fajita" sheetId="23" r:id="rId15"/>
    <sheet name="Lowes 7in White Spin" sheetId="54" r:id="rId16"/>
    <sheet name="Lowes Bacon Cheeseburger" sheetId="17" r:id="rId17"/>
    <sheet name="Lowes California" sheetId="18" r:id="rId18"/>
    <sheet name="Lowes Carribbean" sheetId="16" r:id="rId19"/>
    <sheet name="Lowes Chicken Club" sheetId="19" r:id="rId20"/>
    <sheet name="Lowes Grilled Vegetable" sheetId="21" r:id="rId21"/>
    <sheet name="Lowes Red Hot" sheetId="22" r:id="rId22"/>
    <sheet name="Lowes Supreme" sheetId="24" r:id="rId23"/>
    <sheet name="Lowes Spinach" sheetId="27" r:id="rId24"/>
    <sheet name="Lowes 11in White Spinach" sheetId="28" r:id="rId25"/>
    <sheet name="Lucias Morming Melts Americano" sheetId="65" r:id="rId26"/>
    <sheet name="Lucias Morming Mealts Italiano" sheetId="55" r:id="rId27"/>
    <sheet name="Lucias Morming Melts Mexicano" sheetId="66" r:id="rId28"/>
    <sheet name="Lucias Morming Melts Parisian" sheetId="29" r:id="rId29"/>
    <sheet name="Lucias Craft Alfredo Spinach" sheetId="36" r:id="rId30"/>
    <sheet name="Lucias Craft Bacon Cheeseburger" sheetId="30" r:id="rId31"/>
    <sheet name="Lucias Craft Bratwurst" sheetId="31" r:id="rId32"/>
    <sheet name="Lucias Craft Carribbean Mix" sheetId="32" r:id="rId33"/>
    <sheet name="Lucias Craft Chicken Club" sheetId="34" r:id="rId34"/>
    <sheet name="Lucias Craft Red Hot" sheetId="37" r:id="rId35"/>
    <sheet name="Lucias Craft SOB" sheetId="35" r:id="rId36"/>
    <sheet name="Lucias Craft Tikka Masala" sheetId="33" r:id="rId37"/>
    <sheet name="Lucias Buffalo Chicken" sheetId="38" r:id="rId38"/>
    <sheet name="Lucias Supreme" sheetId="39" r:id="rId39"/>
    <sheet name="Lucias Pinsa Tikka Masala" sheetId="67" r:id="rId40"/>
    <sheet name="Lucias Pinsa Margherita" sheetId="68" r:id="rId41"/>
    <sheet name="Lucias Pinsa Spinach" sheetId="69" r:id="rId42"/>
    <sheet name="Nob Hill SOB" sheetId="56" r:id="rId43"/>
    <sheet name="Nob Hill Bacon Cheeseburger" sheetId="57" r:id="rId44"/>
    <sheet name="Nob Hill Club" sheetId="58" r:id="rId45"/>
    <sheet name="Nob Hill Red Hot" sheetId="59" r:id="rId46"/>
    <sheet name="Nob Hill Caribbean" sheetId="60" r:id="rId47"/>
    <sheet name="Price Chopper Club" sheetId="41" r:id="rId48"/>
    <sheet name="SMD Supreme" sheetId="42" r:id="rId4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69" l="1"/>
  <c r="D4" i="69"/>
  <c r="E4" i="68"/>
  <c r="D4" i="68"/>
  <c r="I5" i="67"/>
  <c r="I4" i="67"/>
  <c r="D9" i="67"/>
  <c r="D8" i="67"/>
  <c r="D6" i="67"/>
  <c r="D4" i="67"/>
  <c r="C10" i="67"/>
  <c r="C16" i="67"/>
  <c r="H6" i="67"/>
  <c r="H16" i="67"/>
  <c r="I6" i="67"/>
  <c r="J4" i="18"/>
  <c r="I4" i="64"/>
  <c r="E4" i="54"/>
  <c r="E4" i="28"/>
  <c r="D8" i="41"/>
  <c r="C14" i="60"/>
  <c r="E3" i="60"/>
  <c r="D8" i="60"/>
  <c r="D10" i="60"/>
  <c r="C8" i="60"/>
  <c r="D7" i="60"/>
  <c r="D5" i="60"/>
  <c r="J4" i="60"/>
  <c r="C25" i="60"/>
  <c r="D25" i="60"/>
  <c r="I4" i="60"/>
  <c r="D4" i="60"/>
  <c r="C19" i="60"/>
  <c r="H6" i="22"/>
  <c r="H6" i="37"/>
  <c r="H6" i="59"/>
  <c r="H12" i="59"/>
  <c r="J3" i="59"/>
  <c r="J18" i="59"/>
  <c r="I18" i="59"/>
  <c r="D6" i="59"/>
  <c r="D8" i="59"/>
  <c r="C6" i="59"/>
  <c r="C12" i="59"/>
  <c r="E3" i="59"/>
  <c r="I5" i="59"/>
  <c r="I6" i="59"/>
  <c r="I8" i="59"/>
  <c r="D5" i="59"/>
  <c r="I4" i="59"/>
  <c r="D4" i="59"/>
  <c r="C18" i="59"/>
  <c r="D9" i="58"/>
  <c r="D9" i="56"/>
  <c r="D8" i="56"/>
  <c r="D7" i="56"/>
  <c r="D6" i="56"/>
  <c r="D5" i="56"/>
  <c r="D4" i="56"/>
  <c r="D8" i="57"/>
  <c r="C16" i="56"/>
  <c r="C10" i="56"/>
  <c r="I5" i="33"/>
  <c r="I6" i="33"/>
  <c r="I8" i="33"/>
  <c r="I4" i="33"/>
  <c r="D9" i="33"/>
  <c r="D8" i="33"/>
  <c r="D6" i="33"/>
  <c r="D4" i="33"/>
  <c r="C10" i="33"/>
  <c r="C16" i="33"/>
  <c r="H6" i="33"/>
  <c r="H16" i="33"/>
  <c r="D12" i="35"/>
  <c r="D9" i="31"/>
  <c r="J4" i="31"/>
  <c r="I4" i="31"/>
  <c r="D7" i="32"/>
  <c r="D5" i="32"/>
  <c r="D4" i="32"/>
  <c r="C14" i="32"/>
  <c r="C8" i="32"/>
  <c r="J4" i="32"/>
  <c r="C25" i="32"/>
  <c r="D25" i="32"/>
  <c r="I4" i="32"/>
  <c r="D8" i="30"/>
  <c r="D4" i="36"/>
  <c r="C9" i="36"/>
  <c r="I18" i="37"/>
  <c r="J18" i="37"/>
  <c r="D8" i="37"/>
  <c r="D9" i="34"/>
  <c r="D8" i="38"/>
  <c r="E4" i="66"/>
  <c r="I4" i="55"/>
  <c r="D10" i="67"/>
  <c r="J3" i="67"/>
  <c r="H21" i="67"/>
  <c r="I8" i="67"/>
  <c r="C16" i="60"/>
  <c r="C22" i="60"/>
  <c r="C21" i="60"/>
  <c r="C20" i="60"/>
  <c r="C19" i="59"/>
  <c r="C17" i="59"/>
  <c r="H14" i="59"/>
  <c r="C20" i="59"/>
  <c r="C14" i="59"/>
  <c r="D10" i="56"/>
  <c r="D12" i="56"/>
  <c r="D10" i="33"/>
  <c r="D12" i="33"/>
  <c r="J3" i="33"/>
  <c r="D8" i="32"/>
  <c r="D10" i="32"/>
  <c r="E3" i="32"/>
  <c r="C22" i="32"/>
  <c r="E3" i="67"/>
  <c r="D12" i="67"/>
  <c r="H18" i="67"/>
  <c r="H22" i="67"/>
  <c r="E3" i="56"/>
  <c r="C23" i="56"/>
  <c r="C26" i="56"/>
  <c r="C25" i="56"/>
  <c r="E3" i="33"/>
  <c r="C26" i="33"/>
  <c r="H21" i="33"/>
  <c r="H18" i="33"/>
  <c r="H22" i="33"/>
  <c r="C20" i="32"/>
  <c r="C19" i="32"/>
  <c r="C16" i="32"/>
  <c r="C21" i="32"/>
  <c r="C23" i="67"/>
  <c r="C24" i="67"/>
  <c r="C18" i="67"/>
  <c r="C25" i="67"/>
  <c r="C22" i="67"/>
  <c r="C26" i="67"/>
  <c r="C21" i="67"/>
  <c r="C22" i="56"/>
  <c r="C21" i="56"/>
  <c r="C24" i="56"/>
  <c r="C18" i="56"/>
  <c r="C18" i="33"/>
  <c r="C23" i="33"/>
  <c r="C21" i="33"/>
  <c r="C25" i="33"/>
  <c r="C24" i="33"/>
  <c r="C22" i="33"/>
  <c r="E5" i="65"/>
  <c r="E4" i="65"/>
  <c r="J18" i="22"/>
  <c r="I18" i="22"/>
  <c r="I4" i="18"/>
  <c r="J4" i="16"/>
  <c r="C25" i="16"/>
  <c r="I4" i="16"/>
  <c r="E4" i="63"/>
  <c r="H4" i="62"/>
  <c r="I4" i="62"/>
  <c r="J5" i="29"/>
  <c r="J4" i="29"/>
  <c r="D4" i="66"/>
  <c r="I5" i="29"/>
  <c r="I4" i="29"/>
  <c r="D4" i="55"/>
  <c r="C9" i="55"/>
  <c r="D4" i="28"/>
  <c r="H4" i="55"/>
  <c r="D5" i="65"/>
  <c r="D4" i="65"/>
  <c r="D8" i="17"/>
  <c r="I5" i="9"/>
  <c r="I4" i="9"/>
  <c r="D9" i="9"/>
  <c r="D8" i="9"/>
  <c r="D6" i="9"/>
  <c r="D4" i="9"/>
  <c r="I8" i="22"/>
  <c r="D8" i="22"/>
  <c r="D6" i="27"/>
  <c r="D13" i="21"/>
  <c r="D4" i="54"/>
  <c r="C16" i="9"/>
  <c r="D10" i="23"/>
  <c r="D8" i="14"/>
  <c r="D8" i="15"/>
  <c r="H4" i="64"/>
  <c r="D4" i="64"/>
  <c r="C11" i="64"/>
  <c r="D8" i="61"/>
  <c r="D4" i="63"/>
  <c r="D9" i="53"/>
  <c r="C12" i="62"/>
  <c r="C11" i="3"/>
  <c r="C12" i="52"/>
  <c r="D10" i="4"/>
  <c r="C11" i="62"/>
  <c r="D11" i="62"/>
  <c r="D4" i="62"/>
  <c r="D11" i="51"/>
  <c r="D8" i="2"/>
  <c r="C26" i="1"/>
  <c r="C6" i="61"/>
  <c r="C12" i="61"/>
  <c r="D5" i="61"/>
  <c r="D4" i="61"/>
  <c r="D25" i="16"/>
  <c r="D4" i="3"/>
  <c r="C11" i="42"/>
  <c r="C17" i="42"/>
  <c r="D10" i="42"/>
  <c r="D9" i="42"/>
  <c r="D8" i="42"/>
  <c r="D6" i="42"/>
  <c r="D4" i="42"/>
  <c r="D5" i="41"/>
  <c r="D4" i="41"/>
  <c r="C6" i="41"/>
  <c r="C12" i="41"/>
  <c r="C7" i="58"/>
  <c r="C13" i="58"/>
  <c r="D6" i="58"/>
  <c r="D5" i="58"/>
  <c r="D4" i="58"/>
  <c r="C6" i="57"/>
  <c r="C12" i="57"/>
  <c r="D5" i="57"/>
  <c r="D4" i="57"/>
  <c r="D6" i="57"/>
  <c r="D5" i="38"/>
  <c r="D4" i="38"/>
  <c r="C6" i="38"/>
  <c r="C12" i="38"/>
  <c r="D8" i="39"/>
  <c r="D7" i="39"/>
  <c r="D9" i="39"/>
  <c r="D11" i="39"/>
  <c r="D5" i="39"/>
  <c r="D4" i="39"/>
  <c r="C9" i="39"/>
  <c r="C15" i="39"/>
  <c r="D11" i="42"/>
  <c r="E3" i="57"/>
  <c r="C14" i="57"/>
  <c r="D6" i="61"/>
  <c r="D7" i="58"/>
  <c r="E3" i="58"/>
  <c r="C18" i="58"/>
  <c r="D6" i="38"/>
  <c r="E3" i="38"/>
  <c r="D8" i="35"/>
  <c r="D9" i="35"/>
  <c r="D7" i="35"/>
  <c r="D6" i="35"/>
  <c r="D5" i="35"/>
  <c r="D4" i="35"/>
  <c r="D10" i="35"/>
  <c r="C10" i="35"/>
  <c r="C16" i="35"/>
  <c r="D5" i="31"/>
  <c r="D4" i="31"/>
  <c r="C7" i="31"/>
  <c r="C13" i="31"/>
  <c r="I4" i="37"/>
  <c r="I5" i="37"/>
  <c r="H12" i="37"/>
  <c r="D5" i="37"/>
  <c r="D4" i="37"/>
  <c r="C6" i="37"/>
  <c r="C12" i="37"/>
  <c r="D6" i="34"/>
  <c r="D5" i="34"/>
  <c r="D4" i="34"/>
  <c r="C7" i="34"/>
  <c r="C13" i="34"/>
  <c r="D5" i="30"/>
  <c r="D4" i="30"/>
  <c r="C6" i="30"/>
  <c r="C12" i="30"/>
  <c r="D5" i="29"/>
  <c r="D4" i="29"/>
  <c r="C6" i="29"/>
  <c r="C12" i="29"/>
  <c r="D7" i="23"/>
  <c r="D6" i="23"/>
  <c r="D5" i="23"/>
  <c r="D4" i="23"/>
  <c r="C8" i="23"/>
  <c r="C14" i="23"/>
  <c r="D5" i="17"/>
  <c r="D4" i="17"/>
  <c r="C6" i="17"/>
  <c r="C12" i="17"/>
  <c r="D6" i="19"/>
  <c r="D5" i="19"/>
  <c r="D4" i="19"/>
  <c r="C7" i="19"/>
  <c r="D8" i="24"/>
  <c r="D7" i="24"/>
  <c r="D5" i="24"/>
  <c r="D4" i="24"/>
  <c r="C9" i="24"/>
  <c r="C15" i="24"/>
  <c r="D7" i="16"/>
  <c r="D5" i="16"/>
  <c r="D4" i="16"/>
  <c r="C8" i="16"/>
  <c r="C14" i="16"/>
  <c r="I4" i="22"/>
  <c r="I5" i="22"/>
  <c r="H12" i="22"/>
  <c r="D5" i="22"/>
  <c r="D4" i="22"/>
  <c r="C6" i="22"/>
  <c r="C12" i="22"/>
  <c r="C16" i="27"/>
  <c r="D8" i="27"/>
  <c r="D7" i="27"/>
  <c r="D5" i="27"/>
  <c r="D4" i="27"/>
  <c r="C9" i="27"/>
  <c r="D10" i="21"/>
  <c r="D9" i="21"/>
  <c r="D8" i="21"/>
  <c r="D7" i="21"/>
  <c r="D6" i="21"/>
  <c r="D5" i="21"/>
  <c r="D4" i="21"/>
  <c r="C11" i="21"/>
  <c r="C17" i="21"/>
  <c r="D6" i="18"/>
  <c r="D5" i="18"/>
  <c r="D4" i="18"/>
  <c r="C7" i="18"/>
  <c r="C13" i="18"/>
  <c r="D5" i="14"/>
  <c r="D4" i="14"/>
  <c r="C6" i="14"/>
  <c r="C12" i="14"/>
  <c r="D5" i="15"/>
  <c r="D4" i="15"/>
  <c r="C6" i="15"/>
  <c r="C12" i="15"/>
  <c r="H6" i="9"/>
  <c r="H16" i="9"/>
  <c r="C10" i="9"/>
  <c r="E3" i="42"/>
  <c r="D13" i="42"/>
  <c r="C17" i="57"/>
  <c r="C18" i="57"/>
  <c r="D7" i="31"/>
  <c r="E3" i="31"/>
  <c r="C13" i="19"/>
  <c r="E3" i="61"/>
  <c r="E3" i="35"/>
  <c r="D9" i="24"/>
  <c r="D11" i="21"/>
  <c r="E3" i="21"/>
  <c r="D8" i="16"/>
  <c r="C20" i="58"/>
  <c r="C19" i="58"/>
  <c r="C15" i="58"/>
  <c r="D7" i="18"/>
  <c r="D10" i="9"/>
  <c r="E3" i="24"/>
  <c r="D11" i="24"/>
  <c r="E3" i="18"/>
  <c r="C21" i="18"/>
  <c r="D9" i="18"/>
  <c r="E3" i="16"/>
  <c r="D10" i="16"/>
  <c r="E3" i="9"/>
  <c r="D12" i="9"/>
  <c r="C17" i="61"/>
  <c r="C18" i="61"/>
  <c r="C14" i="61"/>
  <c r="C7" i="53"/>
  <c r="C13" i="53"/>
  <c r="D6" i="53"/>
  <c r="D5" i="53"/>
  <c r="D4" i="53"/>
  <c r="D4" i="52"/>
  <c r="C12" i="2"/>
  <c r="D7" i="4"/>
  <c r="D6" i="4"/>
  <c r="D5" i="4"/>
  <c r="D4" i="4"/>
  <c r="D7" i="51"/>
  <c r="D8" i="51"/>
  <c r="D5" i="51"/>
  <c r="D4" i="51"/>
  <c r="D9" i="1"/>
  <c r="D5" i="2"/>
  <c r="D4" i="2"/>
  <c r="D6" i="2"/>
  <c r="C8" i="4"/>
  <c r="C14" i="4"/>
  <c r="C9" i="51"/>
  <c r="C15" i="51"/>
  <c r="D8" i="1"/>
  <c r="D6" i="1"/>
  <c r="D5" i="1"/>
  <c r="D4" i="1"/>
  <c r="C10" i="1"/>
  <c r="C16" i="1"/>
  <c r="D6" i="41"/>
  <c r="E3" i="41"/>
  <c r="E3" i="39"/>
  <c r="C17" i="38"/>
  <c r="I6" i="37"/>
  <c r="D6" i="37"/>
  <c r="E3" i="37"/>
  <c r="D7" i="34"/>
  <c r="E3" i="34"/>
  <c r="D6" i="30"/>
  <c r="E3" i="30"/>
  <c r="D6" i="29"/>
  <c r="D9" i="27"/>
  <c r="D8" i="23"/>
  <c r="E3" i="23"/>
  <c r="I6" i="22"/>
  <c r="J3" i="22"/>
  <c r="D6" i="22"/>
  <c r="E3" i="22"/>
  <c r="C25" i="21"/>
  <c r="D7" i="19"/>
  <c r="D6" i="17"/>
  <c r="E3" i="17"/>
  <c r="D6" i="15"/>
  <c r="E3" i="15"/>
  <c r="D6" i="14"/>
  <c r="E3" i="14"/>
  <c r="I6" i="9"/>
  <c r="I8" i="9"/>
  <c r="C6" i="2"/>
  <c r="J3" i="37"/>
  <c r="C19" i="37"/>
  <c r="I8" i="37"/>
  <c r="E3" i="29"/>
  <c r="D8" i="29"/>
  <c r="E3" i="19"/>
  <c r="C20" i="19"/>
  <c r="D9" i="19"/>
  <c r="C18" i="19"/>
  <c r="E3" i="27"/>
  <c r="D11" i="27"/>
  <c r="C11" i="52"/>
  <c r="D8" i="4"/>
  <c r="E3" i="4"/>
  <c r="E3" i="2"/>
  <c r="C17" i="2"/>
  <c r="C24" i="39"/>
  <c r="C24" i="42"/>
  <c r="C14" i="41"/>
  <c r="C26" i="35"/>
  <c r="C14" i="37"/>
  <c r="C20" i="34"/>
  <c r="C17" i="30"/>
  <c r="C16" i="23"/>
  <c r="C18" i="17"/>
  <c r="C15" i="19"/>
  <c r="C19" i="16"/>
  <c r="C22" i="16"/>
  <c r="C16" i="16"/>
  <c r="C20" i="22"/>
  <c r="C17" i="22"/>
  <c r="C14" i="14"/>
  <c r="C18" i="14"/>
  <c r="C20" i="18"/>
  <c r="C14" i="15"/>
  <c r="J3" i="9"/>
  <c r="H21" i="9"/>
  <c r="C22" i="9"/>
  <c r="D7" i="53"/>
  <c r="C22" i="4"/>
  <c r="D9" i="51"/>
  <c r="D10" i="1"/>
  <c r="C24" i="24"/>
  <c r="C23" i="24"/>
  <c r="C22" i="24"/>
  <c r="C21" i="24"/>
  <c r="C20" i="24"/>
  <c r="C18" i="34"/>
  <c r="C15" i="34"/>
  <c r="C24" i="21"/>
  <c r="C29" i="21"/>
  <c r="C23" i="21"/>
  <c r="C28" i="21"/>
  <c r="C19" i="21"/>
  <c r="C27" i="21"/>
  <c r="C26" i="21"/>
  <c r="C17" i="24"/>
  <c r="C17" i="17"/>
  <c r="C14" i="17"/>
  <c r="C18" i="35"/>
  <c r="C14" i="38"/>
  <c r="C18" i="38"/>
  <c r="C20" i="16"/>
  <c r="C21" i="16"/>
  <c r="C21" i="27"/>
  <c r="C23" i="27"/>
  <c r="C18" i="2"/>
  <c r="C19" i="19"/>
  <c r="E3" i="53"/>
  <c r="C15" i="53"/>
  <c r="E3" i="1"/>
  <c r="D12" i="1"/>
  <c r="E3" i="51"/>
  <c r="C22" i="51"/>
  <c r="C29" i="42"/>
  <c r="C28" i="42"/>
  <c r="C25" i="42"/>
  <c r="C19" i="42"/>
  <c r="C26" i="42"/>
  <c r="C27" i="42"/>
  <c r="C23" i="42"/>
  <c r="C17" i="41"/>
  <c r="C18" i="41"/>
  <c r="C21" i="39"/>
  <c r="C22" i="39"/>
  <c r="C23" i="39"/>
  <c r="C20" i="39"/>
  <c r="C17" i="39"/>
  <c r="C25" i="35"/>
  <c r="C21" i="35"/>
  <c r="C22" i="35"/>
  <c r="C23" i="35"/>
  <c r="C24" i="35"/>
  <c r="C15" i="31"/>
  <c r="C19" i="31"/>
  <c r="C20" i="31"/>
  <c r="C18" i="31"/>
  <c r="C17" i="37"/>
  <c r="H14" i="37"/>
  <c r="C20" i="37"/>
  <c r="C18" i="37"/>
  <c r="C19" i="34"/>
  <c r="C18" i="30"/>
  <c r="C14" i="30"/>
  <c r="C22" i="23"/>
  <c r="C21" i="23"/>
  <c r="C20" i="23"/>
  <c r="C19" i="23"/>
  <c r="C14" i="22"/>
  <c r="C18" i="22"/>
  <c r="C19" i="22"/>
  <c r="H14" i="22"/>
  <c r="C22" i="27"/>
  <c r="C24" i="27"/>
  <c r="C18" i="27"/>
  <c r="C25" i="27"/>
  <c r="C19" i="18"/>
  <c r="C17" i="14"/>
  <c r="C15" i="18"/>
  <c r="C18" i="15"/>
  <c r="C17" i="15"/>
  <c r="H22" i="9"/>
  <c r="H18" i="9"/>
  <c r="C24" i="9"/>
  <c r="C21" i="9"/>
  <c r="C25" i="9"/>
  <c r="C26" i="9"/>
  <c r="C18" i="9"/>
  <c r="C23" i="9"/>
  <c r="C16" i="4"/>
  <c r="C19" i="4"/>
  <c r="C20" i="4"/>
  <c r="C21" i="4"/>
  <c r="C14" i="2"/>
  <c r="C23" i="1"/>
  <c r="C25" i="1"/>
  <c r="C18" i="29"/>
  <c r="C17" i="29"/>
  <c r="C14" i="29"/>
  <c r="C20" i="53"/>
  <c r="C18" i="53"/>
  <c r="C19" i="53"/>
  <c r="C24" i="1"/>
  <c r="C22" i="1"/>
  <c r="C18" i="1"/>
  <c r="C21" i="1"/>
  <c r="C21" i="51"/>
  <c r="C20" i="51"/>
  <c r="C17" i="51"/>
  <c r="C23" i="51"/>
  <c r="C24" i="51"/>
</calcChain>
</file>

<file path=xl/sharedStrings.xml><?xml version="1.0" encoding="utf-8"?>
<sst xmlns="http://schemas.openxmlformats.org/spreadsheetml/2006/main" count="1074" uniqueCount="198">
  <si>
    <t># OF MIXES</t>
  </si>
  <si>
    <t>Red Onion, FR Strips</t>
  </si>
  <si>
    <t>TOTAL</t>
  </si>
  <si>
    <t>Red Peppers, FR Strips</t>
  </si>
  <si>
    <t>Green Peppers, FR Strips</t>
  </si>
  <si>
    <t>1/8 Green Pepper</t>
  </si>
  <si>
    <t>Basil, Frozen</t>
  </si>
  <si>
    <t>TOTAL CASES NEEDED</t>
  </si>
  <si>
    <t>TOTAL AMOUNT NEEDED</t>
  </si>
  <si>
    <t>Amount already made</t>
  </si>
  <si>
    <t>TOTAL AMOUNT BEING MIXED</t>
  </si>
  <si>
    <t>PULL FOR MIX</t>
  </si>
  <si>
    <t>POUNDS</t>
  </si>
  <si>
    <t>1/8 green pepper</t>
  </si>
  <si>
    <t>1/8 onion</t>
  </si>
  <si>
    <t>Bobo's Breakfast Mix</t>
  </si>
  <si>
    <t>#OF MIXES</t>
  </si>
  <si>
    <t>Total</t>
  </si>
  <si>
    <t>Corner Booth Spinach Mix</t>
  </si>
  <si>
    <t>Fresh Spinach (broken up)</t>
  </si>
  <si>
    <t>Total Cases Needed</t>
  </si>
  <si>
    <t>White Onion Strips, Blanched</t>
  </si>
  <si>
    <t>Green Pepper Strips, Blanched</t>
  </si>
  <si>
    <t>Red Pepper Strips, Blanched</t>
  </si>
  <si>
    <t>Yellow Pepper Strips, Blanched</t>
  </si>
  <si>
    <t>Cases Needed</t>
  </si>
  <si>
    <t>Green Pepper Diced, Blanched</t>
  </si>
  <si>
    <t>Red Pepper Diced, Blanched</t>
  </si>
  <si>
    <t>TARGET WIEGHT</t>
  </si>
  <si>
    <t>CASES NEEDED</t>
  </si>
  <si>
    <t xml:space="preserve"># OF MIXES </t>
  </si>
  <si>
    <t>Tomatoes, FR Diced</t>
  </si>
  <si>
    <t>Green Onion</t>
  </si>
  <si>
    <t>Masala Sauce</t>
  </si>
  <si>
    <t>Red Onion Strips, Blanched</t>
  </si>
  <si>
    <t>Garlic Powder</t>
  </si>
  <si>
    <t>Jalapenos</t>
  </si>
  <si>
    <t xml:space="preserve">Red Hot Chicken Mix </t>
  </si>
  <si>
    <t xml:space="preserve">Red Hot Bacon Jalapeno Mix </t>
  </si>
  <si>
    <t>Hot Sauce, Old Vienna</t>
  </si>
  <si>
    <t>AMOUNT NEEDED</t>
  </si>
  <si>
    <t>AMOUNT BEING MIXED</t>
  </si>
  <si>
    <t xml:space="preserve">Hannaford Club Mix </t>
  </si>
  <si>
    <t>Hannaford 4 Meat Mix</t>
  </si>
  <si>
    <t>1/8 green peppers</t>
  </si>
  <si>
    <t>AMOUNT OF MIX NEEDED</t>
  </si>
  <si>
    <t>***Drain Pinapples***</t>
  </si>
  <si>
    <t xml:space="preserve">Lowe's Bacon Cheeseburger Mix </t>
  </si>
  <si>
    <t>Tomatoes</t>
  </si>
  <si>
    <t>FR Red Pepper Strips</t>
  </si>
  <si>
    <t>Lowes Chicken Club</t>
  </si>
  <si>
    <t>FR Squash</t>
  </si>
  <si>
    <t>FR Zucchini</t>
  </si>
  <si>
    <t>FR Red Onions Diced</t>
  </si>
  <si>
    <t>FR Garlic</t>
  </si>
  <si>
    <t>Sea Salt</t>
  </si>
  <si>
    <t>Thyme, IQF</t>
  </si>
  <si>
    <t>TOTAL AMOUNT  BEING MIXED</t>
  </si>
  <si>
    <t>Salt, Kosher</t>
  </si>
  <si>
    <t>Red Onion Diced, Blanched</t>
  </si>
  <si>
    <t>Yellow Pepper Diced, Blanched</t>
  </si>
  <si>
    <t>Red Onion FR Strips</t>
  </si>
  <si>
    <t>Black Beans, IQF</t>
  </si>
  <si>
    <t>Corn, FR</t>
  </si>
  <si>
    <t>Cilantro</t>
  </si>
  <si>
    <t>Spinach</t>
  </si>
  <si>
    <t xml:space="preserve">Egg </t>
  </si>
  <si>
    <t>Garlic, Granulated</t>
  </si>
  <si>
    <t>**MUST BE MADE IN THIS ORDER**</t>
  </si>
  <si>
    <t>ADD MELTED BUTTER AND THEN ADD EGG</t>
  </si>
  <si>
    <t>ADD GRANULATED GARLIC AND SALT</t>
  </si>
  <si>
    <t>MIX 10-15 MIN</t>
  </si>
  <si>
    <t>MIX 5-10 MIN</t>
  </si>
  <si>
    <t>***PULL OLD MIX 2 DAYS PRIOR***</t>
  </si>
  <si>
    <t xml:space="preserve">Lucia's Morning Melt Parisian Mix </t>
  </si>
  <si>
    <t xml:space="preserve">Craft Bacon Cheeseburger Mix </t>
  </si>
  <si>
    <t xml:space="preserve">Lucia's Craft Bratwurst Veggie Mix </t>
  </si>
  <si>
    <t>Sauerkraut</t>
  </si>
  <si>
    <t>Yellow Onion, FR Strips</t>
  </si>
  <si>
    <t>TOTAL AMOUTN NEEDED</t>
  </si>
  <si>
    <t>**Put Mix into buckets not boxes**</t>
  </si>
  <si>
    <t>Chicken</t>
  </si>
  <si>
    <t xml:space="preserve">Craft Club Mix </t>
  </si>
  <si>
    <t>TOTAL AMOUTN BEING MIXED</t>
  </si>
  <si>
    <t>South of the Border Mix</t>
  </si>
  <si>
    <t xml:space="preserve">Lucia's Buffalo Chicken Mix </t>
  </si>
  <si>
    <t>Buffalo Sauce, Legacy</t>
  </si>
  <si>
    <t>Red Onion Strips, FR</t>
  </si>
  <si>
    <t xml:space="preserve">Price Chopper Club Mix </t>
  </si>
  <si>
    <t>SMD Supreme</t>
  </si>
  <si>
    <t>Black Olives</t>
  </si>
  <si>
    <t>FR Red Onion Strips</t>
  </si>
  <si>
    <t>Per Pizza</t>
  </si>
  <si>
    <t xml:space="preserve"> Bacon</t>
  </si>
  <si>
    <t>Bacon</t>
  </si>
  <si>
    <t xml:space="preserve">Bobo's Deluxe Veggie Mix </t>
  </si>
  <si>
    <t>Per Skid</t>
  </si>
  <si>
    <r>
      <rPr>
        <sz val="11"/>
        <color theme="1"/>
        <rFont val="Calibri"/>
        <family val="2"/>
        <scheme val="minor"/>
      </rPr>
      <t xml:space="preserve">Bacon - </t>
    </r>
    <r>
      <rPr>
        <sz val="11"/>
        <color theme="1"/>
        <rFont val="Calibri"/>
        <family val="2"/>
        <scheme val="minor"/>
      </rPr>
      <t>BURKE/HORMEL #56063</t>
    </r>
  </si>
  <si>
    <t xml:space="preserve">Bashas Red Fajita Mix </t>
  </si>
  <si>
    <t>Hot Giardiniera Mix</t>
  </si>
  <si>
    <t>Corner Booth Hot Giardiniera Mix</t>
  </si>
  <si>
    <t>Drianed</t>
  </si>
  <si>
    <t>Drained</t>
  </si>
  <si>
    <t>Not Drained</t>
  </si>
  <si>
    <t>Mushrooms</t>
  </si>
  <si>
    <t>Corner Booth House Mix</t>
  </si>
  <si>
    <t>Corner Booth White Fajita Mix</t>
  </si>
  <si>
    <t>Pert Pizza</t>
  </si>
  <si>
    <t xml:space="preserve">Lowe's California Mix </t>
  </si>
  <si>
    <t xml:space="preserve">Lowes Grilled Vegetable Mix </t>
  </si>
  <si>
    <t xml:space="preserve">Lowes Spinach Mix </t>
  </si>
  <si>
    <t>***PUT A YELLOW EGG ALLERGEN
 STICKER ON EVERY BOX OF MIX***</t>
  </si>
  <si>
    <t xml:space="preserve">Lowes Caribbean Mix </t>
  </si>
  <si>
    <t>Red Onion Strip</t>
  </si>
  <si>
    <t>FR Green Peppers Strip</t>
  </si>
  <si>
    <t>Red Onions Strip</t>
  </si>
  <si>
    <t>Save juice for the sweet n sour sauce after draining</t>
  </si>
  <si>
    <t>undrained</t>
  </si>
  <si>
    <t>cans</t>
  </si>
  <si>
    <t xml:space="preserve">Lowes Red Fajita Mix </t>
  </si>
  <si>
    <t>Sauerkraut **Drained**</t>
  </si>
  <si>
    <t xml:space="preserve">Lucias Red Fajita Mix </t>
  </si>
  <si>
    <t xml:space="preserve">Nob Hill Bacon Cheeseburger Mix </t>
  </si>
  <si>
    <t>Swiss</t>
  </si>
  <si>
    <t>Red Onions Diced</t>
  </si>
  <si>
    <t>Bacon 
(Tri Meats tm3514u or c&amp;fb 061anub40)</t>
  </si>
  <si>
    <t>Red Onion</t>
  </si>
  <si>
    <t>Green Pepper Strips</t>
  </si>
  <si>
    <t>Red Pepper Strips</t>
  </si>
  <si>
    <t>Yellow Pepper Strips</t>
  </si>
  <si>
    <t>Diced Chicken
 (C&amp;F 0001mpdc40 or House of Raeford 28501)</t>
  </si>
  <si>
    <t>Corner Both Garlic Chicken</t>
  </si>
  <si>
    <t>Per Batch</t>
  </si>
  <si>
    <t>Max Batches at a time</t>
  </si>
  <si>
    <t>Canadian Bacon Stick
Stonie's - 2398</t>
  </si>
  <si>
    <t>Corner Booth Hawaiian</t>
  </si>
  <si>
    <t>Pull to Drain</t>
  </si>
  <si>
    <t>Amount Needed After Drained</t>
  </si>
  <si>
    <t>Amount already Drained</t>
  </si>
  <si>
    <t>Pineapple - Drained</t>
  </si>
  <si>
    <t>Amount already drained</t>
  </si>
  <si>
    <t>Garlic sauce</t>
  </si>
  <si>
    <t>***Pull 3 Days Early***</t>
  </si>
  <si>
    <t xml:space="preserve">Hannaford White Fajita Mix </t>
  </si>
  <si>
    <t>Hannaford Chicken Masala Mix</t>
  </si>
  <si>
    <t>Hannaford Spinach</t>
  </si>
  <si>
    <t>Goat Cheese</t>
  </si>
  <si>
    <t>Natural Italian Sausage
c&amp;f 140mrp240</t>
  </si>
  <si>
    <t>Natural Hamburger
burke 40029</t>
  </si>
  <si>
    <r>
      <t xml:space="preserve">Bacon, </t>
    </r>
    <r>
      <rPr>
        <b/>
        <sz val="11"/>
        <color theme="1"/>
        <rFont val="Calibri"/>
        <family val="2"/>
        <scheme val="minor"/>
      </rPr>
      <t>NATURAL</t>
    </r>
    <r>
      <rPr>
        <sz val="11"/>
        <color theme="1"/>
        <rFont val="Calibri"/>
        <family val="2"/>
        <scheme val="minor"/>
      </rPr>
      <t xml:space="preserve">
Tri Meats tm3514u or 
c&amp;f 061anub40</t>
    </r>
  </si>
  <si>
    <t>Bacon, NATURAL
Tri Meats tm3514u or 
c&amp;f 061anub40</t>
  </si>
  <si>
    <t>Lowes 7in White Spinach</t>
  </si>
  <si>
    <t>FR Tomatoes Diced</t>
  </si>
  <si>
    <t>Lowes 11in White Spinach</t>
  </si>
  <si>
    <t>Unsalted Butter</t>
  </si>
  <si>
    <t>Salt</t>
  </si>
  <si>
    <t>ADD 2/3 OF THE SPINACH</t>
  </si>
  <si>
    <t>ADD THE REMAINDERING SPINACH</t>
  </si>
  <si>
    <t>Chicken, Diced
House of Raeford 28501 or 
c&amp;f 001mpdc40</t>
  </si>
  <si>
    <r>
      <t xml:space="preserve">Bacon, </t>
    </r>
    <r>
      <rPr>
        <b/>
        <sz val="11"/>
        <color theme="1"/>
        <rFont val="Calibri"/>
        <family val="2"/>
        <scheme val="minor"/>
      </rPr>
      <t>NATURAL</t>
    </r>
    <r>
      <rPr>
        <sz val="11"/>
        <color theme="1"/>
        <rFont val="Calibri"/>
        <family val="2"/>
        <scheme val="minor"/>
      </rPr>
      <t xml:space="preserve">
c&amp;f 001anub40 or
Tri Meats</t>
    </r>
  </si>
  <si>
    <t>Bacon, NATURAL
c&amp;f 001anub40 or
Tri Meats</t>
  </si>
  <si>
    <t>Red Onion Strips</t>
  </si>
  <si>
    <t>Tomatoes, Diced</t>
  </si>
  <si>
    <r>
      <t xml:space="preserve">Bacon, </t>
    </r>
    <r>
      <rPr>
        <b/>
        <sz val="11"/>
        <color theme="1"/>
        <rFont val="Calibri"/>
        <family val="2"/>
        <scheme val="minor"/>
      </rPr>
      <t>NATURAL</t>
    </r>
    <r>
      <rPr>
        <sz val="11"/>
        <color theme="1"/>
        <rFont val="Calibri"/>
        <family val="2"/>
        <scheme val="minor"/>
      </rPr>
      <t xml:space="preserve">
tri meats tm3514u or 
c&amp;f 061anub40</t>
    </r>
  </si>
  <si>
    <t>Bacon, NATURAL
tri meats tm3514u or 
c&amp;f 061anub40</t>
  </si>
  <si>
    <t>Bacon - NATURAL
tri meats tm3514u or
c&amp;f 061anub40</t>
  </si>
  <si>
    <t>Diced Turkey
jennie-o-119373</t>
  </si>
  <si>
    <t>Diced Ham
patuxent-736543078</t>
  </si>
  <si>
    <t>Scrambled Egg
Greand Prairie</t>
  </si>
  <si>
    <t>Lucia's Morning Melt Italiano Spinach</t>
  </si>
  <si>
    <t>total needed</t>
  </si>
  <si>
    <t>Total Needed</t>
  </si>
  <si>
    <t>***PULL 3 days early***</t>
  </si>
  <si>
    <t>Drianed Pinapples</t>
  </si>
  <si>
    <t>Pull</t>
  </si>
  <si>
    <t>Lucias Morning Mealts Americano
***Pull 3 Days Early***</t>
  </si>
  <si>
    <t>Lucias Morning Mealts Mexicano
***Pull 3 Days Early***</t>
  </si>
  <si>
    <t>Diced Chicken
c&amp;f 001mpdc40 or
House of Raeford 28501</t>
  </si>
  <si>
    <t>Bacon
Tri Meats tm3514u or
c&amp;f 001anub40</t>
  </si>
  <si>
    <t>Chicken, Diced
c&amp;f - 001mpdc40 or
House of Raeford - 28501</t>
  </si>
  <si>
    <t>Bacon
tri meats tm3514u or
c&amp;f 001anub40</t>
  </si>
  <si>
    <t>Lucias Craft Alfredo Spinach</t>
  </si>
  <si>
    <t>Diced Tomatoes</t>
  </si>
  <si>
    <t xml:space="preserve">Lucias Craft Caribbean Mix </t>
  </si>
  <si>
    <t>***Pull 2 Days Early***</t>
  </si>
  <si>
    <t>Bratwurst
stonies - 2394</t>
  </si>
  <si>
    <t>Lucias Craft Chicken Masala Mix</t>
  </si>
  <si>
    <t xml:space="preserve">Lucias Craft White Fajita Mix </t>
  </si>
  <si>
    <t xml:space="preserve">Nob Hill Caribbean Mix </t>
  </si>
  <si>
    <t>FR Red Onion Strip</t>
  </si>
  <si>
    <t>FR Red Onions Strip</t>
  </si>
  <si>
    <t>Bacon
Tri Meats tm3514u or 
c&amp;f 061anub40</t>
  </si>
  <si>
    <t>***Mix same day or day prior and don’t freeze***</t>
  </si>
  <si>
    <t>***Pull 3 Days Early***
Scrambled Egg</t>
  </si>
  <si>
    <t>Lowes 7in Red Fajita</t>
  </si>
  <si>
    <t xml:space="preserve">Lucias Pinsa White Fajita Mix </t>
  </si>
  <si>
    <t>Lucias Pinsa Chicken Masala Mix</t>
  </si>
  <si>
    <t>Lucias Pinsa Spinach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</si>
</sst>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name val="Calibri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6" fillId="0" borderId="0"/>
  </cellStyleXfs>
  <cellXfs count="338">
    <xf numFmtId="0" fontId="0" fillId="0" borderId="0" xfId="0"/>
    <xf numFmtId="0" fontId="14" fillId="0" borderId="0" xfId="0" applyFont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0" xfId="0" applyFont="1"/>
    <xf numFmtId="0" fontId="13" fillId="0" borderId="28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2" xfId="0" applyFont="1" applyBorder="1" applyAlignment="1">
      <alignment horizontal="center" vertical="center"/>
    </xf>
    <xf numFmtId="0" fontId="14" fillId="2" borderId="38" xfId="0" applyFont="1" applyFill="1" applyBorder="1" applyAlignment="1">
      <alignment horizontal="center" vertical="center" wrapText="1"/>
    </xf>
    <xf numFmtId="0" fontId="14" fillId="2" borderId="6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3" fillId="2" borderId="6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2" fontId="0" fillId="2" borderId="28" xfId="0" applyNumberFormat="1" applyFill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2" fontId="13" fillId="0" borderId="32" xfId="0" applyNumberFormat="1" applyFont="1" applyBorder="1" applyAlignment="1">
      <alignment horizontal="center" vertical="center"/>
    </xf>
    <xf numFmtId="2" fontId="13" fillId="0" borderId="34" xfId="0" applyNumberFormat="1" applyFont="1" applyBorder="1" applyAlignment="1">
      <alignment horizontal="center" vertical="center"/>
    </xf>
    <xf numFmtId="2" fontId="13" fillId="2" borderId="44" xfId="0" applyNumberFormat="1" applyFont="1" applyFill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2" fontId="0" fillId="0" borderId="28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2" fontId="13" fillId="0" borderId="11" xfId="0" applyNumberFormat="1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/>
    </xf>
    <xf numFmtId="2" fontId="13" fillId="2" borderId="3" xfId="0" applyNumberFormat="1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 vertical="center"/>
    </xf>
    <xf numFmtId="2" fontId="13" fillId="2" borderId="1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2" fontId="14" fillId="0" borderId="32" xfId="0" applyNumberFormat="1" applyFont="1" applyBorder="1" applyAlignment="1">
      <alignment horizontal="center" vertical="center"/>
    </xf>
    <xf numFmtId="2" fontId="14" fillId="0" borderId="45" xfId="0" applyNumberFormat="1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2" fontId="14" fillId="0" borderId="33" xfId="0" applyNumberFormat="1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2" fontId="14" fillId="0" borderId="55" xfId="0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2" fontId="14" fillId="2" borderId="42" xfId="0" applyNumberFormat="1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2" fontId="14" fillId="0" borderId="34" xfId="0" applyNumberFormat="1" applyFont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2" fontId="14" fillId="2" borderId="25" xfId="0" applyNumberFormat="1" applyFont="1" applyFill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2" fontId="14" fillId="0" borderId="0" xfId="0" applyNumberFormat="1" applyFont="1" applyAlignment="1">
      <alignment horizontal="center" vertical="center"/>
    </xf>
    <xf numFmtId="0" fontId="17" fillId="0" borderId="14" xfId="0" applyFont="1" applyBorder="1" applyAlignment="1">
      <alignment horizontal="center" vertical="center" wrapText="1"/>
    </xf>
    <xf numFmtId="2" fontId="13" fillId="0" borderId="26" xfId="0" applyNumberFormat="1" applyFont="1" applyBorder="1" applyAlignment="1">
      <alignment horizontal="center" vertical="center"/>
    </xf>
    <xf numFmtId="2" fontId="13" fillId="0" borderId="15" xfId="0" applyNumberFormat="1" applyFont="1" applyBorder="1" applyAlignment="1">
      <alignment horizontal="center" vertical="center"/>
    </xf>
    <xf numFmtId="2" fontId="13" fillId="2" borderId="1" xfId="0" applyNumberFormat="1" applyFont="1" applyFill="1" applyBorder="1" applyAlignment="1">
      <alignment horizontal="center" vertical="center"/>
    </xf>
    <xf numFmtId="2" fontId="13" fillId="0" borderId="13" xfId="0" applyNumberFormat="1" applyFont="1" applyBorder="1" applyAlignment="1">
      <alignment horizontal="center" vertical="center"/>
    </xf>
    <xf numFmtId="2" fontId="13" fillId="0" borderId="28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2" fontId="14" fillId="0" borderId="57" xfId="0" applyNumberFormat="1" applyFont="1" applyBorder="1" applyAlignment="1">
      <alignment horizontal="center" vertical="center"/>
    </xf>
    <xf numFmtId="2" fontId="14" fillId="0" borderId="59" xfId="0" applyNumberFormat="1" applyFont="1" applyBorder="1" applyAlignment="1">
      <alignment horizontal="center" vertical="center"/>
    </xf>
    <xf numFmtId="2" fontId="14" fillId="0" borderId="60" xfId="0" applyNumberFormat="1" applyFont="1" applyBorder="1" applyAlignment="1">
      <alignment horizontal="center" vertical="center"/>
    </xf>
    <xf numFmtId="2" fontId="14" fillId="2" borderId="18" xfId="0" applyNumberFormat="1" applyFont="1" applyFill="1" applyBorder="1" applyAlignment="1">
      <alignment horizontal="center" vertical="center"/>
    </xf>
    <xf numFmtId="2" fontId="14" fillId="0" borderId="54" xfId="0" applyNumberFormat="1" applyFont="1" applyBorder="1" applyAlignment="1">
      <alignment horizontal="center" vertical="center"/>
    </xf>
    <xf numFmtId="2" fontId="14" fillId="0" borderId="56" xfId="0" applyNumberFormat="1" applyFont="1" applyBorder="1" applyAlignment="1">
      <alignment horizontal="center" vertical="center"/>
    </xf>
    <xf numFmtId="2" fontId="14" fillId="2" borderId="28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13" fillId="2" borderId="13" xfId="0" applyNumberFormat="1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13" fillId="0" borderId="51" xfId="0" applyNumberFormat="1" applyFont="1" applyBorder="1" applyAlignment="1">
      <alignment horizontal="center" vertical="center"/>
    </xf>
    <xf numFmtId="2" fontId="13" fillId="0" borderId="48" xfId="0" applyNumberFormat="1" applyFont="1" applyBorder="1" applyAlignment="1">
      <alignment horizontal="center" vertical="center"/>
    </xf>
    <xf numFmtId="2" fontId="13" fillId="0" borderId="56" xfId="0" applyNumberFormat="1" applyFont="1" applyBorder="1" applyAlignment="1">
      <alignment horizontal="center" vertical="center"/>
    </xf>
    <xf numFmtId="2" fontId="13" fillId="2" borderId="28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2" fontId="13" fillId="0" borderId="54" xfId="0" applyNumberFormat="1" applyFont="1" applyBorder="1" applyAlignment="1">
      <alignment horizontal="center" vertical="center"/>
    </xf>
    <xf numFmtId="2" fontId="13" fillId="0" borderId="45" xfId="0" applyNumberFormat="1" applyFont="1" applyBorder="1" applyAlignment="1">
      <alignment horizontal="center" vertical="center"/>
    </xf>
    <xf numFmtId="2" fontId="13" fillId="0" borderId="46" xfId="0" applyNumberFormat="1" applyFont="1" applyBorder="1" applyAlignment="1">
      <alignment horizontal="center" vertical="center"/>
    </xf>
    <xf numFmtId="2" fontId="13" fillId="0" borderId="55" xfId="0" applyNumberFormat="1" applyFont="1" applyBorder="1" applyAlignment="1">
      <alignment horizontal="center" vertical="center"/>
    </xf>
    <xf numFmtId="2" fontId="13" fillId="2" borderId="42" xfId="0" applyNumberFormat="1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2" fontId="13" fillId="0" borderId="49" xfId="0" applyNumberFormat="1" applyFont="1" applyBorder="1" applyAlignment="1">
      <alignment horizontal="center" vertical="center"/>
    </xf>
    <xf numFmtId="2" fontId="13" fillId="2" borderId="50" xfId="0" applyNumberFormat="1" applyFont="1" applyFill="1" applyBorder="1" applyAlignment="1">
      <alignment horizontal="center" vertical="center"/>
    </xf>
    <xf numFmtId="2" fontId="13" fillId="0" borderId="52" xfId="0" applyNumberFormat="1" applyFont="1" applyBorder="1" applyAlignment="1">
      <alignment horizontal="center" vertical="center"/>
    </xf>
    <xf numFmtId="2" fontId="13" fillId="0" borderId="47" xfId="0" applyNumberFormat="1" applyFont="1" applyBorder="1" applyAlignment="1">
      <alignment horizontal="center" vertical="center"/>
    </xf>
    <xf numFmtId="2" fontId="13" fillId="2" borderId="2" xfId="0" applyNumberFormat="1" applyFont="1" applyFill="1" applyBorder="1" applyAlignment="1">
      <alignment horizontal="center" vertical="center"/>
    </xf>
    <xf numFmtId="2" fontId="13" fillId="2" borderId="61" xfId="0" applyNumberFormat="1" applyFont="1" applyFill="1" applyBorder="1" applyAlignment="1">
      <alignment horizontal="center" vertical="center"/>
    </xf>
    <xf numFmtId="2" fontId="13" fillId="0" borderId="29" xfId="0" applyNumberFormat="1" applyFont="1" applyBorder="1" applyAlignment="1">
      <alignment horizontal="center" vertical="center"/>
    </xf>
    <xf numFmtId="2" fontId="13" fillId="0" borderId="35" xfId="0" applyNumberFormat="1" applyFont="1" applyBorder="1" applyAlignment="1">
      <alignment horizontal="center" vertical="center"/>
    </xf>
    <xf numFmtId="2" fontId="13" fillId="2" borderId="18" xfId="0" applyNumberFormat="1" applyFont="1" applyFill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2" fontId="13" fillId="0" borderId="14" xfId="0" applyNumberFormat="1" applyFont="1" applyBorder="1" applyAlignment="1">
      <alignment horizontal="center" vertical="center"/>
    </xf>
    <xf numFmtId="2" fontId="13" fillId="0" borderId="16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2" fontId="19" fillId="0" borderId="6" xfId="0" applyNumberFormat="1" applyFont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2" fontId="19" fillId="2" borderId="13" xfId="0" applyNumberFormat="1" applyFont="1" applyFill="1" applyBorder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0" fontId="5" fillId="0" borderId="54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14" fillId="2" borderId="39" xfId="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71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2" fontId="13" fillId="0" borderId="19" xfId="0" applyNumberFormat="1" applyFont="1" applyBorder="1" applyAlignment="1">
      <alignment horizontal="center" vertical="center"/>
    </xf>
    <xf numFmtId="2" fontId="13" fillId="2" borderId="40" xfId="0" applyNumberFormat="1" applyFont="1" applyFill="1" applyBorder="1" applyAlignment="1">
      <alignment horizontal="center" vertical="center"/>
    </xf>
    <xf numFmtId="2" fontId="13" fillId="2" borderId="41" xfId="0" applyNumberFormat="1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2" fontId="13" fillId="0" borderId="3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72" xfId="0" applyFont="1" applyBorder="1" applyAlignment="1">
      <alignment horizontal="center" vertical="center"/>
    </xf>
    <xf numFmtId="2" fontId="13" fillId="2" borderId="22" xfId="0" applyNumberFormat="1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2" fontId="13" fillId="0" borderId="5" xfId="0" applyNumberFormat="1" applyFont="1" applyBorder="1" applyAlignment="1">
      <alignment horizontal="center" vertical="center"/>
    </xf>
    <xf numFmtId="2" fontId="13" fillId="2" borderId="39" xfId="0" applyNumberFormat="1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2" fontId="13" fillId="0" borderId="17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13" fillId="2" borderId="63" xfId="0" applyNumberFormat="1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5" fillId="2" borderId="23" xfId="0" applyFont="1" applyFill="1" applyBorder="1"/>
    <xf numFmtId="0" fontId="15" fillId="2" borderId="20" xfId="0" applyFont="1" applyFill="1" applyBorder="1"/>
    <xf numFmtId="0" fontId="14" fillId="0" borderId="4" xfId="0" applyFont="1" applyBorder="1" applyAlignment="1">
      <alignment horizontal="center" vertical="center"/>
    </xf>
    <xf numFmtId="0" fontId="15" fillId="0" borderId="21" xfId="0" applyFont="1" applyBorder="1"/>
    <xf numFmtId="0" fontId="15" fillId="0" borderId="10" xfId="0" applyFont="1" applyBorder="1"/>
    <xf numFmtId="0" fontId="14" fillId="0" borderId="20" xfId="0" applyFont="1" applyBorder="1" applyAlignment="1">
      <alignment horizontal="center" vertical="center"/>
    </xf>
    <xf numFmtId="0" fontId="15" fillId="0" borderId="22" xfId="0" applyFont="1" applyBorder="1"/>
    <xf numFmtId="0" fontId="0" fillId="2" borderId="1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/>
    </xf>
    <xf numFmtId="0" fontId="13" fillId="2" borderId="4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8" fillId="2" borderId="64" xfId="0" applyFont="1" applyFill="1" applyBorder="1" applyAlignment="1">
      <alignment horizontal="center" vertical="center"/>
    </xf>
    <xf numFmtId="0" fontId="8" fillId="2" borderId="65" xfId="0" applyFont="1" applyFill="1" applyBorder="1" applyAlignment="1">
      <alignment horizontal="center" vertical="center"/>
    </xf>
    <xf numFmtId="0" fontId="8" fillId="2" borderId="66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27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 wrapText="1"/>
    </xf>
    <xf numFmtId="0" fontId="15" fillId="2" borderId="2" xfId="0" applyFont="1" applyFill="1" applyBorder="1"/>
    <xf numFmtId="0" fontId="14" fillId="0" borderId="53" xfId="0" applyFont="1" applyBorder="1" applyAlignment="1">
      <alignment horizontal="center" vertical="center" wrapText="1"/>
    </xf>
    <xf numFmtId="0" fontId="14" fillId="0" borderId="62" xfId="0" applyFont="1" applyBorder="1" applyAlignment="1">
      <alignment horizontal="center" vertical="center" wrapText="1"/>
    </xf>
    <xf numFmtId="0" fontId="14" fillId="0" borderId="6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13" fillId="2" borderId="20" xfId="0" applyFont="1" applyFill="1" applyBorder="1"/>
    <xf numFmtId="0" fontId="13" fillId="0" borderId="21" xfId="0" applyFont="1" applyBorder="1"/>
    <xf numFmtId="0" fontId="13" fillId="0" borderId="22" xfId="0" applyFont="1" applyBorder="1"/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CEDFAF8F-DAE5-41D4-9C70-E9AADCA916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worksheet" Target="worksheets/sheet39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worksheet" Target="worksheets/sheet42.xml" /><Relationship Id="rId47" Type="http://schemas.openxmlformats.org/officeDocument/2006/relationships/worksheet" Target="worksheets/sheet47.xml" /><Relationship Id="rId50" Type="http://schemas.openxmlformats.org/officeDocument/2006/relationships/theme" Target="theme/theme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worksheet" Target="worksheets/sheet38.xml" /><Relationship Id="rId46" Type="http://schemas.openxmlformats.org/officeDocument/2006/relationships/worksheet" Target="worksheets/sheet46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worksheet" Target="worksheets/sheet4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worksheet" Target="worksheets/sheet37.xml" /><Relationship Id="rId40" Type="http://schemas.openxmlformats.org/officeDocument/2006/relationships/worksheet" Target="worksheets/sheet40.xml" /><Relationship Id="rId45" Type="http://schemas.openxmlformats.org/officeDocument/2006/relationships/worksheet" Target="worksheets/sheet45.xml" /><Relationship Id="rId53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worksheet" Target="worksheets/sheet36.xml" /><Relationship Id="rId49" Type="http://schemas.openxmlformats.org/officeDocument/2006/relationships/worksheet" Target="worksheets/sheet49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4" Type="http://schemas.openxmlformats.org/officeDocument/2006/relationships/worksheet" Target="worksheets/sheet44.xml" /><Relationship Id="rId52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43" Type="http://schemas.openxmlformats.org/officeDocument/2006/relationships/worksheet" Target="worksheets/sheet43.xml" /><Relationship Id="rId48" Type="http://schemas.openxmlformats.org/officeDocument/2006/relationships/worksheet" Target="worksheets/sheet48.xml" /><Relationship Id="rId8" Type="http://schemas.openxmlformats.org/officeDocument/2006/relationships/worksheet" Target="worksheets/sheet8.xml" /><Relationship Id="rId51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 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6"/>
  <sheetViews>
    <sheetView workbookViewId="0">
      <selection activeCell="C17" sqref="C17"/>
    </sheetView>
  </sheetViews>
  <sheetFormatPr defaultColWidth="9.14453125" defaultRowHeight="15" x14ac:dyDescent="0.2"/>
  <cols>
    <col min="1" max="1" width="9.14453125" style="9"/>
    <col min="2" max="2" width="27.7109375" style="9" bestFit="1" customWidth="1"/>
    <col min="3" max="3" width="8.875" style="9" bestFit="1" customWidth="1"/>
    <col min="4" max="4" width="9.28125" style="9" bestFit="1" customWidth="1"/>
    <col min="5" max="5" width="10.76171875" style="9" bestFit="1" customWidth="1"/>
    <col min="6" max="16384" width="9.14453125" style="9"/>
  </cols>
  <sheetData>
    <row r="1" spans="2:5" ht="15.75" thickBot="1" x14ac:dyDescent="0.25"/>
    <row r="2" spans="2:5" ht="15.75" thickBot="1" x14ac:dyDescent="0.25">
      <c r="B2" s="268" t="s">
        <v>95</v>
      </c>
      <c r="C2" s="269"/>
      <c r="D2" s="270"/>
      <c r="E2" s="10" t="s">
        <v>0</v>
      </c>
    </row>
    <row r="3" spans="2:5" ht="15.75" thickBot="1" x14ac:dyDescent="0.25">
      <c r="B3" s="11"/>
      <c r="C3" s="12" t="s">
        <v>92</v>
      </c>
      <c r="D3" s="12" t="s">
        <v>132</v>
      </c>
      <c r="E3" s="271">
        <f>ROUNDUP((C16/D10),1)</f>
        <v>1</v>
      </c>
    </row>
    <row r="4" spans="2:5" x14ac:dyDescent="0.2">
      <c r="B4" s="13" t="s">
        <v>1</v>
      </c>
      <c r="C4" s="13">
        <v>0.4</v>
      </c>
      <c r="D4" s="90">
        <f>60*12/16*C4*1.15</f>
        <v>20.7</v>
      </c>
      <c r="E4" s="272"/>
    </row>
    <row r="5" spans="2:5" x14ac:dyDescent="0.2">
      <c r="B5" s="14" t="s">
        <v>3</v>
      </c>
      <c r="C5" s="14">
        <v>0.82</v>
      </c>
      <c r="D5" s="91">
        <f>60*12/16*C5*1.15</f>
        <v>42.434999999999995</v>
      </c>
      <c r="E5" s="272"/>
    </row>
    <row r="6" spans="2:5" x14ac:dyDescent="0.2">
      <c r="B6" s="14" t="s">
        <v>4</v>
      </c>
      <c r="C6" s="14">
        <v>0.82</v>
      </c>
      <c r="D6" s="91">
        <f>60*12/16*C6*1.15</f>
        <v>42.434999999999995</v>
      </c>
      <c r="E6" s="272"/>
    </row>
    <row r="7" spans="2:5" x14ac:dyDescent="0.2">
      <c r="B7" s="14" t="s">
        <v>5</v>
      </c>
      <c r="C7" s="14"/>
      <c r="D7" s="91">
        <v>10</v>
      </c>
      <c r="E7" s="272"/>
    </row>
    <row r="8" spans="2:5" x14ac:dyDescent="0.2">
      <c r="B8" s="14" t="s">
        <v>6</v>
      </c>
      <c r="C8" s="14">
        <v>0.06</v>
      </c>
      <c r="D8" s="91">
        <f>60*12/16*C8*1.15</f>
        <v>3.1049999999999995</v>
      </c>
      <c r="E8" s="272"/>
    </row>
    <row r="9" spans="2:5" ht="15.75" thickBot="1" x14ac:dyDescent="0.25">
      <c r="B9" s="15" t="s">
        <v>93</v>
      </c>
      <c r="C9" s="111">
        <v>0.75</v>
      </c>
      <c r="D9" s="93">
        <f>60*12/16*C9*1.15</f>
        <v>38.8125</v>
      </c>
      <c r="E9" s="272"/>
    </row>
    <row r="10" spans="2:5" ht="15.75" thickBot="1" x14ac:dyDescent="0.25">
      <c r="B10" s="16" t="s">
        <v>2</v>
      </c>
      <c r="C10" s="17">
        <f>SUM(C4:C9)</f>
        <v>2.85</v>
      </c>
      <c r="D10" s="92">
        <f>SUM(D4,D5,D6,D8,D9)</f>
        <v>147.48750000000001</v>
      </c>
      <c r="E10" s="273"/>
    </row>
    <row r="12" spans="2:5" x14ac:dyDescent="0.2">
      <c r="B12" s="258" t="s">
        <v>133</v>
      </c>
      <c r="C12" s="258"/>
      <c r="D12" s="9">
        <f>ROUNDDOWN(250/D10,2)</f>
        <v>1.69</v>
      </c>
    </row>
    <row r="14" spans="2:5" x14ac:dyDescent="0.2">
      <c r="B14" s="9" t="s">
        <v>7</v>
      </c>
      <c r="C14" s="78">
        <v>60</v>
      </c>
    </row>
    <row r="16" spans="2:5" x14ac:dyDescent="0.2">
      <c r="B16" s="9" t="s">
        <v>8</v>
      </c>
      <c r="C16" s="94">
        <f>((C14*12*C10/16)*1.15)-C17</f>
        <v>147.48749999999998</v>
      </c>
    </row>
    <row r="17" spans="2:4" x14ac:dyDescent="0.2">
      <c r="B17" s="9" t="s">
        <v>9</v>
      </c>
      <c r="C17" s="78">
        <v>0</v>
      </c>
    </row>
    <row r="18" spans="2:4" x14ac:dyDescent="0.2">
      <c r="B18" s="9" t="s">
        <v>10</v>
      </c>
      <c r="C18" s="94">
        <f>E3*D10</f>
        <v>147.48750000000001</v>
      </c>
    </row>
    <row r="20" spans="2:4" x14ac:dyDescent="0.2">
      <c r="B20" s="9" t="s">
        <v>11</v>
      </c>
    </row>
    <row r="21" spans="2:4" x14ac:dyDescent="0.2">
      <c r="B21" s="9" t="s">
        <v>1</v>
      </c>
      <c r="C21" s="94">
        <f>E3*D4</f>
        <v>20.7</v>
      </c>
      <c r="D21" s="9" t="s">
        <v>12</v>
      </c>
    </row>
    <row r="22" spans="2:4" x14ac:dyDescent="0.2">
      <c r="B22" s="9" t="s">
        <v>3</v>
      </c>
      <c r="C22" s="94">
        <f>E3*D5</f>
        <v>42.434999999999995</v>
      </c>
      <c r="D22" s="9" t="s">
        <v>12</v>
      </c>
    </row>
    <row r="23" spans="2:4" x14ac:dyDescent="0.2">
      <c r="B23" s="9" t="s">
        <v>4</v>
      </c>
      <c r="C23" s="94">
        <f>E3*D6</f>
        <v>42.434999999999995</v>
      </c>
      <c r="D23" s="9" t="s">
        <v>12</v>
      </c>
    </row>
    <row r="24" spans="2:4" x14ac:dyDescent="0.2">
      <c r="B24" s="9" t="s">
        <v>6</v>
      </c>
      <c r="C24" s="94">
        <f>E3*D8</f>
        <v>3.1049999999999995</v>
      </c>
      <c r="D24" s="9" t="s">
        <v>12</v>
      </c>
    </row>
    <row r="25" spans="2:4" x14ac:dyDescent="0.2">
      <c r="B25" s="9" t="s">
        <v>94</v>
      </c>
      <c r="C25" s="94">
        <f>D9*E3</f>
        <v>38.8125</v>
      </c>
      <c r="D25" s="9" t="s">
        <v>12</v>
      </c>
    </row>
    <row r="26" spans="2:4" x14ac:dyDescent="0.2">
      <c r="B26" s="9" t="s">
        <v>13</v>
      </c>
      <c r="C26" s="94">
        <f>D7*E3</f>
        <v>10</v>
      </c>
      <c r="D26" s="9" t="s">
        <v>12</v>
      </c>
    </row>
  </sheetData>
  <sheetProtection sheet="1" objects="1" scenarios="1" selectLockedCells="1"/>
  <mergeCells count="3">
    <mergeCell ref="B2:D2"/>
    <mergeCell ref="E3:E10"/>
    <mergeCell ref="B12:C12"/>
  </mergeCells>
  <pageMargins left="0" right="0" top="0" bottom="0" header="0" footer="0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0"/>
  <sheetViews>
    <sheetView workbookViewId="0">
      <selection activeCell="C10" sqref="C10"/>
    </sheetView>
  </sheetViews>
  <sheetFormatPr defaultColWidth="9.14453125" defaultRowHeight="15" x14ac:dyDescent="0.2"/>
  <cols>
    <col min="1" max="1" width="9.14453125" style="18"/>
    <col min="2" max="2" width="28.78515625" style="18" bestFit="1" customWidth="1"/>
    <col min="3" max="3" width="8.875" style="18" bestFit="1" customWidth="1"/>
    <col min="4" max="4" width="9.28125" style="18" bestFit="1" customWidth="1"/>
    <col min="5" max="5" width="10.22265625" style="18" bestFit="1" customWidth="1"/>
    <col min="6" max="16384" width="9.14453125" style="18"/>
  </cols>
  <sheetData>
    <row r="1" spans="2:5" ht="15.75" thickBot="1" x14ac:dyDescent="0.25"/>
    <row r="2" spans="2:5" ht="15.75" thickBot="1" x14ac:dyDescent="0.25">
      <c r="B2" s="277" t="s">
        <v>15</v>
      </c>
      <c r="C2" s="278"/>
      <c r="D2" s="279"/>
      <c r="E2" s="20" t="s">
        <v>16</v>
      </c>
    </row>
    <row r="3" spans="2:5" ht="15.75" thickBot="1" x14ac:dyDescent="0.25">
      <c r="B3" s="21"/>
      <c r="C3" s="22" t="s">
        <v>92</v>
      </c>
      <c r="D3" s="95" t="s">
        <v>132</v>
      </c>
      <c r="E3" s="274">
        <f>ROUNDUP((C12/D6),1)</f>
        <v>0.5</v>
      </c>
    </row>
    <row r="4" spans="2:5" ht="27.75" x14ac:dyDescent="0.2">
      <c r="B4" s="256" t="s">
        <v>193</v>
      </c>
      <c r="C4" s="24">
        <v>1.75</v>
      </c>
      <c r="D4" s="96">
        <f>60*12/16*C4*1.15</f>
        <v>90.5625</v>
      </c>
      <c r="E4" s="275"/>
    </row>
    <row r="5" spans="2:5" ht="42" thickBot="1" x14ac:dyDescent="0.25">
      <c r="B5" s="83" t="s">
        <v>125</v>
      </c>
      <c r="C5" s="27">
        <v>0.7</v>
      </c>
      <c r="D5" s="97">
        <f>60*12/16*C5*1.15</f>
        <v>36.224999999999994</v>
      </c>
      <c r="E5" s="275"/>
    </row>
    <row r="6" spans="2:5" ht="15.75" thickBot="1" x14ac:dyDescent="0.25">
      <c r="B6" s="28" t="s">
        <v>17</v>
      </c>
      <c r="C6" s="29">
        <f>SUM(C4:C5)</f>
        <v>2.4500000000000002</v>
      </c>
      <c r="D6" s="98">
        <f>SUM(D4:D5)</f>
        <v>126.78749999999999</v>
      </c>
      <c r="E6" s="276"/>
    </row>
    <row r="8" spans="2:5" x14ac:dyDescent="0.2">
      <c r="B8" s="258" t="s">
        <v>133</v>
      </c>
      <c r="C8" s="258"/>
      <c r="D8" s="94">
        <f>ROUNDDOWN(250/D6,2)</f>
        <v>1.97</v>
      </c>
    </row>
    <row r="10" spans="2:5" x14ac:dyDescent="0.2">
      <c r="B10" s="18" t="s">
        <v>7</v>
      </c>
      <c r="C10" s="64">
        <v>30</v>
      </c>
    </row>
    <row r="12" spans="2:5" x14ac:dyDescent="0.2">
      <c r="B12" s="18" t="s">
        <v>8</v>
      </c>
      <c r="C12" s="99">
        <f>((C10*12*C6/16)*1.15)-C13</f>
        <v>63.393750000000004</v>
      </c>
    </row>
    <row r="13" spans="2:5" x14ac:dyDescent="0.2">
      <c r="B13" s="18" t="s">
        <v>9</v>
      </c>
      <c r="C13" s="64">
        <v>0</v>
      </c>
    </row>
    <row r="14" spans="2:5" x14ac:dyDescent="0.2">
      <c r="B14" s="18" t="s">
        <v>10</v>
      </c>
      <c r="C14" s="99">
        <f>D6*E3</f>
        <v>63.393749999999997</v>
      </c>
    </row>
    <row r="16" spans="2:5" x14ac:dyDescent="0.2">
      <c r="B16" s="18" t="s">
        <v>11</v>
      </c>
    </row>
    <row r="17" spans="2:5" ht="27.75" x14ac:dyDescent="0.2">
      <c r="B17" s="257" t="s">
        <v>193</v>
      </c>
      <c r="C17" s="99">
        <f>E3*D4</f>
        <v>45.28125</v>
      </c>
      <c r="D17" s="18" t="s">
        <v>12</v>
      </c>
    </row>
    <row r="18" spans="2:5" x14ac:dyDescent="0.2">
      <c r="B18" s="18" t="s">
        <v>97</v>
      </c>
      <c r="C18" s="99">
        <f>E3*D5</f>
        <v>18.112499999999997</v>
      </c>
      <c r="D18" s="18" t="s">
        <v>12</v>
      </c>
    </row>
    <row r="20" spans="2:5" x14ac:dyDescent="0.2">
      <c r="B20" s="280" t="s">
        <v>192</v>
      </c>
      <c r="C20" s="280"/>
      <c r="D20" s="280"/>
      <c r="E20" s="280"/>
    </row>
  </sheetData>
  <sheetProtection sheet="1" objects="1" scenarios="1" selectLockedCells="1"/>
  <mergeCells count="4">
    <mergeCell ref="E3:E6"/>
    <mergeCell ref="B2:D2"/>
    <mergeCell ref="B8:C8"/>
    <mergeCell ref="B20:E20"/>
  </mergeCells>
  <pageMargins left="0" right="0" top="0" bottom="0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E31C-8A77-4C4A-A855-F79269E53686}">
  <dimension ref="B1:I12"/>
  <sheetViews>
    <sheetView workbookViewId="0">
      <selection activeCell="C7" sqref="C7"/>
    </sheetView>
  </sheetViews>
  <sheetFormatPr defaultColWidth="9.14453125" defaultRowHeight="15" x14ac:dyDescent="0.2"/>
  <cols>
    <col min="1" max="1" width="9.14453125" style="9"/>
    <col min="2" max="2" width="28.65234375" style="9" bestFit="1" customWidth="1"/>
    <col min="3" max="3" width="8.875" style="9" bestFit="1" customWidth="1"/>
    <col min="4" max="4" width="8.609375" style="9" bestFit="1" customWidth="1"/>
    <col min="5" max="5" width="4.83984375" style="9" bestFit="1" customWidth="1"/>
    <col min="6" max="6" width="19.7734375" style="9" customWidth="1"/>
    <col min="7" max="7" width="8.875" style="9" bestFit="1" customWidth="1"/>
    <col min="8" max="8" width="8.203125" style="9" bestFit="1" customWidth="1"/>
    <col min="9" max="9" width="13.1796875" style="9" bestFit="1" customWidth="1"/>
    <col min="10" max="10" width="9.14453125" style="9" customWidth="1"/>
    <col min="11" max="16384" width="9.14453125" style="9"/>
  </cols>
  <sheetData>
    <row r="1" spans="2:9" ht="15.75" thickBot="1" x14ac:dyDescent="0.25"/>
    <row r="2" spans="2:9" ht="15.75" thickBot="1" x14ac:dyDescent="0.25">
      <c r="B2" s="281" t="s">
        <v>135</v>
      </c>
      <c r="C2" s="282"/>
      <c r="D2" s="283"/>
      <c r="F2" s="284" t="s">
        <v>172</v>
      </c>
      <c r="G2" s="285"/>
      <c r="H2" s="285"/>
      <c r="I2" s="286"/>
    </row>
    <row r="3" spans="2:9" ht="15.75" thickBot="1" x14ac:dyDescent="0.25">
      <c r="B3" s="36"/>
      <c r="C3" s="37" t="s">
        <v>92</v>
      </c>
      <c r="D3" s="105" t="s">
        <v>96</v>
      </c>
      <c r="F3" s="220"/>
      <c r="G3" s="221" t="s">
        <v>92</v>
      </c>
      <c r="H3" s="222" t="s">
        <v>96</v>
      </c>
      <c r="I3" s="12" t="s">
        <v>171</v>
      </c>
    </row>
    <row r="4" spans="2:9" ht="28.5" thickBot="1" x14ac:dyDescent="0.25">
      <c r="B4" s="116" t="s">
        <v>139</v>
      </c>
      <c r="C4" s="12">
        <v>2</v>
      </c>
      <c r="D4" s="108">
        <f>48*12/16*C4*1.15</f>
        <v>82.8</v>
      </c>
      <c r="F4" s="107" t="s">
        <v>134</v>
      </c>
      <c r="G4" s="12">
        <v>2</v>
      </c>
      <c r="H4" s="108">
        <f>48*12/16*G4*1.25</f>
        <v>90</v>
      </c>
      <c r="I4" s="12">
        <f>C7*12*G4/16*1.25</f>
        <v>90</v>
      </c>
    </row>
    <row r="7" spans="2:9" x14ac:dyDescent="0.2">
      <c r="B7" s="9" t="s">
        <v>20</v>
      </c>
      <c r="C7" s="78">
        <v>48</v>
      </c>
    </row>
    <row r="9" spans="2:9" s="18" customFormat="1" x14ac:dyDescent="0.2">
      <c r="B9" s="18" t="s">
        <v>46</v>
      </c>
    </row>
    <row r="10" spans="2:9" s="18" customFormat="1" x14ac:dyDescent="0.2">
      <c r="B10" s="117" t="s">
        <v>140</v>
      </c>
      <c r="C10" s="64">
        <v>0</v>
      </c>
    </row>
    <row r="11" spans="2:9" s="18" customFormat="1" x14ac:dyDescent="0.2">
      <c r="B11" s="106" t="s">
        <v>136</v>
      </c>
      <c r="C11" s="99">
        <f>C12/3.5*6</f>
        <v>154.28571428571428</v>
      </c>
      <c r="D11" s="99">
        <f>C11/6</f>
        <v>25.714285714285712</v>
      </c>
      <c r="E11" s="18" t="s">
        <v>118</v>
      </c>
    </row>
    <row r="12" spans="2:9" s="18" customFormat="1" x14ac:dyDescent="0.2">
      <c r="B12" s="106" t="s">
        <v>137</v>
      </c>
      <c r="C12" s="99">
        <f>(C7*12*C4/16*1.25)-C10</f>
        <v>90</v>
      </c>
    </row>
  </sheetData>
  <sheetProtection sheet="1" objects="1" scenarios="1" selectLockedCells="1"/>
  <mergeCells count="2">
    <mergeCell ref="B2:D2"/>
    <mergeCell ref="F2:I2"/>
  </mergeCells>
  <pageMargins left="0" right="0" top="0" bottom="0" header="0" footer="0"/>
  <pageSetup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2CFD-BD86-4574-9773-81B33778166C}">
  <dimension ref="B1:E24"/>
  <sheetViews>
    <sheetView workbookViewId="0">
      <selection activeCell="C16" sqref="C16"/>
    </sheetView>
  </sheetViews>
  <sheetFormatPr defaultColWidth="14.390625" defaultRowHeight="15" x14ac:dyDescent="0.2"/>
  <cols>
    <col min="1" max="1" width="4.3046875" style="9" customWidth="1"/>
    <col min="2" max="2" width="29.0546875" style="9" bestFit="1" customWidth="1"/>
    <col min="3" max="3" width="8.875" style="9" bestFit="1" customWidth="1"/>
    <col min="4" max="4" width="9.28125" style="9" bestFit="1" customWidth="1"/>
    <col min="5" max="5" width="10.76171875" style="9" bestFit="1" customWidth="1"/>
    <col min="6" max="27" width="9.14453125" style="9" customWidth="1"/>
    <col min="28" max="16384" width="14.390625" style="9"/>
  </cols>
  <sheetData>
    <row r="1" spans="2:5" ht="15.75" thickBot="1" x14ac:dyDescent="0.25"/>
    <row r="2" spans="2:5" ht="15.75" thickBot="1" x14ac:dyDescent="0.25">
      <c r="B2" s="287" t="s">
        <v>98</v>
      </c>
      <c r="C2" s="288"/>
      <c r="D2" s="289"/>
      <c r="E2" s="30" t="s">
        <v>0</v>
      </c>
    </row>
    <row r="3" spans="2:5" ht="15.75" thickBot="1" x14ac:dyDescent="0.25">
      <c r="B3" s="10"/>
      <c r="C3" s="10" t="s">
        <v>92</v>
      </c>
      <c r="D3" s="100" t="s">
        <v>132</v>
      </c>
      <c r="E3" s="290">
        <f>ROUNDUP((C15/D9),1)</f>
        <v>1</v>
      </c>
    </row>
    <row r="4" spans="2:5" x14ac:dyDescent="0.2">
      <c r="B4" s="85" t="s">
        <v>126</v>
      </c>
      <c r="C4" s="31">
        <v>0.75</v>
      </c>
      <c r="D4" s="101">
        <f>48*12/16*C4*1.15</f>
        <v>31.049999999999997</v>
      </c>
      <c r="E4" s="291"/>
    </row>
    <row r="5" spans="2:5" x14ac:dyDescent="0.2">
      <c r="B5" s="86" t="s">
        <v>127</v>
      </c>
      <c r="C5" s="110">
        <v>0.75</v>
      </c>
      <c r="D5" s="102">
        <f>48*12/16*C5*1.15</f>
        <v>31.049999999999997</v>
      </c>
      <c r="E5" s="291"/>
    </row>
    <row r="6" spans="2:5" x14ac:dyDescent="0.2">
      <c r="B6" s="32" t="s">
        <v>13</v>
      </c>
      <c r="C6" s="110"/>
      <c r="D6" s="102">
        <v>10</v>
      </c>
      <c r="E6" s="291"/>
    </row>
    <row r="7" spans="2:5" x14ac:dyDescent="0.2">
      <c r="B7" s="86" t="s">
        <v>128</v>
      </c>
      <c r="C7" s="110">
        <v>0.75</v>
      </c>
      <c r="D7" s="102">
        <f>48*12/16*C7*1.15</f>
        <v>31.049999999999997</v>
      </c>
      <c r="E7" s="291"/>
    </row>
    <row r="8" spans="2:5" ht="15.75" thickBot="1" x14ac:dyDescent="0.25">
      <c r="B8" s="87" t="s">
        <v>129</v>
      </c>
      <c r="C8" s="33">
        <v>0.75</v>
      </c>
      <c r="D8" s="103">
        <f>48*12/16*C8*1.15</f>
        <v>31.049999999999997</v>
      </c>
      <c r="E8" s="291"/>
    </row>
    <row r="9" spans="2:5" ht="15.75" thickBot="1" x14ac:dyDescent="0.25">
      <c r="B9" s="34" t="s">
        <v>17</v>
      </c>
      <c r="C9" s="17">
        <f>SUM(C4:C8)</f>
        <v>3</v>
      </c>
      <c r="D9" s="104">
        <f>SUM(D4,D5,D7,D8)</f>
        <v>124.19999999999999</v>
      </c>
      <c r="E9" s="292"/>
    </row>
    <row r="11" spans="2:5" x14ac:dyDescent="0.2">
      <c r="B11" s="258" t="s">
        <v>133</v>
      </c>
      <c r="C11" s="258"/>
      <c r="D11" s="94">
        <f>ROUNDDOWN(250/D9,2)</f>
        <v>2.0099999999999998</v>
      </c>
    </row>
    <row r="13" spans="2:5" x14ac:dyDescent="0.2">
      <c r="B13" s="9" t="s">
        <v>29</v>
      </c>
      <c r="C13" s="78">
        <v>48</v>
      </c>
    </row>
    <row r="15" spans="2:5" x14ac:dyDescent="0.2">
      <c r="B15" s="9" t="s">
        <v>8</v>
      </c>
      <c r="C15" s="94">
        <f>((C13*12*C9/16)*1.15)-C16</f>
        <v>124.19999999999999</v>
      </c>
    </row>
    <row r="16" spans="2:5" x14ac:dyDescent="0.2">
      <c r="B16" s="9" t="s">
        <v>9</v>
      </c>
      <c r="C16" s="78">
        <v>0</v>
      </c>
    </row>
    <row r="17" spans="2:4" x14ac:dyDescent="0.2">
      <c r="B17" s="9" t="s">
        <v>10</v>
      </c>
      <c r="C17" s="94">
        <f>E3*D9</f>
        <v>124.19999999999999</v>
      </c>
    </row>
    <row r="19" spans="2:4" x14ac:dyDescent="0.2">
      <c r="B19" s="9" t="s">
        <v>11</v>
      </c>
    </row>
    <row r="20" spans="2:4" x14ac:dyDescent="0.2">
      <c r="B20" s="9" t="s">
        <v>61</v>
      </c>
      <c r="C20" s="94">
        <f>E3*D4</f>
        <v>31.049999999999997</v>
      </c>
      <c r="D20" s="9" t="s">
        <v>12</v>
      </c>
    </row>
    <row r="21" spans="2:4" x14ac:dyDescent="0.2">
      <c r="B21" s="9" t="s">
        <v>22</v>
      </c>
      <c r="C21" s="94">
        <f>E3*D5</f>
        <v>31.049999999999997</v>
      </c>
      <c r="D21" s="9" t="s">
        <v>12</v>
      </c>
    </row>
    <row r="22" spans="2:4" x14ac:dyDescent="0.2">
      <c r="B22" s="9" t="s">
        <v>23</v>
      </c>
      <c r="C22" s="94">
        <f>E3*D7</f>
        <v>31.049999999999997</v>
      </c>
      <c r="D22" s="9" t="s">
        <v>12</v>
      </c>
    </row>
    <row r="23" spans="2:4" x14ac:dyDescent="0.2">
      <c r="B23" s="9" t="s">
        <v>24</v>
      </c>
      <c r="C23" s="94">
        <f>E3*D8</f>
        <v>31.049999999999997</v>
      </c>
      <c r="D23" s="9" t="s">
        <v>12</v>
      </c>
    </row>
    <row r="24" spans="2:4" x14ac:dyDescent="0.2">
      <c r="B24" s="9" t="s">
        <v>13</v>
      </c>
      <c r="C24" s="94">
        <f>D6*E3</f>
        <v>10</v>
      </c>
      <c r="D24" s="9" t="s">
        <v>12</v>
      </c>
    </row>
  </sheetData>
  <sheetProtection sheet="1" objects="1" scenarios="1" selectLockedCells="1"/>
  <mergeCells count="3">
    <mergeCell ref="B2:D2"/>
    <mergeCell ref="E3:E9"/>
    <mergeCell ref="B11:C11"/>
  </mergeCells>
  <pageMargins left="0" right="0" top="0" bottom="0" header="0" footer="0"/>
  <pageSetup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427E-A50B-4A38-8319-5AD2B103AB69}">
  <dimension ref="B1:E18"/>
  <sheetViews>
    <sheetView workbookViewId="0">
      <selection activeCell="C13" sqref="C13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293" t="s">
        <v>131</v>
      </c>
      <c r="C2" s="294"/>
      <c r="D2" s="295"/>
      <c r="E2" s="38" t="s">
        <v>0</v>
      </c>
    </row>
    <row r="3" spans="2:5" ht="15.75" thickBot="1" x14ac:dyDescent="0.25">
      <c r="B3" s="38"/>
      <c r="C3" s="38" t="s">
        <v>92</v>
      </c>
      <c r="D3" s="119" t="s">
        <v>132</v>
      </c>
      <c r="E3" s="296">
        <f>ROUNDUP(C12/D6,1)</f>
        <v>2</v>
      </c>
    </row>
    <row r="4" spans="2:5" ht="41.25" x14ac:dyDescent="0.2">
      <c r="B4" s="88" t="s">
        <v>130</v>
      </c>
      <c r="C4" s="50">
        <v>2.98</v>
      </c>
      <c r="D4" s="120">
        <f>48*12*C4/16*1.15</f>
        <v>123.37199999999999</v>
      </c>
      <c r="E4" s="297"/>
    </row>
    <row r="5" spans="2:5" ht="15.75" thickBot="1" x14ac:dyDescent="0.25">
      <c r="B5" s="87" t="s">
        <v>35</v>
      </c>
      <c r="C5" s="52">
        <v>0.02</v>
      </c>
      <c r="D5" s="114">
        <f>48*12*C5/16*1.15</f>
        <v>0.82799999999999996</v>
      </c>
      <c r="E5" s="297"/>
    </row>
    <row r="6" spans="2:5" ht="15.75" thickBot="1" x14ac:dyDescent="0.25">
      <c r="B6" s="54" t="s">
        <v>17</v>
      </c>
      <c r="C6" s="54">
        <f>SUM(C4:C5)</f>
        <v>3</v>
      </c>
      <c r="D6" s="121">
        <f>SUM(D4:D5)</f>
        <v>124.19999999999999</v>
      </c>
      <c r="E6" s="298"/>
    </row>
    <row r="8" spans="2:5" x14ac:dyDescent="0.2">
      <c r="B8" s="258" t="s">
        <v>133</v>
      </c>
      <c r="C8" s="258"/>
      <c r="D8" s="94">
        <f>ROUNDDOWN(250/D6,2)</f>
        <v>2.0099999999999998</v>
      </c>
    </row>
    <row r="10" spans="2:5" x14ac:dyDescent="0.2">
      <c r="B10" s="18" t="s">
        <v>29</v>
      </c>
      <c r="C10" s="64">
        <v>96</v>
      </c>
    </row>
    <row r="12" spans="2:5" x14ac:dyDescent="0.2">
      <c r="B12" s="18" t="s">
        <v>8</v>
      </c>
      <c r="C12" s="99">
        <f>((C10*12*C6/16)*1.15)-C13</f>
        <v>248.39999999999998</v>
      </c>
    </row>
    <row r="13" spans="2:5" x14ac:dyDescent="0.2">
      <c r="B13" s="18" t="s">
        <v>9</v>
      </c>
      <c r="C13" s="64">
        <v>0</v>
      </c>
    </row>
    <row r="14" spans="2:5" x14ac:dyDescent="0.2">
      <c r="B14" s="18" t="s">
        <v>10</v>
      </c>
      <c r="C14" s="99">
        <f>D6*E3</f>
        <v>248.39999999999998</v>
      </c>
    </row>
    <row r="16" spans="2:5" x14ac:dyDescent="0.2">
      <c r="B16" s="18" t="s">
        <v>11</v>
      </c>
    </row>
    <row r="17" spans="2:4" ht="41.25" x14ac:dyDescent="0.2">
      <c r="B17" s="84" t="s">
        <v>130</v>
      </c>
      <c r="C17" s="99">
        <f>E3*D4</f>
        <v>246.74399999999997</v>
      </c>
      <c r="D17" s="18" t="s">
        <v>12</v>
      </c>
    </row>
    <row r="18" spans="2:4" x14ac:dyDescent="0.2">
      <c r="B18" s="89" t="s">
        <v>35</v>
      </c>
      <c r="C18" s="99">
        <f>E3*D5</f>
        <v>1.6559999999999999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D1AE9-1581-4222-9530-08643EE6A7E4}">
  <dimension ref="B1:D12"/>
  <sheetViews>
    <sheetView workbookViewId="0">
      <selection activeCell="C6" sqref="C6"/>
    </sheetView>
  </sheetViews>
  <sheetFormatPr defaultColWidth="14.390625" defaultRowHeight="15" x14ac:dyDescent="0.2"/>
  <cols>
    <col min="1" max="1" width="3.765625" style="18" customWidth="1"/>
    <col min="2" max="2" width="27.7109375" style="18" bestFit="1" customWidth="1"/>
    <col min="3" max="3" width="8.875" style="18" bestFit="1" customWidth="1"/>
    <col min="4" max="4" width="11.703125" style="18" bestFit="1" customWidth="1"/>
    <col min="5" max="26" width="9.14453125" style="18" customWidth="1"/>
    <col min="27" max="16384" width="14.390625" style="18"/>
  </cols>
  <sheetData>
    <row r="1" spans="2:4" ht="15.75" thickBot="1" x14ac:dyDescent="0.25"/>
    <row r="2" spans="2:4" ht="15.75" thickBot="1" x14ac:dyDescent="0.25">
      <c r="B2" s="299" t="s">
        <v>100</v>
      </c>
      <c r="C2" s="300"/>
      <c r="D2" s="301"/>
    </row>
    <row r="3" spans="2:4" ht="15.75" thickBot="1" x14ac:dyDescent="0.25">
      <c r="B3" s="21"/>
      <c r="C3" s="22" t="s">
        <v>92</v>
      </c>
      <c r="D3" s="39" t="s">
        <v>96</v>
      </c>
    </row>
    <row r="4" spans="2:4" ht="15.75" thickBot="1" x14ac:dyDescent="0.25">
      <c r="B4" s="40" t="s">
        <v>99</v>
      </c>
      <c r="C4" s="148">
        <v>1.75</v>
      </c>
      <c r="D4" s="149">
        <f>C6*12/16*C4*1.15</f>
        <v>72.449999999999989</v>
      </c>
    </row>
    <row r="6" spans="2:4" x14ac:dyDescent="0.2">
      <c r="B6" s="18" t="s">
        <v>20</v>
      </c>
      <c r="C6" s="64">
        <v>48</v>
      </c>
    </row>
    <row r="8" spans="2:4" x14ac:dyDescent="0.2">
      <c r="B8" s="106" t="s">
        <v>138</v>
      </c>
      <c r="C8" s="64">
        <v>0</v>
      </c>
    </row>
    <row r="10" spans="2:4" x14ac:dyDescent="0.2">
      <c r="B10" s="18" t="s">
        <v>11</v>
      </c>
    </row>
    <row r="11" spans="2:4" x14ac:dyDescent="0.2">
      <c r="B11" s="18" t="s">
        <v>99</v>
      </c>
      <c r="C11" s="99">
        <f>C12+(C12/25*3)</f>
        <v>88.2</v>
      </c>
      <c r="D11" s="18" t="s">
        <v>103</v>
      </c>
    </row>
    <row r="12" spans="2:4" x14ac:dyDescent="0.2">
      <c r="C12" s="99">
        <f>((C6*12*C4/16)*1.25)-C8</f>
        <v>78.75</v>
      </c>
      <c r="D12" s="18" t="s">
        <v>101</v>
      </c>
    </row>
  </sheetData>
  <sheetProtection sheet="1" objects="1" scenarios="1" selectLockedCells="1"/>
  <mergeCells count="1">
    <mergeCell ref="B2:D2"/>
  </mergeCells>
  <pageMargins left="0" right="0" top="0" bottom="0" header="0" footer="0"/>
  <pageSetup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295A2-5083-4FA6-B52B-04A1A8BCBE0A}">
  <dimension ref="B1:E20"/>
  <sheetViews>
    <sheetView workbookViewId="0">
      <selection activeCell="C14" sqref="C14"/>
    </sheetView>
  </sheetViews>
  <sheetFormatPr defaultColWidth="14.390625" defaultRowHeight="15" x14ac:dyDescent="0.2"/>
  <cols>
    <col min="1" max="1" width="3.765625" style="18" customWidth="1"/>
    <col min="2" max="2" width="28.382812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7" width="9.14453125" style="18" customWidth="1"/>
    <col min="8" max="16384" width="14.390625" style="18"/>
  </cols>
  <sheetData>
    <row r="1" spans="2:5" ht="15.75" thickBot="1" x14ac:dyDescent="0.25"/>
    <row r="2" spans="2:5" ht="15.75" thickBot="1" x14ac:dyDescent="0.25">
      <c r="B2" s="299" t="s">
        <v>105</v>
      </c>
      <c r="C2" s="300"/>
      <c r="D2" s="301"/>
      <c r="E2" s="38" t="s">
        <v>0</v>
      </c>
    </row>
    <row r="3" spans="2:5" ht="15.75" thickBot="1" x14ac:dyDescent="0.25">
      <c r="B3" s="43"/>
      <c r="C3" s="22" t="s">
        <v>92</v>
      </c>
      <c r="D3" s="118" t="s">
        <v>132</v>
      </c>
      <c r="E3" s="274">
        <f>ROUNDUP((C13/D7),1)</f>
        <v>8</v>
      </c>
    </row>
    <row r="4" spans="2:5" x14ac:dyDescent="0.2">
      <c r="B4" s="24" t="s">
        <v>21</v>
      </c>
      <c r="C4" s="145">
        <v>0.7</v>
      </c>
      <c r="D4" s="112">
        <f>48*12/16*C4*1.15</f>
        <v>28.979999999999997</v>
      </c>
      <c r="E4" s="297"/>
    </row>
    <row r="5" spans="2:5" x14ac:dyDescent="0.2">
      <c r="B5" s="44" t="s">
        <v>22</v>
      </c>
      <c r="C5" s="146">
        <v>1</v>
      </c>
      <c r="D5" s="113">
        <f>48*12/16*C5*1.15</f>
        <v>41.4</v>
      </c>
      <c r="E5" s="297"/>
    </row>
    <row r="6" spans="2:5" ht="15.75" thickBot="1" x14ac:dyDescent="0.25">
      <c r="B6" s="44" t="s">
        <v>104</v>
      </c>
      <c r="C6" s="146">
        <v>1</v>
      </c>
      <c r="D6" s="113">
        <f>48*12/16*C6*1.15</f>
        <v>41.4</v>
      </c>
      <c r="E6" s="297"/>
    </row>
    <row r="7" spans="2:5" ht="15.75" thickBot="1" x14ac:dyDescent="0.25">
      <c r="B7" s="46" t="s">
        <v>17</v>
      </c>
      <c r="C7" s="147">
        <f>SUM(C4:C6)</f>
        <v>2.7</v>
      </c>
      <c r="D7" s="115">
        <f>SUM(D4:D6)</f>
        <v>111.78</v>
      </c>
      <c r="E7" s="298"/>
    </row>
    <row r="9" spans="2:5" x14ac:dyDescent="0.2">
      <c r="B9" s="258" t="s">
        <v>133</v>
      </c>
      <c r="C9" s="258"/>
      <c r="D9" s="94">
        <f>ROUNDDOWN(250/D7,2)</f>
        <v>2.23</v>
      </c>
    </row>
    <row r="11" spans="2:5" x14ac:dyDescent="0.2">
      <c r="B11" s="18" t="s">
        <v>25</v>
      </c>
      <c r="C11" s="64">
        <v>425</v>
      </c>
    </row>
    <row r="13" spans="2:5" x14ac:dyDescent="0.2">
      <c r="B13" s="18" t="s">
        <v>8</v>
      </c>
      <c r="C13" s="99">
        <f>((C11*12*C7/16)*1.15)-C14</f>
        <v>889.71874999999989</v>
      </c>
    </row>
    <row r="14" spans="2:5" x14ac:dyDescent="0.2">
      <c r="B14" s="18" t="s">
        <v>9</v>
      </c>
      <c r="C14" s="64">
        <v>100</v>
      </c>
    </row>
    <row r="15" spans="2:5" x14ac:dyDescent="0.2">
      <c r="B15" s="18" t="s">
        <v>10</v>
      </c>
      <c r="C15" s="99">
        <f>D7*E3</f>
        <v>894.24</v>
      </c>
    </row>
    <row r="17" spans="2:4" x14ac:dyDescent="0.2">
      <c r="B17" s="18" t="s">
        <v>11</v>
      </c>
    </row>
    <row r="18" spans="2:4" x14ac:dyDescent="0.2">
      <c r="B18" s="18" t="s">
        <v>21</v>
      </c>
      <c r="C18" s="99">
        <f>E3*D4</f>
        <v>231.83999999999997</v>
      </c>
      <c r="D18" s="18" t="s">
        <v>12</v>
      </c>
    </row>
    <row r="19" spans="2:4" x14ac:dyDescent="0.2">
      <c r="B19" s="18" t="s">
        <v>22</v>
      </c>
      <c r="C19" s="99">
        <f>E3*D5</f>
        <v>331.2</v>
      </c>
      <c r="D19" s="18" t="s">
        <v>12</v>
      </c>
    </row>
    <row r="20" spans="2:4" x14ac:dyDescent="0.2">
      <c r="B20" s="18" t="s">
        <v>104</v>
      </c>
      <c r="C20" s="99">
        <f>E3*D6</f>
        <v>331.2</v>
      </c>
      <c r="D20" s="18" t="s">
        <v>12</v>
      </c>
    </row>
  </sheetData>
  <sheetProtection sheet="1" objects="1" scenarios="1" selectLockedCells="1"/>
  <mergeCells count="3">
    <mergeCell ref="B2:D2"/>
    <mergeCell ref="E3:E7"/>
    <mergeCell ref="B9:C9"/>
  </mergeCells>
  <pageMargins left="0" right="0" top="0" bottom="0" header="0" footer="0"/>
  <pageSetup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2DA7-B7F2-4951-80AE-FA4A204A3C0E}">
  <dimension ref="B1:E11"/>
  <sheetViews>
    <sheetView workbookViewId="0">
      <selection activeCell="C8" sqref="C8"/>
    </sheetView>
  </sheetViews>
  <sheetFormatPr defaultColWidth="9.14453125" defaultRowHeight="15" x14ac:dyDescent="0.2"/>
  <cols>
    <col min="1" max="1" width="9.14453125" style="9"/>
    <col min="2" max="2" width="18.6953125" style="9" bestFit="1" customWidth="1"/>
    <col min="3" max="3" width="8.875" style="9" bestFit="1" customWidth="1"/>
    <col min="4" max="4" width="8.203125" style="9" bestFit="1" customWidth="1"/>
    <col min="5" max="5" width="13.1796875" style="9" bestFit="1" customWidth="1"/>
    <col min="6" max="16384" width="9.14453125" style="9"/>
  </cols>
  <sheetData>
    <row r="1" spans="2:5" ht="15.75" thickBot="1" x14ac:dyDescent="0.25"/>
    <row r="2" spans="2:5" ht="15.75" thickBot="1" x14ac:dyDescent="0.25">
      <c r="B2" s="302" t="s">
        <v>142</v>
      </c>
      <c r="C2" s="303"/>
      <c r="D2" s="303"/>
      <c r="E2" s="304"/>
    </row>
    <row r="3" spans="2:5" ht="15.75" thickBot="1" x14ac:dyDescent="0.25">
      <c r="B3" s="220"/>
      <c r="C3" s="223" t="s">
        <v>92</v>
      </c>
      <c r="D3" s="222" t="s">
        <v>96</v>
      </c>
      <c r="E3" s="12" t="s">
        <v>171</v>
      </c>
    </row>
    <row r="4" spans="2:5" ht="15.75" thickBot="1" x14ac:dyDescent="0.25">
      <c r="B4" s="35" t="s">
        <v>141</v>
      </c>
      <c r="C4" s="35">
        <v>4</v>
      </c>
      <c r="D4" s="218">
        <f>48*12/16*C4*1.25</f>
        <v>180</v>
      </c>
      <c r="E4" s="12" t="str">
        <f>ROUNDUP(((((C6*12*C4/16)*1.25))/82),0)&amp; " Buckets"</f>
        <v>3 Buckets</v>
      </c>
    </row>
    <row r="6" spans="2:5" x14ac:dyDescent="0.2">
      <c r="B6" s="9" t="s">
        <v>20</v>
      </c>
      <c r="C6" s="78">
        <v>48</v>
      </c>
    </row>
    <row r="8" spans="2:5" x14ac:dyDescent="0.2">
      <c r="C8" s="78"/>
    </row>
    <row r="11" spans="2:5" x14ac:dyDescent="0.2">
      <c r="C11" s="94"/>
    </row>
  </sheetData>
  <sheetProtection sheet="1" objects="1" scenarios="1" selectLockedCells="1"/>
  <mergeCells count="1">
    <mergeCell ref="B2:E2"/>
  </mergeCells>
  <pageMargins left="0" right="0" top="0" bottom="0" header="0" footer="0"/>
  <pageSetup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1"/>
  <sheetViews>
    <sheetView workbookViewId="0">
      <selection sqref="A1:XFD1048576"/>
    </sheetView>
  </sheetViews>
  <sheetFormatPr defaultColWidth="14.390625" defaultRowHeight="15" x14ac:dyDescent="0.2"/>
  <cols>
    <col min="1" max="1" width="3.765625" style="9" customWidth="1"/>
    <col min="2" max="2" width="27.7109375" style="9" bestFit="1" customWidth="1"/>
    <col min="3" max="3" width="8.875" style="9" bestFit="1" customWidth="1"/>
    <col min="4" max="4" width="17.21875" style="9" bestFit="1" customWidth="1"/>
    <col min="5" max="26" width="9.14453125" style="9" customWidth="1"/>
    <col min="27" max="16384" width="14.390625" style="9"/>
  </cols>
  <sheetData>
    <row r="1" spans="2:4" ht="15.75" thickBot="1" x14ac:dyDescent="0.25"/>
    <row r="2" spans="2:4" ht="15.75" thickBot="1" x14ac:dyDescent="0.25">
      <c r="B2" s="268" t="s">
        <v>18</v>
      </c>
      <c r="C2" s="269"/>
      <c r="D2" s="270"/>
    </row>
    <row r="3" spans="2:4" ht="15.75" thickBot="1" x14ac:dyDescent="0.25">
      <c r="B3" s="36"/>
      <c r="C3" s="37" t="s">
        <v>92</v>
      </c>
      <c r="D3" s="105" t="s">
        <v>96</v>
      </c>
    </row>
    <row r="4" spans="2:4" ht="15.75" thickBot="1" x14ac:dyDescent="0.25">
      <c r="B4" s="35" t="s">
        <v>19</v>
      </c>
      <c r="C4" s="35">
        <v>1.75</v>
      </c>
      <c r="D4" s="109">
        <f>48*12/16*C4*1.15</f>
        <v>72.449999999999989</v>
      </c>
    </row>
    <row r="6" spans="2:4" x14ac:dyDescent="0.2">
      <c r="B6" s="9" t="s">
        <v>20</v>
      </c>
      <c r="C6" s="78">
        <v>48</v>
      </c>
    </row>
    <row r="8" spans="2:4" x14ac:dyDescent="0.2">
      <c r="B8" s="9" t="s">
        <v>9</v>
      </c>
      <c r="C8" s="78">
        <v>0</v>
      </c>
    </row>
    <row r="10" spans="2:4" x14ac:dyDescent="0.2">
      <c r="B10" s="9" t="s">
        <v>11</v>
      </c>
    </row>
    <row r="11" spans="2:4" x14ac:dyDescent="0.2">
      <c r="B11" s="9" t="s">
        <v>19</v>
      </c>
      <c r="C11" s="94">
        <f>((C6*12*C4/16)*1.25)-C8</f>
        <v>78.75</v>
      </c>
      <c r="D11" s="9" t="s">
        <v>12</v>
      </c>
    </row>
  </sheetData>
  <sheetProtection selectLockedCells="1"/>
  <mergeCells count="1">
    <mergeCell ref="B2:D2"/>
  </mergeCells>
  <pageMargins left="0" right="0" top="0" bottom="0" header="0" footer="0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E22"/>
  <sheetViews>
    <sheetView zoomScaleNormal="100" workbookViewId="0">
      <selection activeCell="C12" sqref="C12"/>
    </sheetView>
  </sheetViews>
  <sheetFormatPr defaultColWidth="9.14453125" defaultRowHeight="15" x14ac:dyDescent="0.2"/>
  <cols>
    <col min="1" max="1" width="3.62890625" style="18" customWidth="1"/>
    <col min="2" max="2" width="29.0546875" style="18" bestFit="1" customWidth="1"/>
    <col min="3" max="3" width="8.875" style="18" bestFit="1" customWidth="1"/>
    <col min="4" max="4" width="9.28125" style="18" customWidth="1"/>
    <col min="5" max="5" width="10.76171875" style="18" bestFit="1" customWidth="1"/>
    <col min="6" max="16384" width="9.14453125" style="18"/>
  </cols>
  <sheetData>
    <row r="1" spans="2:5" ht="15.75" thickBot="1" x14ac:dyDescent="0.25"/>
    <row r="2" spans="2:5" ht="15.75" thickBot="1" x14ac:dyDescent="0.25">
      <c r="B2" s="299" t="s">
        <v>106</v>
      </c>
      <c r="C2" s="300"/>
      <c r="D2" s="301"/>
      <c r="E2" s="38" t="s">
        <v>0</v>
      </c>
    </row>
    <row r="3" spans="2:5" ht="15.75" thickBot="1" x14ac:dyDescent="0.25">
      <c r="B3" s="43"/>
      <c r="C3" s="22" t="s">
        <v>92</v>
      </c>
      <c r="D3" s="105" t="s">
        <v>132</v>
      </c>
      <c r="E3" s="274">
        <f>ROUNDUP((C14/D8),1)</f>
        <v>1</v>
      </c>
    </row>
    <row r="4" spans="2:5" x14ac:dyDescent="0.2">
      <c r="B4" s="24" t="s">
        <v>21</v>
      </c>
      <c r="C4" s="24">
        <v>0.56299999999999994</v>
      </c>
      <c r="D4" s="112">
        <f>48*12/16*C4*1.15</f>
        <v>23.308199999999996</v>
      </c>
      <c r="E4" s="297"/>
    </row>
    <row r="5" spans="2:5" x14ac:dyDescent="0.2">
      <c r="B5" s="44" t="s">
        <v>22</v>
      </c>
      <c r="C5" s="44">
        <v>0.56299999999999994</v>
      </c>
      <c r="D5" s="113">
        <f>48*12/16*C5*1.15</f>
        <v>23.308199999999996</v>
      </c>
      <c r="E5" s="297"/>
    </row>
    <row r="6" spans="2:5" x14ac:dyDescent="0.2">
      <c r="B6" s="44" t="s">
        <v>23</v>
      </c>
      <c r="C6" s="44">
        <v>0.56299999999999994</v>
      </c>
      <c r="D6" s="113">
        <f>48*12/16*C6*1.15</f>
        <v>23.308199999999996</v>
      </c>
      <c r="E6" s="297"/>
    </row>
    <row r="7" spans="2:5" x14ac:dyDescent="0.2">
      <c r="B7" s="51" t="s">
        <v>24</v>
      </c>
      <c r="C7" s="51">
        <v>0.56299999999999994</v>
      </c>
      <c r="D7" s="114">
        <f>48*12/16*C7*1.15</f>
        <v>23.308199999999996</v>
      </c>
      <c r="E7" s="297"/>
    </row>
    <row r="8" spans="2:5" x14ac:dyDescent="0.2">
      <c r="B8" s="46" t="s">
        <v>17</v>
      </c>
      <c r="C8" s="46">
        <f>SUM(C4:C7)</f>
        <v>2.2519999999999998</v>
      </c>
      <c r="D8" s="115">
        <f>SUM(D4:D7)</f>
        <v>93.232799999999983</v>
      </c>
      <c r="E8" s="298"/>
    </row>
    <row r="10" spans="2:5" x14ac:dyDescent="0.2">
      <c r="B10" s="258" t="s">
        <v>133</v>
      </c>
      <c r="C10" s="258"/>
      <c r="D10" s="94">
        <f>ROUNDDOWN(250/D8,2)</f>
        <v>2.68</v>
      </c>
    </row>
    <row r="12" spans="2:5" x14ac:dyDescent="0.2">
      <c r="B12" s="18" t="s">
        <v>25</v>
      </c>
      <c r="C12" s="64">
        <v>48</v>
      </c>
    </row>
    <row r="14" spans="2:5" x14ac:dyDescent="0.2">
      <c r="B14" s="18" t="s">
        <v>8</v>
      </c>
      <c r="C14" s="99">
        <f>((C12*12*C8/16)*1.15)-C15</f>
        <v>93.232799999999983</v>
      </c>
    </row>
    <row r="15" spans="2:5" x14ac:dyDescent="0.2">
      <c r="B15" s="18" t="s">
        <v>9</v>
      </c>
      <c r="C15" s="64">
        <v>0</v>
      </c>
    </row>
    <row r="16" spans="2:5" x14ac:dyDescent="0.2">
      <c r="B16" s="18" t="s">
        <v>10</v>
      </c>
      <c r="C16" s="99">
        <f>D8*E3</f>
        <v>93.232799999999983</v>
      </c>
    </row>
    <row r="18" spans="2:4" x14ac:dyDescent="0.2">
      <c r="B18" s="18" t="s">
        <v>11</v>
      </c>
    </row>
    <row r="19" spans="2:4" x14ac:dyDescent="0.2">
      <c r="B19" s="18" t="s">
        <v>21</v>
      </c>
      <c r="C19" s="99">
        <f>E3*D4</f>
        <v>23.308199999999996</v>
      </c>
      <c r="D19" s="18" t="s">
        <v>12</v>
      </c>
    </row>
    <row r="20" spans="2:4" x14ac:dyDescent="0.2">
      <c r="B20" s="18" t="s">
        <v>22</v>
      </c>
      <c r="C20" s="99">
        <f>E3*D5</f>
        <v>23.308199999999996</v>
      </c>
      <c r="D20" s="18" t="s">
        <v>12</v>
      </c>
    </row>
    <row r="21" spans="2:4" x14ac:dyDescent="0.2">
      <c r="B21" s="18" t="s">
        <v>23</v>
      </c>
      <c r="C21" s="99">
        <f>E3*D6</f>
        <v>23.308199999999996</v>
      </c>
      <c r="D21" s="18" t="s">
        <v>12</v>
      </c>
    </row>
    <row r="22" spans="2:4" x14ac:dyDescent="0.2">
      <c r="B22" s="18" t="s">
        <v>24</v>
      </c>
      <c r="C22" s="99">
        <f>E3*D7</f>
        <v>23.308199999999996</v>
      </c>
      <c r="D22" s="18" t="s">
        <v>12</v>
      </c>
    </row>
  </sheetData>
  <sheetProtection sheet="1" objects="1" scenarios="1" selectLockedCells="1"/>
  <mergeCells count="3">
    <mergeCell ref="B2:D2"/>
    <mergeCell ref="E3:E8"/>
    <mergeCell ref="B10:C10"/>
  </mergeCells>
  <pageMargins left="0" right="0" top="0" bottom="0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01"/>
  <sheetViews>
    <sheetView workbookViewId="0">
      <selection activeCell="C17" sqref="C17"/>
    </sheetView>
  </sheetViews>
  <sheetFormatPr defaultColWidth="14.390625" defaultRowHeight="15" customHeight="1" x14ac:dyDescent="0.2"/>
  <cols>
    <col min="1" max="1" width="6.58984375" customWidth="1"/>
    <col min="2" max="2" width="29.0546875" bestFit="1" customWidth="1"/>
    <col min="3" max="3" width="8.875" bestFit="1" customWidth="1"/>
    <col min="4" max="4" width="9.28125" bestFit="1" customWidth="1"/>
    <col min="5" max="5" width="10.76171875" bestFit="1" customWidth="1"/>
    <col min="6" max="6" width="4.3046875" customWidth="1"/>
    <col min="7" max="7" width="27.7109375" bestFit="1" customWidth="1"/>
    <col min="8" max="8" width="9.55078125" bestFit="1" customWidth="1"/>
    <col min="9" max="9" width="9.28125" bestFit="1" customWidth="1"/>
    <col min="10" max="10" width="10.76171875" bestFit="1" customWidth="1"/>
    <col min="11" max="28" width="9.14453125" customWidth="1"/>
  </cols>
  <sheetData>
    <row r="1" spans="1:28" ht="15.75" thickBot="1" x14ac:dyDescent="0.25">
      <c r="A1" s="122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</row>
    <row r="2" spans="1:28" ht="15.75" thickBot="1" x14ac:dyDescent="0.25">
      <c r="A2" s="122"/>
      <c r="B2" s="259" t="s">
        <v>143</v>
      </c>
      <c r="C2" s="260"/>
      <c r="D2" s="261"/>
      <c r="E2" s="38" t="s">
        <v>0</v>
      </c>
      <c r="F2" s="122"/>
      <c r="G2" s="259" t="s">
        <v>144</v>
      </c>
      <c r="H2" s="260"/>
      <c r="I2" s="262"/>
      <c r="J2" s="38" t="s">
        <v>0</v>
      </c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</row>
    <row r="3" spans="1:28" ht="15.75" customHeight="1" thickBot="1" x14ac:dyDescent="0.25">
      <c r="A3" s="122"/>
      <c r="B3" s="123"/>
      <c r="C3" s="124" t="s">
        <v>92</v>
      </c>
      <c r="D3" s="125" t="s">
        <v>132</v>
      </c>
      <c r="E3" s="263">
        <f>ROUNDUP(C16/D10,1)</f>
        <v>9</v>
      </c>
      <c r="F3" s="122"/>
      <c r="G3" s="123"/>
      <c r="H3" s="124" t="s">
        <v>107</v>
      </c>
      <c r="I3" s="125" t="s">
        <v>132</v>
      </c>
      <c r="J3" s="266">
        <f>ROUNDUP(H16/I6,1)</f>
        <v>9</v>
      </c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</row>
    <row r="4" spans="1:28" ht="41.25" x14ac:dyDescent="0.2">
      <c r="A4" s="122"/>
      <c r="B4" s="126" t="s">
        <v>21</v>
      </c>
      <c r="C4" s="157">
        <v>0.375</v>
      </c>
      <c r="D4" s="127">
        <f>48*12*C4/16*1.15</f>
        <v>15.524999999999999</v>
      </c>
      <c r="E4" s="264"/>
      <c r="F4" s="122"/>
      <c r="G4" s="144" t="s">
        <v>179</v>
      </c>
      <c r="H4" s="161">
        <v>2</v>
      </c>
      <c r="I4" s="128">
        <f>48*12*H4/16*1.15</f>
        <v>82.8</v>
      </c>
      <c r="J4" s="264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 spans="1:28" ht="15" customHeight="1" thickBot="1" x14ac:dyDescent="0.25">
      <c r="A5" s="122"/>
      <c r="B5" s="129" t="s">
        <v>14</v>
      </c>
      <c r="C5" s="130"/>
      <c r="D5" s="131">
        <v>5</v>
      </c>
      <c r="E5" s="264"/>
      <c r="F5" s="122"/>
      <c r="G5" s="132" t="s">
        <v>33</v>
      </c>
      <c r="H5" s="162">
        <v>7.0000000000000007E-2</v>
      </c>
      <c r="I5" s="133">
        <f>48*12*H5/16*1.15</f>
        <v>2.8980000000000001</v>
      </c>
      <c r="J5" s="264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</row>
    <row r="6" spans="1:28" ht="15" customHeight="1" thickBot="1" x14ac:dyDescent="0.25">
      <c r="A6" s="122"/>
      <c r="B6" s="134" t="s">
        <v>22</v>
      </c>
      <c r="C6" s="158">
        <v>0.375</v>
      </c>
      <c r="D6" s="131">
        <f>48*12*C6/16*1.15</f>
        <v>15.524999999999999</v>
      </c>
      <c r="E6" s="264"/>
      <c r="F6" s="122"/>
      <c r="G6" s="136" t="s">
        <v>17</v>
      </c>
      <c r="H6" s="163">
        <f>SUM(H4:H5)</f>
        <v>2.0699999999999998</v>
      </c>
      <c r="I6" s="137">
        <f>SUM(I4:I5)</f>
        <v>85.697999999999993</v>
      </c>
      <c r="J6" s="267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</row>
    <row r="7" spans="1:28" ht="15.75" customHeight="1" x14ac:dyDescent="0.2">
      <c r="A7" s="122"/>
      <c r="B7" s="134" t="s">
        <v>13</v>
      </c>
      <c r="C7" s="135"/>
      <c r="D7" s="131">
        <v>5</v>
      </c>
      <c r="E7" s="264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</row>
    <row r="8" spans="1:28" ht="15.75" customHeight="1" x14ac:dyDescent="0.2">
      <c r="A8" s="122"/>
      <c r="B8" s="134" t="s">
        <v>23</v>
      </c>
      <c r="C8" s="158">
        <v>0.375</v>
      </c>
      <c r="D8" s="131">
        <f>48*12*C8/16*1.15</f>
        <v>15.524999999999999</v>
      </c>
      <c r="E8" s="264"/>
      <c r="F8" s="122"/>
      <c r="G8" s="258" t="s">
        <v>133</v>
      </c>
      <c r="H8" s="258"/>
      <c r="I8" s="94">
        <f>ROUNDDOWN(250/I6,2)</f>
        <v>2.91</v>
      </c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</row>
    <row r="9" spans="1:28" ht="15.75" customHeight="1" thickBot="1" x14ac:dyDescent="0.25">
      <c r="A9" s="122"/>
      <c r="B9" s="138" t="s">
        <v>24</v>
      </c>
      <c r="C9" s="159">
        <v>0.375</v>
      </c>
      <c r="D9" s="139">
        <f>48*12*C9/16*1.15</f>
        <v>15.524999999999999</v>
      </c>
      <c r="E9" s="264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</row>
    <row r="10" spans="1:28" ht="16.5" customHeight="1" thickBot="1" x14ac:dyDescent="0.25">
      <c r="A10" s="122"/>
      <c r="B10" s="140" t="s">
        <v>17</v>
      </c>
      <c r="C10" s="160">
        <f>SUM(C4:C9)</f>
        <v>1.5</v>
      </c>
      <c r="D10" s="141">
        <f>SUM(D4,D6,D8,D9)</f>
        <v>62.099999999999994</v>
      </c>
      <c r="E10" s="265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</row>
    <row r="11" spans="1:28" ht="16.5" customHeight="1" x14ac:dyDescent="0.2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</row>
    <row r="12" spans="1:28" ht="16.5" customHeight="1" x14ac:dyDescent="0.2">
      <c r="A12" s="122"/>
      <c r="B12" s="258" t="s">
        <v>133</v>
      </c>
      <c r="C12" s="258"/>
      <c r="D12" s="94">
        <f>ROUNDDOWN(250/D10,2)</f>
        <v>4.0199999999999996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</row>
    <row r="13" spans="1:28" ht="16.5" customHeight="1" x14ac:dyDescent="0.2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</row>
    <row r="14" spans="1:28" ht="14.25" customHeight="1" x14ac:dyDescent="0.2">
      <c r="A14" s="122"/>
      <c r="B14" s="122" t="s">
        <v>29</v>
      </c>
      <c r="C14" s="142">
        <v>432</v>
      </c>
      <c r="D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</row>
    <row r="15" spans="1:28" ht="15.75" customHeight="1" x14ac:dyDescent="0.2">
      <c r="A15" s="122"/>
      <c r="B15" s="122"/>
      <c r="C15" s="122"/>
      <c r="D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</row>
    <row r="16" spans="1:28" ht="14.25" customHeight="1" x14ac:dyDescent="0.2">
      <c r="A16" s="122"/>
      <c r="B16" s="122" t="s">
        <v>8</v>
      </c>
      <c r="C16" s="143">
        <f>((C14*12*C10/16)*1.15)-C17</f>
        <v>558.9</v>
      </c>
      <c r="D16" s="122"/>
      <c r="F16" s="122"/>
      <c r="G16" s="122" t="s">
        <v>8</v>
      </c>
      <c r="H16" s="143">
        <f>((C14*12*H6/16)*1.15)-H17</f>
        <v>771.28199999999993</v>
      </c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</row>
    <row r="17" spans="1:28" ht="15" customHeight="1" x14ac:dyDescent="0.2">
      <c r="A17" s="122"/>
      <c r="B17" s="122" t="s">
        <v>9</v>
      </c>
      <c r="C17" s="142">
        <v>0</v>
      </c>
      <c r="D17" s="122"/>
      <c r="F17" s="122"/>
      <c r="G17" s="122" t="s">
        <v>9</v>
      </c>
      <c r="H17" s="142">
        <v>0</v>
      </c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</row>
    <row r="18" spans="1:28" x14ac:dyDescent="0.2">
      <c r="A18" s="122"/>
      <c r="B18" s="122" t="s">
        <v>10</v>
      </c>
      <c r="C18" s="143">
        <f>E3*D10</f>
        <v>558.9</v>
      </c>
      <c r="D18" s="122"/>
      <c r="F18" s="122"/>
      <c r="G18" s="122" t="s">
        <v>10</v>
      </c>
      <c r="H18" s="143">
        <f>J3*I6</f>
        <v>771.28199999999993</v>
      </c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</row>
    <row r="19" spans="1:28" x14ac:dyDescent="0.2">
      <c r="A19" s="122"/>
      <c r="B19" s="122"/>
      <c r="C19" s="122"/>
      <c r="D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</row>
    <row r="20" spans="1:28" x14ac:dyDescent="0.2">
      <c r="A20" s="122"/>
      <c r="B20" s="122" t="s">
        <v>11</v>
      </c>
      <c r="C20" s="122"/>
      <c r="D20" s="122"/>
      <c r="F20" s="122"/>
      <c r="G20" s="122" t="s">
        <v>11</v>
      </c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</row>
    <row r="21" spans="1:28" ht="41.25" x14ac:dyDescent="0.2">
      <c r="A21" s="122"/>
      <c r="B21" s="122" t="s">
        <v>21</v>
      </c>
      <c r="C21" s="143">
        <f>E3*D4</f>
        <v>139.72499999999999</v>
      </c>
      <c r="D21" s="122" t="s">
        <v>12</v>
      </c>
      <c r="F21" s="122"/>
      <c r="G21" s="198" t="s">
        <v>179</v>
      </c>
      <c r="H21" s="143">
        <f>J3*I4</f>
        <v>745.19999999999993</v>
      </c>
      <c r="I21" s="122" t="s">
        <v>12</v>
      </c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</row>
    <row r="22" spans="1:28" ht="15.75" customHeight="1" x14ac:dyDescent="0.2">
      <c r="A22" s="122"/>
      <c r="B22" s="122" t="s">
        <v>22</v>
      </c>
      <c r="C22" s="143">
        <f>E3*D6</f>
        <v>139.72499999999999</v>
      </c>
      <c r="D22" s="122" t="s">
        <v>12</v>
      </c>
      <c r="F22" s="122"/>
      <c r="G22" s="122" t="s">
        <v>33</v>
      </c>
      <c r="H22" s="143">
        <f>J3*I5</f>
        <v>26.082000000000001</v>
      </c>
      <c r="I22" s="122" t="s">
        <v>12</v>
      </c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</row>
    <row r="23" spans="1:28" ht="15.75" customHeight="1" x14ac:dyDescent="0.2">
      <c r="A23" s="122"/>
      <c r="B23" s="122" t="s">
        <v>23</v>
      </c>
      <c r="C23" s="143">
        <f>E3*D8</f>
        <v>139.72499999999999</v>
      </c>
      <c r="D23" s="122" t="s">
        <v>12</v>
      </c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 spans="1:28" ht="15.75" customHeight="1" x14ac:dyDescent="0.2">
      <c r="A24" s="122"/>
      <c r="B24" s="122" t="s">
        <v>24</v>
      </c>
      <c r="C24" s="143">
        <f>E3*D9</f>
        <v>139.72499999999999</v>
      </c>
      <c r="D24" s="122" t="s">
        <v>12</v>
      </c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 spans="1:28" ht="15.75" customHeight="1" x14ac:dyDescent="0.2">
      <c r="A25" s="122"/>
      <c r="B25" s="122" t="s">
        <v>13</v>
      </c>
      <c r="C25" s="143">
        <f>D7*E3</f>
        <v>45</v>
      </c>
      <c r="D25" s="122" t="s">
        <v>12</v>
      </c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 spans="1:28" ht="15.75" customHeight="1" x14ac:dyDescent="0.2">
      <c r="A26" s="122"/>
      <c r="B26" s="122" t="s">
        <v>14</v>
      </c>
      <c r="C26" s="143">
        <f>D5*E3</f>
        <v>45</v>
      </c>
      <c r="D26" s="122" t="s">
        <v>12</v>
      </c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 spans="1:28" ht="15.75" customHeight="1" x14ac:dyDescent="0.2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 spans="1:28" ht="15.75" customHeight="1" x14ac:dyDescent="0.2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 spans="1:28" ht="15.75" customHeight="1" x14ac:dyDescent="0.2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 spans="1:28" ht="15.75" customHeight="1" x14ac:dyDescent="0.2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 spans="1:28" ht="15.75" customHeight="1" x14ac:dyDescent="0.2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</row>
    <row r="32" spans="1:28" ht="15.75" customHeight="1" x14ac:dyDescent="0.2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 spans="1:28" ht="15.75" customHeight="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</row>
    <row r="34" spans="1:28" ht="15.75" customHeight="1" x14ac:dyDescent="0.2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</row>
    <row r="35" spans="1:28" ht="15.75" customHeight="1" x14ac:dyDescent="0.2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</row>
    <row r="36" spans="1:28" ht="15.75" customHeight="1" x14ac:dyDescent="0.2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</row>
    <row r="37" spans="1:28" ht="15.75" customHeight="1" x14ac:dyDescent="0.2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</row>
    <row r="38" spans="1:28" ht="15.75" customHeight="1" x14ac:dyDescent="0.2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</row>
    <row r="39" spans="1:28" ht="15.75" customHeight="1" x14ac:dyDescent="0.2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</row>
    <row r="40" spans="1:28" ht="15.75" customHeight="1" x14ac:dyDescent="0.2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</row>
    <row r="41" spans="1:28" ht="15.75" customHeight="1" x14ac:dyDescent="0.2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</row>
    <row r="42" spans="1:28" ht="15.75" customHeight="1" x14ac:dyDescent="0.2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</row>
    <row r="43" spans="1:28" ht="15.75" customHeight="1" x14ac:dyDescent="0.2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</row>
    <row r="44" spans="1:28" ht="15.75" customHeight="1" x14ac:dyDescent="0.2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</row>
    <row r="45" spans="1:28" ht="15.75" customHeight="1" x14ac:dyDescent="0.2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</row>
    <row r="46" spans="1:28" ht="15.75" customHeight="1" x14ac:dyDescent="0.2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</row>
    <row r="47" spans="1:28" ht="15.75" customHeight="1" x14ac:dyDescent="0.2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</row>
    <row r="48" spans="1:28" ht="15.75" customHeight="1" x14ac:dyDescent="0.2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</row>
    <row r="49" spans="1:28" ht="15.75" customHeight="1" x14ac:dyDescent="0.2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</row>
    <row r="50" spans="1:28" ht="15.75" customHeight="1" x14ac:dyDescent="0.2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</row>
    <row r="51" spans="1:28" ht="15.75" customHeight="1" x14ac:dyDescent="0.2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</row>
    <row r="52" spans="1:28" ht="15.75" customHeight="1" x14ac:dyDescent="0.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</row>
    <row r="53" spans="1:28" ht="15.75" customHeight="1" x14ac:dyDescent="0.2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</row>
    <row r="54" spans="1:28" ht="15.75" customHeight="1" x14ac:dyDescent="0.2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</row>
    <row r="55" spans="1:28" ht="15.75" customHeight="1" x14ac:dyDescent="0.2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</row>
    <row r="56" spans="1:28" ht="15.75" customHeight="1" x14ac:dyDescent="0.2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</row>
    <row r="57" spans="1:28" ht="15.75" customHeight="1" x14ac:dyDescent="0.2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</row>
    <row r="58" spans="1:28" ht="15.75" customHeight="1" x14ac:dyDescent="0.2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</row>
    <row r="59" spans="1:28" ht="15.75" customHeight="1" x14ac:dyDescent="0.2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</row>
    <row r="60" spans="1:28" ht="15.75" customHeight="1" x14ac:dyDescent="0.2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</row>
    <row r="61" spans="1:28" ht="15.75" customHeight="1" x14ac:dyDescent="0.2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</row>
    <row r="62" spans="1:28" ht="15.75" customHeight="1" x14ac:dyDescent="0.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</row>
    <row r="63" spans="1:28" ht="15.75" customHeight="1" x14ac:dyDescent="0.2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</row>
    <row r="64" spans="1:28" ht="15.75" customHeight="1" x14ac:dyDescent="0.2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</row>
    <row r="65" spans="1:28" ht="15.75" customHeight="1" x14ac:dyDescent="0.2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</row>
    <row r="66" spans="1:28" ht="15.75" customHeight="1" x14ac:dyDescent="0.2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</row>
    <row r="67" spans="1:28" ht="15.75" customHeight="1" x14ac:dyDescent="0.2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</row>
    <row r="68" spans="1:28" ht="15.75" customHeight="1" x14ac:dyDescent="0.2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</row>
    <row r="69" spans="1:28" ht="15.75" customHeight="1" x14ac:dyDescent="0.2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</row>
    <row r="70" spans="1:28" ht="15.75" customHeight="1" x14ac:dyDescent="0.2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</row>
    <row r="71" spans="1:28" ht="15.75" customHeight="1" x14ac:dyDescent="0.2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</row>
    <row r="72" spans="1:28" ht="15.75" customHeight="1" x14ac:dyDescent="0.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</row>
    <row r="73" spans="1:28" ht="15.75" customHeight="1" x14ac:dyDescent="0.2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</row>
    <row r="74" spans="1:28" ht="15.75" customHeight="1" x14ac:dyDescent="0.2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</row>
    <row r="75" spans="1:28" ht="15.75" customHeight="1" x14ac:dyDescent="0.2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</row>
    <row r="76" spans="1:28" ht="15.75" customHeight="1" x14ac:dyDescent="0.2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</row>
    <row r="77" spans="1:28" ht="15.75" customHeight="1" x14ac:dyDescent="0.2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</row>
    <row r="78" spans="1:28" ht="15.75" customHeight="1" x14ac:dyDescent="0.2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</row>
    <row r="79" spans="1:28" ht="15.75" customHeight="1" x14ac:dyDescent="0.2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</row>
    <row r="80" spans="1:28" ht="15.75" customHeight="1" x14ac:dyDescent="0.2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</row>
    <row r="81" spans="1:28" ht="15.75" customHeight="1" x14ac:dyDescent="0.2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</row>
    <row r="82" spans="1:28" ht="15.75" customHeight="1" x14ac:dyDescent="0.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</row>
    <row r="83" spans="1:28" ht="15.75" customHeight="1" x14ac:dyDescent="0.2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</row>
    <row r="84" spans="1:28" ht="15.75" customHeight="1" x14ac:dyDescent="0.2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</row>
    <row r="85" spans="1:28" ht="15.75" customHeight="1" x14ac:dyDescent="0.2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</row>
    <row r="86" spans="1:28" ht="15.75" customHeight="1" x14ac:dyDescent="0.2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</row>
    <row r="87" spans="1:28" ht="15.75" customHeight="1" x14ac:dyDescent="0.2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</row>
    <row r="88" spans="1:28" ht="15.75" customHeight="1" x14ac:dyDescent="0.2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</row>
    <row r="89" spans="1:28" ht="15.75" customHeight="1" x14ac:dyDescent="0.2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</row>
    <row r="90" spans="1:28" ht="15.75" customHeight="1" x14ac:dyDescent="0.2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</row>
    <row r="91" spans="1:28" ht="15.75" customHeight="1" x14ac:dyDescent="0.2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</row>
    <row r="92" spans="1:28" ht="15.75" customHeight="1" x14ac:dyDescent="0.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</row>
    <row r="93" spans="1:28" ht="15.75" customHeight="1" x14ac:dyDescent="0.2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</row>
    <row r="94" spans="1:28" ht="15.75" customHeight="1" x14ac:dyDescent="0.2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</row>
    <row r="95" spans="1:28" ht="15.75" customHeight="1" x14ac:dyDescent="0.2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</row>
    <row r="96" spans="1:28" ht="15.75" customHeight="1" x14ac:dyDescent="0.2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</row>
    <row r="97" spans="1:28" ht="15.75" customHeight="1" x14ac:dyDescent="0.2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</row>
    <row r="98" spans="1:28" ht="15.75" customHeight="1" x14ac:dyDescent="0.2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</row>
    <row r="99" spans="1:28" ht="15.75" customHeight="1" x14ac:dyDescent="0.2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</row>
    <row r="100" spans="1:28" ht="15.75" customHeight="1" x14ac:dyDescent="0.2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</row>
    <row r="101" spans="1:28" ht="15.75" customHeight="1" x14ac:dyDescent="0.2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</row>
    <row r="102" spans="1:28" ht="15.75" customHeight="1" x14ac:dyDescent="0.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</row>
    <row r="103" spans="1:28" ht="15.75" customHeight="1" x14ac:dyDescent="0.2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</row>
    <row r="104" spans="1:28" ht="15.75" customHeight="1" x14ac:dyDescent="0.2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</row>
    <row r="105" spans="1:28" ht="15.75" customHeight="1" x14ac:dyDescent="0.2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</row>
    <row r="106" spans="1:28" ht="15.75" customHeight="1" x14ac:dyDescent="0.2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</row>
    <row r="107" spans="1:28" ht="15.75" customHeight="1" x14ac:dyDescent="0.2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</row>
    <row r="108" spans="1:28" ht="15.75" customHeight="1" x14ac:dyDescent="0.2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</row>
    <row r="109" spans="1:28" ht="15.75" customHeight="1" x14ac:dyDescent="0.2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</row>
    <row r="110" spans="1:28" ht="15.75" customHeight="1" x14ac:dyDescent="0.2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</row>
    <row r="111" spans="1:28" ht="15.75" customHeight="1" x14ac:dyDescent="0.2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</row>
    <row r="112" spans="1:28" ht="15.75" customHeight="1" x14ac:dyDescent="0.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</row>
    <row r="113" spans="1:28" ht="15.75" customHeight="1" x14ac:dyDescent="0.2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</row>
    <row r="114" spans="1:28" ht="15.75" customHeight="1" x14ac:dyDescent="0.2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</row>
    <row r="115" spans="1:28" ht="15.75" customHeight="1" x14ac:dyDescent="0.2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</row>
    <row r="116" spans="1:28" ht="15.75" customHeight="1" x14ac:dyDescent="0.2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</row>
    <row r="117" spans="1:28" ht="15.75" customHeight="1" x14ac:dyDescent="0.2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</row>
    <row r="118" spans="1:28" ht="15.75" customHeight="1" x14ac:dyDescent="0.2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</row>
    <row r="119" spans="1:28" ht="15.75" customHeight="1" x14ac:dyDescent="0.2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</row>
    <row r="120" spans="1:28" ht="15.75" customHeight="1" x14ac:dyDescent="0.2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</row>
    <row r="121" spans="1:28" ht="15.75" customHeight="1" x14ac:dyDescent="0.2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</row>
    <row r="122" spans="1:28" ht="15.75" customHeight="1" x14ac:dyDescent="0.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</row>
    <row r="123" spans="1:28" ht="15.75" customHeight="1" x14ac:dyDescent="0.2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</row>
    <row r="124" spans="1:28" ht="15.75" customHeight="1" x14ac:dyDescent="0.2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</row>
    <row r="125" spans="1:28" ht="15.75" customHeight="1" x14ac:dyDescent="0.2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</row>
    <row r="126" spans="1:28" ht="15.75" customHeight="1" x14ac:dyDescent="0.2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</row>
    <row r="127" spans="1:28" ht="15.75" customHeight="1" x14ac:dyDescent="0.2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</row>
    <row r="128" spans="1:28" ht="15.75" customHeight="1" x14ac:dyDescent="0.2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</row>
    <row r="129" spans="1:28" ht="15.75" customHeight="1" x14ac:dyDescent="0.2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</row>
    <row r="130" spans="1:28" ht="15.75" customHeight="1" x14ac:dyDescent="0.2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</row>
    <row r="131" spans="1:28" ht="15.75" customHeight="1" x14ac:dyDescent="0.2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</row>
    <row r="132" spans="1:28" ht="15.75" customHeight="1" x14ac:dyDescent="0.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</row>
    <row r="133" spans="1:28" ht="15.75" customHeight="1" x14ac:dyDescent="0.2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</row>
    <row r="134" spans="1:28" ht="15.75" customHeight="1" x14ac:dyDescent="0.2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</row>
    <row r="135" spans="1:28" ht="15.75" customHeight="1" x14ac:dyDescent="0.2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</row>
    <row r="136" spans="1:28" ht="15.75" customHeight="1" x14ac:dyDescent="0.2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</row>
    <row r="137" spans="1:28" ht="15.75" customHeight="1" x14ac:dyDescent="0.2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</row>
    <row r="138" spans="1:28" ht="15.75" customHeight="1" x14ac:dyDescent="0.2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</row>
    <row r="139" spans="1:28" ht="15.75" customHeight="1" x14ac:dyDescent="0.2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</row>
    <row r="140" spans="1:28" ht="15.75" customHeight="1" x14ac:dyDescent="0.2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</row>
    <row r="141" spans="1:28" ht="15.75" customHeight="1" x14ac:dyDescent="0.2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</row>
    <row r="142" spans="1:28" ht="15.75" customHeight="1" x14ac:dyDescent="0.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</row>
    <row r="143" spans="1:28" ht="15.75" customHeight="1" x14ac:dyDescent="0.2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</row>
    <row r="144" spans="1:28" ht="15.75" customHeight="1" x14ac:dyDescent="0.2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</row>
    <row r="145" spans="1:28" ht="15.75" customHeight="1" x14ac:dyDescent="0.2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</row>
    <row r="146" spans="1:28" ht="15.75" customHeight="1" x14ac:dyDescent="0.2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</row>
    <row r="147" spans="1:28" ht="15.75" customHeight="1" x14ac:dyDescent="0.2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</row>
    <row r="148" spans="1:28" ht="15.75" customHeight="1" x14ac:dyDescent="0.2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</row>
    <row r="149" spans="1:28" ht="15.75" customHeight="1" x14ac:dyDescent="0.2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</row>
    <row r="150" spans="1:28" ht="15.75" customHeight="1" x14ac:dyDescent="0.2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</row>
    <row r="151" spans="1:28" ht="15.75" customHeight="1" x14ac:dyDescent="0.2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</row>
    <row r="152" spans="1:28" ht="15.75" customHeight="1" x14ac:dyDescent="0.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</row>
    <row r="153" spans="1:28" ht="15.75" customHeight="1" x14ac:dyDescent="0.2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</row>
    <row r="154" spans="1:28" ht="15.75" customHeight="1" x14ac:dyDescent="0.2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</row>
    <row r="155" spans="1:28" ht="15.75" customHeight="1" x14ac:dyDescent="0.2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</row>
    <row r="156" spans="1:28" ht="15.75" customHeight="1" x14ac:dyDescent="0.2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</row>
    <row r="157" spans="1:28" ht="15.75" customHeight="1" x14ac:dyDescent="0.2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</row>
    <row r="158" spans="1:28" ht="15.75" customHeight="1" x14ac:dyDescent="0.2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</row>
    <row r="159" spans="1:28" ht="15.75" customHeight="1" x14ac:dyDescent="0.2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</row>
    <row r="160" spans="1:28" ht="15.75" customHeight="1" x14ac:dyDescent="0.2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</row>
    <row r="161" spans="1:28" ht="15.75" customHeight="1" x14ac:dyDescent="0.2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</row>
    <row r="162" spans="1:28" ht="15.75" customHeight="1" x14ac:dyDescent="0.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</row>
    <row r="163" spans="1:28" ht="15.75" customHeight="1" x14ac:dyDescent="0.2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</row>
    <row r="164" spans="1:28" ht="15.75" customHeight="1" x14ac:dyDescent="0.2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</row>
    <row r="165" spans="1:28" ht="15.75" customHeight="1" x14ac:dyDescent="0.2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</row>
    <row r="166" spans="1:28" ht="15.75" customHeight="1" x14ac:dyDescent="0.2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</row>
    <row r="167" spans="1:28" ht="15.75" customHeight="1" x14ac:dyDescent="0.2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</row>
    <row r="168" spans="1:28" ht="15.75" customHeight="1" x14ac:dyDescent="0.2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</row>
    <row r="169" spans="1:28" ht="15.75" customHeight="1" x14ac:dyDescent="0.2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</row>
    <row r="170" spans="1:28" ht="15.75" customHeight="1" x14ac:dyDescent="0.2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</row>
    <row r="171" spans="1:28" ht="15.75" customHeight="1" x14ac:dyDescent="0.2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</row>
    <row r="172" spans="1:28" ht="15.75" customHeight="1" x14ac:dyDescent="0.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</row>
    <row r="173" spans="1:28" ht="15.75" customHeight="1" x14ac:dyDescent="0.2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</row>
    <row r="174" spans="1:28" ht="15.75" customHeight="1" x14ac:dyDescent="0.2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</row>
    <row r="175" spans="1:28" ht="15.75" customHeight="1" x14ac:dyDescent="0.2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</row>
    <row r="176" spans="1:28" ht="15.75" customHeight="1" x14ac:dyDescent="0.2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</row>
    <row r="177" spans="1:28" ht="15.75" customHeight="1" x14ac:dyDescent="0.2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</row>
    <row r="178" spans="1:28" ht="15.75" customHeight="1" x14ac:dyDescent="0.2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</row>
    <row r="179" spans="1:28" ht="15.75" customHeight="1" x14ac:dyDescent="0.2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</row>
    <row r="180" spans="1:28" ht="15.75" customHeight="1" x14ac:dyDescent="0.2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</row>
    <row r="181" spans="1:28" ht="15.75" customHeight="1" x14ac:dyDescent="0.2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</row>
    <row r="182" spans="1:28" ht="15.75" customHeight="1" x14ac:dyDescent="0.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</row>
    <row r="183" spans="1:28" ht="15.75" customHeight="1" x14ac:dyDescent="0.2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</row>
    <row r="184" spans="1:28" ht="15.75" customHeight="1" x14ac:dyDescent="0.2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</row>
    <row r="185" spans="1:28" ht="15.75" customHeight="1" x14ac:dyDescent="0.2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</row>
    <row r="186" spans="1:28" ht="15.75" customHeight="1" x14ac:dyDescent="0.2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</row>
    <row r="187" spans="1:28" ht="15.75" customHeight="1" x14ac:dyDescent="0.2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</row>
    <row r="188" spans="1:28" ht="15.75" customHeight="1" x14ac:dyDescent="0.2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</row>
    <row r="189" spans="1:28" ht="15.75" customHeight="1" x14ac:dyDescent="0.2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</row>
    <row r="190" spans="1:28" ht="15.75" customHeight="1" x14ac:dyDescent="0.2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</row>
    <row r="191" spans="1:28" ht="15.75" customHeight="1" x14ac:dyDescent="0.2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</row>
    <row r="192" spans="1:28" ht="15.75" customHeight="1" x14ac:dyDescent="0.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</row>
    <row r="193" spans="1:28" ht="15.75" customHeight="1" x14ac:dyDescent="0.2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</row>
    <row r="194" spans="1:28" ht="15.75" customHeight="1" x14ac:dyDescent="0.2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</row>
    <row r="195" spans="1:28" ht="15.75" customHeight="1" x14ac:dyDescent="0.2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</row>
    <row r="196" spans="1:28" ht="15.75" customHeight="1" x14ac:dyDescent="0.2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</row>
    <row r="197" spans="1:28" ht="15.75" customHeight="1" x14ac:dyDescent="0.2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</row>
    <row r="198" spans="1:28" ht="15.75" customHeight="1" x14ac:dyDescent="0.2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</row>
    <row r="199" spans="1:28" ht="15.75" customHeight="1" x14ac:dyDescent="0.2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</row>
    <row r="200" spans="1:28" ht="15.75" customHeight="1" x14ac:dyDescent="0.2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</row>
    <row r="201" spans="1:28" ht="15.75" customHeight="1" x14ac:dyDescent="0.2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</row>
    <row r="202" spans="1:28" ht="15.75" customHeight="1" x14ac:dyDescent="0.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</row>
    <row r="203" spans="1:28" ht="15.75" customHeight="1" x14ac:dyDescent="0.2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</row>
    <row r="204" spans="1:28" ht="15.75" customHeight="1" x14ac:dyDescent="0.2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</row>
    <row r="205" spans="1:28" ht="15.75" customHeight="1" x14ac:dyDescent="0.2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</row>
    <row r="206" spans="1:28" ht="15.75" customHeight="1" x14ac:dyDescent="0.2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</row>
    <row r="207" spans="1:28" ht="15.75" customHeight="1" x14ac:dyDescent="0.2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</row>
    <row r="208" spans="1:28" ht="15.75" customHeight="1" x14ac:dyDescent="0.2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</row>
    <row r="209" spans="1:28" ht="15.75" customHeight="1" x14ac:dyDescent="0.2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</row>
    <row r="210" spans="1:28" ht="15.75" customHeight="1" x14ac:dyDescent="0.2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</row>
    <row r="211" spans="1:28" ht="15.75" customHeight="1" x14ac:dyDescent="0.2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</row>
    <row r="212" spans="1:28" ht="15.75" customHeight="1" x14ac:dyDescent="0.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</row>
    <row r="213" spans="1:28" ht="15.75" customHeight="1" x14ac:dyDescent="0.2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</row>
    <row r="214" spans="1:28" ht="15.75" customHeight="1" x14ac:dyDescent="0.2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</row>
    <row r="215" spans="1:28" ht="15.75" customHeight="1" x14ac:dyDescent="0.2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</row>
    <row r="216" spans="1:28" ht="15.75" customHeight="1" x14ac:dyDescent="0.2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</row>
    <row r="217" spans="1:28" ht="15.75" customHeight="1" x14ac:dyDescent="0.2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</row>
    <row r="218" spans="1:28" ht="15.75" customHeight="1" x14ac:dyDescent="0.2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</row>
    <row r="219" spans="1:28" ht="15.75" customHeight="1" x14ac:dyDescent="0.2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</row>
    <row r="220" spans="1:28" ht="15.75" customHeight="1" x14ac:dyDescent="0.2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</row>
    <row r="221" spans="1:28" ht="15.75" customHeight="1" x14ac:dyDescent="0.2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</row>
    <row r="222" spans="1:28" ht="15.75" customHeight="1" x14ac:dyDescent="0.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</row>
    <row r="223" spans="1:28" ht="15.75" customHeight="1" x14ac:dyDescent="0.2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</row>
    <row r="224" spans="1:28" ht="15.75" customHeight="1" x14ac:dyDescent="0.2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</row>
    <row r="225" spans="1:28" ht="15.75" customHeight="1" x14ac:dyDescent="0.2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</row>
    <row r="226" spans="1:28" ht="15.75" customHeight="1" x14ac:dyDescent="0.2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</row>
    <row r="227" spans="1:28" ht="15.75" customHeight="1" x14ac:dyDescent="0.2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</row>
    <row r="228" spans="1:28" ht="15.75" customHeight="1" x14ac:dyDescent="0.2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</row>
    <row r="229" spans="1:28" ht="15.75" customHeight="1" x14ac:dyDescent="0.2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</row>
    <row r="230" spans="1:28" ht="15.75" customHeight="1" x14ac:dyDescent="0.2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</row>
    <row r="231" spans="1:28" ht="15.75" customHeight="1" x14ac:dyDescent="0.2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</row>
    <row r="232" spans="1:28" ht="15.75" customHeight="1" x14ac:dyDescent="0.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</row>
    <row r="233" spans="1:28" ht="15.75" customHeight="1" x14ac:dyDescent="0.2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</row>
    <row r="234" spans="1:28" ht="15.75" customHeight="1" x14ac:dyDescent="0.2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</row>
    <row r="235" spans="1:28" ht="15.75" customHeight="1" x14ac:dyDescent="0.2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</row>
    <row r="236" spans="1:28" ht="15.75" customHeight="1" x14ac:dyDescent="0.2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</row>
    <row r="237" spans="1:28" ht="15.75" customHeight="1" x14ac:dyDescent="0.2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</row>
    <row r="238" spans="1:28" ht="15.75" customHeight="1" x14ac:dyDescent="0.2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</row>
    <row r="239" spans="1:28" ht="15.75" customHeight="1" x14ac:dyDescent="0.2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</row>
    <row r="240" spans="1:28" ht="15.75" customHeight="1" x14ac:dyDescent="0.2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</row>
    <row r="241" spans="1:28" ht="15.75" customHeight="1" x14ac:dyDescent="0.2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</row>
    <row r="242" spans="1:28" ht="15.75" customHeight="1" x14ac:dyDescent="0.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</row>
    <row r="243" spans="1:28" ht="15.75" customHeight="1" x14ac:dyDescent="0.2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</row>
    <row r="244" spans="1:28" ht="15.75" customHeight="1" x14ac:dyDescent="0.2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</row>
    <row r="245" spans="1:28" ht="15.75" customHeight="1" x14ac:dyDescent="0.2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</row>
    <row r="246" spans="1:28" ht="15.75" customHeight="1" x14ac:dyDescent="0.2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</row>
    <row r="247" spans="1:28" ht="15.75" customHeight="1" x14ac:dyDescent="0.2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</row>
    <row r="248" spans="1:28" ht="15.75" customHeight="1" x14ac:dyDescent="0.2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</row>
    <row r="249" spans="1:28" ht="15.75" customHeight="1" x14ac:dyDescent="0.2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</row>
    <row r="250" spans="1:28" ht="15.75" customHeight="1" x14ac:dyDescent="0.2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</row>
    <row r="251" spans="1:28" ht="15.75" customHeight="1" x14ac:dyDescent="0.2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</row>
    <row r="252" spans="1:28" ht="15.75" customHeight="1" x14ac:dyDescent="0.2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</row>
    <row r="253" spans="1:28" ht="15.75" customHeight="1" x14ac:dyDescent="0.2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</row>
    <row r="254" spans="1:28" ht="15.75" customHeight="1" x14ac:dyDescent="0.2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</row>
    <row r="255" spans="1:28" ht="15.75" customHeight="1" x14ac:dyDescent="0.2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</row>
    <row r="256" spans="1:28" ht="15.75" customHeight="1" x14ac:dyDescent="0.2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</row>
    <row r="257" spans="1:28" ht="15.75" customHeight="1" x14ac:dyDescent="0.2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</row>
    <row r="258" spans="1:28" ht="15.75" customHeight="1" x14ac:dyDescent="0.2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</row>
    <row r="259" spans="1:28" ht="15.75" customHeight="1" x14ac:dyDescent="0.2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</row>
    <row r="260" spans="1:28" ht="15.75" customHeight="1" x14ac:dyDescent="0.2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</row>
    <row r="261" spans="1:28" ht="15.75" customHeight="1" x14ac:dyDescent="0.2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</row>
    <row r="262" spans="1:28" ht="15.75" customHeight="1" x14ac:dyDescent="0.2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</row>
    <row r="263" spans="1:28" ht="15.75" customHeight="1" x14ac:dyDescent="0.2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</row>
    <row r="264" spans="1:28" ht="15.75" customHeight="1" x14ac:dyDescent="0.2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</row>
    <row r="265" spans="1:28" ht="15.75" customHeight="1" x14ac:dyDescent="0.2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</row>
    <row r="266" spans="1:28" ht="15.75" customHeight="1" x14ac:dyDescent="0.2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</row>
    <row r="267" spans="1:28" ht="15.75" customHeight="1" x14ac:dyDescent="0.2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</row>
    <row r="268" spans="1:28" ht="15.75" customHeight="1" x14ac:dyDescent="0.2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</row>
    <row r="269" spans="1:28" ht="15.75" customHeight="1" x14ac:dyDescent="0.2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</row>
    <row r="270" spans="1:28" ht="15.75" customHeight="1" x14ac:dyDescent="0.2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</row>
    <row r="271" spans="1:28" ht="15.75" customHeight="1" x14ac:dyDescent="0.2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</row>
    <row r="272" spans="1:28" ht="15.75" customHeight="1" x14ac:dyDescent="0.2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</row>
    <row r="273" spans="1:28" ht="15.75" customHeight="1" x14ac:dyDescent="0.2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</row>
    <row r="274" spans="1:28" ht="15.75" customHeight="1" x14ac:dyDescent="0.2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</row>
    <row r="275" spans="1:28" ht="15.75" customHeight="1" x14ac:dyDescent="0.2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</row>
    <row r="276" spans="1:28" ht="15.75" customHeight="1" x14ac:dyDescent="0.2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</row>
    <row r="277" spans="1:28" ht="15.75" customHeight="1" x14ac:dyDescent="0.2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</row>
    <row r="278" spans="1:28" ht="15.75" customHeight="1" x14ac:dyDescent="0.2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</row>
    <row r="279" spans="1:28" ht="15.75" customHeight="1" x14ac:dyDescent="0.2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</row>
    <row r="280" spans="1:28" ht="15.75" customHeight="1" x14ac:dyDescent="0.2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</row>
    <row r="281" spans="1:28" ht="15.75" customHeight="1" x14ac:dyDescent="0.2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</row>
    <row r="282" spans="1:28" ht="15.75" customHeight="1" x14ac:dyDescent="0.2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</row>
    <row r="283" spans="1:28" ht="15.75" customHeight="1" x14ac:dyDescent="0.2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</row>
    <row r="284" spans="1:28" ht="15.75" customHeight="1" x14ac:dyDescent="0.2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</row>
    <row r="285" spans="1:28" ht="15.75" customHeight="1" x14ac:dyDescent="0.2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</row>
    <row r="286" spans="1:28" ht="15.75" customHeight="1" x14ac:dyDescent="0.2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</row>
    <row r="287" spans="1:28" ht="15.75" customHeight="1" x14ac:dyDescent="0.2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</row>
    <row r="288" spans="1:28" ht="15.75" customHeight="1" x14ac:dyDescent="0.2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</row>
    <row r="289" spans="1:28" ht="15.75" customHeight="1" x14ac:dyDescent="0.2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</row>
    <row r="290" spans="1:28" ht="15.75" customHeight="1" x14ac:dyDescent="0.2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</row>
    <row r="291" spans="1:28" ht="15.75" customHeight="1" x14ac:dyDescent="0.2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</row>
    <row r="292" spans="1:28" ht="15.75" customHeight="1" x14ac:dyDescent="0.2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</row>
    <row r="293" spans="1:28" ht="15.75" customHeight="1" x14ac:dyDescent="0.2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</row>
    <row r="294" spans="1:28" ht="15.75" customHeight="1" x14ac:dyDescent="0.2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</row>
    <row r="295" spans="1:28" ht="15.75" customHeight="1" x14ac:dyDescent="0.2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</row>
    <row r="296" spans="1:28" ht="15.75" customHeight="1" x14ac:dyDescent="0.2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</row>
    <row r="297" spans="1:28" ht="15.75" customHeight="1" x14ac:dyDescent="0.2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</row>
    <row r="298" spans="1:28" ht="15.75" customHeight="1" x14ac:dyDescent="0.2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</row>
    <row r="299" spans="1:28" ht="15.75" customHeight="1" x14ac:dyDescent="0.2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</row>
    <row r="300" spans="1:28" ht="15.75" customHeight="1" x14ac:dyDescent="0.2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</row>
    <row r="301" spans="1:28" ht="15.75" customHeight="1" x14ac:dyDescent="0.2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</row>
    <row r="302" spans="1:28" ht="15.75" customHeight="1" x14ac:dyDescent="0.2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</row>
    <row r="303" spans="1:28" ht="15.75" customHeight="1" x14ac:dyDescent="0.2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</row>
    <row r="304" spans="1:28" ht="15.75" customHeight="1" x14ac:dyDescent="0.2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</row>
    <row r="305" spans="1:28" ht="15.75" customHeight="1" x14ac:dyDescent="0.2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</row>
    <row r="306" spans="1:28" ht="15.75" customHeight="1" x14ac:dyDescent="0.2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</row>
    <row r="307" spans="1:28" ht="15.75" customHeight="1" x14ac:dyDescent="0.2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</row>
    <row r="308" spans="1:28" ht="15.75" customHeight="1" x14ac:dyDescent="0.2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</row>
    <row r="309" spans="1:28" ht="15.75" customHeight="1" x14ac:dyDescent="0.2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</row>
    <row r="310" spans="1:28" ht="15.75" customHeight="1" x14ac:dyDescent="0.2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</row>
    <row r="311" spans="1:28" ht="15.75" customHeight="1" x14ac:dyDescent="0.2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</row>
    <row r="312" spans="1:28" ht="15.75" customHeight="1" x14ac:dyDescent="0.2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</row>
    <row r="313" spans="1:28" ht="15.75" customHeight="1" x14ac:dyDescent="0.2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</row>
    <row r="314" spans="1:28" ht="15.75" customHeight="1" x14ac:dyDescent="0.2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</row>
    <row r="315" spans="1:28" ht="15.75" customHeight="1" x14ac:dyDescent="0.2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</row>
    <row r="316" spans="1:28" ht="15.75" customHeight="1" x14ac:dyDescent="0.2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</row>
    <row r="317" spans="1:28" ht="15.75" customHeight="1" x14ac:dyDescent="0.2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</row>
    <row r="318" spans="1:28" ht="15.75" customHeight="1" x14ac:dyDescent="0.2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</row>
    <row r="319" spans="1:28" ht="15.75" customHeight="1" x14ac:dyDescent="0.2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</row>
    <row r="320" spans="1:28" ht="15.75" customHeight="1" x14ac:dyDescent="0.2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</row>
    <row r="321" spans="1:28" ht="15.75" customHeight="1" x14ac:dyDescent="0.2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</row>
    <row r="322" spans="1:28" ht="15.75" customHeight="1" x14ac:dyDescent="0.2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</row>
    <row r="323" spans="1:28" ht="15.75" customHeight="1" x14ac:dyDescent="0.2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</row>
    <row r="324" spans="1:28" ht="15.75" customHeight="1" x14ac:dyDescent="0.2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</row>
    <row r="325" spans="1:28" ht="15.75" customHeight="1" x14ac:dyDescent="0.2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</row>
    <row r="326" spans="1:28" ht="15.75" customHeight="1" x14ac:dyDescent="0.2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</row>
    <row r="327" spans="1:28" ht="15.75" customHeight="1" x14ac:dyDescent="0.2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</row>
    <row r="328" spans="1:28" ht="15.75" customHeight="1" x14ac:dyDescent="0.2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</row>
    <row r="329" spans="1:28" ht="15.75" customHeight="1" x14ac:dyDescent="0.2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</row>
    <row r="330" spans="1:28" ht="15.75" customHeight="1" x14ac:dyDescent="0.2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</row>
    <row r="331" spans="1:28" ht="15.75" customHeight="1" x14ac:dyDescent="0.2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</row>
    <row r="332" spans="1:28" ht="15.75" customHeight="1" x14ac:dyDescent="0.2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</row>
    <row r="333" spans="1:28" ht="15.75" customHeight="1" x14ac:dyDescent="0.2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</row>
    <row r="334" spans="1:28" ht="15.75" customHeight="1" x14ac:dyDescent="0.2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</row>
    <row r="335" spans="1:28" ht="15.75" customHeight="1" x14ac:dyDescent="0.2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</row>
    <row r="336" spans="1:28" ht="15.75" customHeight="1" x14ac:dyDescent="0.2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</row>
    <row r="337" spans="1:28" ht="15.75" customHeight="1" x14ac:dyDescent="0.2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</row>
    <row r="338" spans="1:28" ht="15.75" customHeight="1" x14ac:dyDescent="0.2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</row>
    <row r="339" spans="1:28" ht="15.75" customHeight="1" x14ac:dyDescent="0.2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</row>
    <row r="340" spans="1:28" ht="15.75" customHeight="1" x14ac:dyDescent="0.2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</row>
    <row r="341" spans="1:28" ht="15.75" customHeight="1" x14ac:dyDescent="0.2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</row>
    <row r="342" spans="1:28" ht="15.75" customHeight="1" x14ac:dyDescent="0.2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</row>
    <row r="343" spans="1:28" ht="15.75" customHeight="1" x14ac:dyDescent="0.2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</row>
    <row r="344" spans="1:28" ht="15.75" customHeight="1" x14ac:dyDescent="0.2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</row>
    <row r="345" spans="1:28" ht="15.75" customHeight="1" x14ac:dyDescent="0.2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</row>
    <row r="346" spans="1:28" ht="15.75" customHeight="1" x14ac:dyDescent="0.2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</row>
    <row r="347" spans="1:28" ht="15.75" customHeight="1" x14ac:dyDescent="0.2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</row>
    <row r="348" spans="1:28" ht="15.75" customHeight="1" x14ac:dyDescent="0.2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</row>
    <row r="349" spans="1:28" ht="15.75" customHeight="1" x14ac:dyDescent="0.2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</row>
    <row r="350" spans="1:28" ht="15.75" customHeight="1" x14ac:dyDescent="0.2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</row>
    <row r="351" spans="1:28" ht="15.75" customHeight="1" x14ac:dyDescent="0.2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</row>
    <row r="352" spans="1:28" ht="15.75" customHeight="1" x14ac:dyDescent="0.2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</row>
    <row r="353" spans="1:28" ht="15.75" customHeight="1" x14ac:dyDescent="0.2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</row>
    <row r="354" spans="1:28" ht="15.75" customHeight="1" x14ac:dyDescent="0.2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</row>
    <row r="355" spans="1:28" ht="15.75" customHeight="1" x14ac:dyDescent="0.2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</row>
    <row r="356" spans="1:28" ht="15.75" customHeight="1" x14ac:dyDescent="0.2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</row>
    <row r="357" spans="1:28" ht="15.75" customHeight="1" x14ac:dyDescent="0.2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</row>
    <row r="358" spans="1:28" ht="15.75" customHeight="1" x14ac:dyDescent="0.2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</row>
    <row r="359" spans="1:28" ht="15.75" customHeight="1" x14ac:dyDescent="0.2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</row>
    <row r="360" spans="1:28" ht="15.75" customHeight="1" x14ac:dyDescent="0.2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</row>
    <row r="361" spans="1:28" ht="15.75" customHeight="1" x14ac:dyDescent="0.2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</row>
    <row r="362" spans="1:28" ht="15.75" customHeight="1" x14ac:dyDescent="0.2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</row>
    <row r="363" spans="1:28" ht="15.75" customHeight="1" x14ac:dyDescent="0.2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</row>
    <row r="364" spans="1:28" ht="15.75" customHeight="1" x14ac:dyDescent="0.2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</row>
    <row r="365" spans="1:28" ht="15.75" customHeight="1" x14ac:dyDescent="0.2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</row>
    <row r="366" spans="1:28" ht="15.75" customHeight="1" x14ac:dyDescent="0.2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</row>
    <row r="367" spans="1:28" ht="15.75" customHeight="1" x14ac:dyDescent="0.2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</row>
    <row r="368" spans="1:28" ht="15.75" customHeight="1" x14ac:dyDescent="0.2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</row>
    <row r="369" spans="1:28" ht="15.75" customHeight="1" x14ac:dyDescent="0.2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</row>
    <row r="370" spans="1:28" ht="15.75" customHeight="1" x14ac:dyDescent="0.2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</row>
    <row r="371" spans="1:28" ht="15.75" customHeight="1" x14ac:dyDescent="0.2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</row>
    <row r="372" spans="1:28" ht="15.75" customHeight="1" x14ac:dyDescent="0.2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</row>
    <row r="373" spans="1:28" ht="15.75" customHeight="1" x14ac:dyDescent="0.2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</row>
    <row r="374" spans="1:28" ht="15.75" customHeight="1" x14ac:dyDescent="0.2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</row>
    <row r="375" spans="1:28" ht="15.75" customHeight="1" x14ac:dyDescent="0.2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</row>
    <row r="376" spans="1:28" ht="15.75" customHeight="1" x14ac:dyDescent="0.2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</row>
    <row r="377" spans="1:28" ht="15.75" customHeight="1" x14ac:dyDescent="0.2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</row>
    <row r="378" spans="1:28" ht="15.75" customHeight="1" x14ac:dyDescent="0.2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</row>
    <row r="379" spans="1:28" ht="15.75" customHeight="1" x14ac:dyDescent="0.2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</row>
    <row r="380" spans="1:28" ht="15.75" customHeight="1" x14ac:dyDescent="0.2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</row>
    <row r="381" spans="1:28" ht="15.75" customHeight="1" x14ac:dyDescent="0.2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</row>
    <row r="382" spans="1:28" ht="15.75" customHeight="1" x14ac:dyDescent="0.2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</row>
    <row r="383" spans="1:28" ht="15.75" customHeight="1" x14ac:dyDescent="0.2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</row>
    <row r="384" spans="1:28" ht="15.75" customHeight="1" x14ac:dyDescent="0.2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</row>
    <row r="385" spans="1:28" ht="15.75" customHeight="1" x14ac:dyDescent="0.2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</row>
    <row r="386" spans="1:28" ht="15.75" customHeight="1" x14ac:dyDescent="0.2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</row>
    <row r="387" spans="1:28" ht="15.75" customHeight="1" x14ac:dyDescent="0.2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</row>
    <row r="388" spans="1:28" ht="15.75" customHeight="1" x14ac:dyDescent="0.2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</row>
    <row r="389" spans="1:28" ht="15.75" customHeight="1" x14ac:dyDescent="0.2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</row>
    <row r="390" spans="1:28" ht="15.75" customHeight="1" x14ac:dyDescent="0.2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</row>
    <row r="391" spans="1:28" ht="15.75" customHeight="1" x14ac:dyDescent="0.2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</row>
    <row r="392" spans="1:28" ht="15.75" customHeight="1" x14ac:dyDescent="0.2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</row>
    <row r="393" spans="1:28" ht="15.75" customHeight="1" x14ac:dyDescent="0.2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</row>
    <row r="394" spans="1:28" ht="15.75" customHeight="1" x14ac:dyDescent="0.2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</row>
    <row r="395" spans="1:28" ht="15.75" customHeight="1" x14ac:dyDescent="0.2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</row>
    <row r="396" spans="1:28" ht="15.75" customHeight="1" x14ac:dyDescent="0.2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</row>
    <row r="397" spans="1:28" ht="15.75" customHeight="1" x14ac:dyDescent="0.2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</row>
    <row r="398" spans="1:28" ht="15.75" customHeight="1" x14ac:dyDescent="0.2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</row>
    <row r="399" spans="1:28" ht="15.75" customHeight="1" x14ac:dyDescent="0.2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</row>
    <row r="400" spans="1:28" ht="15.75" customHeight="1" x14ac:dyDescent="0.2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</row>
    <row r="401" spans="1:28" ht="15.75" customHeight="1" x14ac:dyDescent="0.2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</row>
    <row r="402" spans="1:28" ht="15.75" customHeight="1" x14ac:dyDescent="0.2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</row>
    <row r="403" spans="1:28" ht="15.75" customHeight="1" x14ac:dyDescent="0.2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</row>
    <row r="404" spans="1:28" ht="15.75" customHeight="1" x14ac:dyDescent="0.2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</row>
    <row r="405" spans="1:28" ht="15.75" customHeight="1" x14ac:dyDescent="0.2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</row>
    <row r="406" spans="1:28" ht="15.75" customHeight="1" x14ac:dyDescent="0.2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</row>
    <row r="407" spans="1:28" ht="15.75" customHeight="1" x14ac:dyDescent="0.2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</row>
    <row r="408" spans="1:28" ht="15.75" customHeight="1" x14ac:dyDescent="0.2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</row>
    <row r="409" spans="1:28" ht="15.75" customHeight="1" x14ac:dyDescent="0.2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</row>
    <row r="410" spans="1:28" ht="15.75" customHeight="1" x14ac:dyDescent="0.2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</row>
    <row r="411" spans="1:28" ht="15.75" customHeight="1" x14ac:dyDescent="0.2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</row>
    <row r="412" spans="1:28" ht="15.75" customHeight="1" x14ac:dyDescent="0.2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</row>
    <row r="413" spans="1:28" ht="15.75" customHeight="1" x14ac:dyDescent="0.2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</row>
    <row r="414" spans="1:28" ht="15.75" customHeight="1" x14ac:dyDescent="0.2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</row>
    <row r="415" spans="1:28" ht="15.75" customHeight="1" x14ac:dyDescent="0.2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</row>
    <row r="416" spans="1:28" ht="15.75" customHeight="1" x14ac:dyDescent="0.2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</row>
    <row r="417" spans="1:28" ht="15.75" customHeight="1" x14ac:dyDescent="0.2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</row>
    <row r="418" spans="1:28" ht="15.75" customHeight="1" x14ac:dyDescent="0.2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</row>
    <row r="419" spans="1:28" ht="15.75" customHeight="1" x14ac:dyDescent="0.2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</row>
    <row r="420" spans="1:28" ht="15.75" customHeight="1" x14ac:dyDescent="0.2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</row>
    <row r="421" spans="1:28" ht="15.75" customHeight="1" x14ac:dyDescent="0.2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</row>
    <row r="422" spans="1:28" ht="15.75" customHeight="1" x14ac:dyDescent="0.2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</row>
    <row r="423" spans="1:28" ht="15.75" customHeight="1" x14ac:dyDescent="0.2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</row>
    <row r="424" spans="1:28" ht="15.75" customHeight="1" x14ac:dyDescent="0.2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</row>
    <row r="425" spans="1:28" ht="15.75" customHeight="1" x14ac:dyDescent="0.2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</row>
    <row r="426" spans="1:28" ht="15.75" customHeight="1" x14ac:dyDescent="0.2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</row>
    <row r="427" spans="1:28" ht="15.75" customHeight="1" x14ac:dyDescent="0.2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</row>
    <row r="428" spans="1:28" ht="15.75" customHeight="1" x14ac:dyDescent="0.2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</row>
    <row r="429" spans="1:28" ht="15.75" customHeight="1" x14ac:dyDescent="0.2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</row>
    <row r="430" spans="1:28" ht="15.75" customHeight="1" x14ac:dyDescent="0.2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</row>
    <row r="431" spans="1:28" ht="15.75" customHeight="1" x14ac:dyDescent="0.2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</row>
    <row r="432" spans="1:28" ht="15.75" customHeight="1" x14ac:dyDescent="0.2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</row>
    <row r="433" spans="1:28" ht="15.75" customHeight="1" x14ac:dyDescent="0.2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</row>
    <row r="434" spans="1:28" ht="15.75" customHeight="1" x14ac:dyDescent="0.2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</row>
    <row r="435" spans="1:28" ht="15.75" customHeight="1" x14ac:dyDescent="0.2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</row>
    <row r="436" spans="1:28" ht="15.75" customHeight="1" x14ac:dyDescent="0.2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</row>
    <row r="437" spans="1:28" ht="15.75" customHeight="1" x14ac:dyDescent="0.2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</row>
    <row r="438" spans="1:28" ht="15.75" customHeight="1" x14ac:dyDescent="0.2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</row>
    <row r="439" spans="1:28" ht="15.75" customHeight="1" x14ac:dyDescent="0.2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</row>
    <row r="440" spans="1:28" ht="15.75" customHeight="1" x14ac:dyDescent="0.2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</row>
    <row r="441" spans="1:28" ht="15.75" customHeight="1" x14ac:dyDescent="0.2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</row>
    <row r="442" spans="1:28" ht="15.75" customHeight="1" x14ac:dyDescent="0.2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</row>
    <row r="443" spans="1:28" ht="15.75" customHeight="1" x14ac:dyDescent="0.2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</row>
    <row r="444" spans="1:28" ht="15.75" customHeight="1" x14ac:dyDescent="0.2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</row>
    <row r="445" spans="1:28" ht="15.75" customHeight="1" x14ac:dyDescent="0.2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</row>
    <row r="446" spans="1:28" ht="15.75" customHeight="1" x14ac:dyDescent="0.2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</row>
    <row r="447" spans="1:28" ht="15.75" customHeight="1" x14ac:dyDescent="0.2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</row>
    <row r="448" spans="1:28" ht="15.75" customHeight="1" x14ac:dyDescent="0.2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</row>
    <row r="449" spans="1:28" ht="15.75" customHeight="1" x14ac:dyDescent="0.2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</row>
    <row r="450" spans="1:28" ht="15.75" customHeight="1" x14ac:dyDescent="0.2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</row>
    <row r="451" spans="1:28" ht="15.75" customHeight="1" x14ac:dyDescent="0.2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</row>
    <row r="452" spans="1:28" ht="15.75" customHeight="1" x14ac:dyDescent="0.2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</row>
    <row r="453" spans="1:28" ht="15.75" customHeight="1" x14ac:dyDescent="0.2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</row>
    <row r="454" spans="1:28" ht="15.75" customHeight="1" x14ac:dyDescent="0.2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</row>
    <row r="455" spans="1:28" ht="15.75" customHeight="1" x14ac:dyDescent="0.2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</row>
    <row r="456" spans="1:28" ht="15.75" customHeight="1" x14ac:dyDescent="0.2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</row>
    <row r="457" spans="1:28" ht="15.75" customHeight="1" x14ac:dyDescent="0.2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</row>
    <row r="458" spans="1:28" ht="15.75" customHeight="1" x14ac:dyDescent="0.2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</row>
    <row r="459" spans="1:28" ht="15.75" customHeight="1" x14ac:dyDescent="0.2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</row>
    <row r="460" spans="1:28" ht="15.75" customHeight="1" x14ac:dyDescent="0.2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</row>
    <row r="461" spans="1:28" ht="15.75" customHeight="1" x14ac:dyDescent="0.2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</row>
    <row r="462" spans="1:28" ht="15.75" customHeight="1" x14ac:dyDescent="0.2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</row>
    <row r="463" spans="1:28" ht="15.75" customHeight="1" x14ac:dyDescent="0.2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</row>
    <row r="464" spans="1:28" ht="15.75" customHeight="1" x14ac:dyDescent="0.2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</row>
    <row r="465" spans="1:28" ht="15.75" customHeight="1" x14ac:dyDescent="0.2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</row>
    <row r="466" spans="1:28" ht="15.75" customHeight="1" x14ac:dyDescent="0.2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</row>
    <row r="467" spans="1:28" ht="15.75" customHeight="1" x14ac:dyDescent="0.2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</row>
    <row r="468" spans="1:28" ht="15.75" customHeight="1" x14ac:dyDescent="0.2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</row>
    <row r="469" spans="1:28" ht="15.75" customHeight="1" x14ac:dyDescent="0.2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</row>
    <row r="470" spans="1:28" ht="15.75" customHeight="1" x14ac:dyDescent="0.2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</row>
    <row r="471" spans="1:28" ht="15.75" customHeight="1" x14ac:dyDescent="0.2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</row>
    <row r="472" spans="1:28" ht="15.75" customHeight="1" x14ac:dyDescent="0.2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</row>
    <row r="473" spans="1:28" ht="15.75" customHeight="1" x14ac:dyDescent="0.2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</row>
    <row r="474" spans="1:28" ht="15.75" customHeight="1" x14ac:dyDescent="0.2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</row>
    <row r="475" spans="1:28" ht="15.75" customHeight="1" x14ac:dyDescent="0.2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</row>
    <row r="476" spans="1:28" ht="15.75" customHeight="1" x14ac:dyDescent="0.2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</row>
    <row r="477" spans="1:28" ht="15.75" customHeight="1" x14ac:dyDescent="0.2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</row>
    <row r="478" spans="1:28" ht="15.75" customHeight="1" x14ac:dyDescent="0.2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</row>
    <row r="479" spans="1:28" ht="15.75" customHeight="1" x14ac:dyDescent="0.2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</row>
    <row r="480" spans="1:28" ht="15.75" customHeight="1" x14ac:dyDescent="0.2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</row>
    <row r="481" spans="1:28" ht="15.75" customHeight="1" x14ac:dyDescent="0.2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</row>
    <row r="482" spans="1:28" ht="15.75" customHeight="1" x14ac:dyDescent="0.2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</row>
    <row r="483" spans="1:28" ht="15.75" customHeight="1" x14ac:dyDescent="0.2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</row>
    <row r="484" spans="1:28" ht="15.75" customHeight="1" x14ac:dyDescent="0.2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</row>
    <row r="485" spans="1:28" ht="15.75" customHeight="1" x14ac:dyDescent="0.2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</row>
    <row r="486" spans="1:28" ht="15.75" customHeight="1" x14ac:dyDescent="0.2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</row>
    <row r="487" spans="1:28" ht="15.75" customHeight="1" x14ac:dyDescent="0.2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</row>
    <row r="488" spans="1:28" ht="15.75" customHeight="1" x14ac:dyDescent="0.2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</row>
    <row r="489" spans="1:28" ht="15.75" customHeight="1" x14ac:dyDescent="0.2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</row>
    <row r="490" spans="1:28" ht="15.75" customHeight="1" x14ac:dyDescent="0.2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</row>
    <row r="491" spans="1:28" ht="15.75" customHeight="1" x14ac:dyDescent="0.2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</row>
    <row r="492" spans="1:28" ht="15.75" customHeight="1" x14ac:dyDescent="0.2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</row>
    <row r="493" spans="1:28" ht="15.75" customHeight="1" x14ac:dyDescent="0.2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</row>
    <row r="494" spans="1:28" ht="15.75" customHeight="1" x14ac:dyDescent="0.2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</row>
    <row r="495" spans="1:28" ht="15.75" customHeight="1" x14ac:dyDescent="0.2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</row>
    <row r="496" spans="1:28" ht="15.75" customHeight="1" x14ac:dyDescent="0.2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</row>
    <row r="497" spans="1:28" ht="15.75" customHeight="1" x14ac:dyDescent="0.2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</row>
    <row r="498" spans="1:28" ht="15.75" customHeight="1" x14ac:dyDescent="0.2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</row>
    <row r="499" spans="1:28" ht="15.75" customHeight="1" x14ac:dyDescent="0.2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</row>
    <row r="500" spans="1:28" ht="15.75" customHeight="1" x14ac:dyDescent="0.2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</row>
    <row r="501" spans="1:28" ht="15.75" customHeight="1" x14ac:dyDescent="0.2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</row>
    <row r="502" spans="1:28" ht="15.75" customHeight="1" x14ac:dyDescent="0.2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</row>
    <row r="503" spans="1:28" ht="15.75" customHeight="1" x14ac:dyDescent="0.2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</row>
    <row r="504" spans="1:28" ht="15.75" customHeight="1" x14ac:dyDescent="0.2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</row>
    <row r="505" spans="1:28" ht="15.75" customHeight="1" x14ac:dyDescent="0.2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</row>
    <row r="506" spans="1:28" ht="15.75" customHeight="1" x14ac:dyDescent="0.2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</row>
    <row r="507" spans="1:28" ht="15.75" customHeight="1" x14ac:dyDescent="0.2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</row>
    <row r="508" spans="1:28" ht="15.75" customHeight="1" x14ac:dyDescent="0.2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</row>
    <row r="509" spans="1:28" ht="15.75" customHeight="1" x14ac:dyDescent="0.2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</row>
    <row r="510" spans="1:28" ht="15.75" customHeight="1" x14ac:dyDescent="0.2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</row>
    <row r="511" spans="1:28" ht="15.75" customHeight="1" x14ac:dyDescent="0.2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</row>
    <row r="512" spans="1:28" ht="15.75" customHeight="1" x14ac:dyDescent="0.2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</row>
    <row r="513" spans="1:28" ht="15.75" customHeight="1" x14ac:dyDescent="0.2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</row>
    <row r="514" spans="1:28" ht="15.75" customHeight="1" x14ac:dyDescent="0.2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</row>
    <row r="515" spans="1:28" ht="15.75" customHeight="1" x14ac:dyDescent="0.2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</row>
    <row r="516" spans="1:28" ht="15.75" customHeight="1" x14ac:dyDescent="0.2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</row>
    <row r="517" spans="1:28" ht="15.75" customHeight="1" x14ac:dyDescent="0.2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</row>
    <row r="518" spans="1:28" ht="15.75" customHeight="1" x14ac:dyDescent="0.2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</row>
    <row r="519" spans="1:28" ht="15.75" customHeight="1" x14ac:dyDescent="0.2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</row>
    <row r="520" spans="1:28" ht="15.75" customHeight="1" x14ac:dyDescent="0.2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</row>
    <row r="521" spans="1:28" ht="15.75" customHeight="1" x14ac:dyDescent="0.2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</row>
    <row r="522" spans="1:28" ht="15.75" customHeight="1" x14ac:dyDescent="0.2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</row>
    <row r="523" spans="1:28" ht="15.75" customHeight="1" x14ac:dyDescent="0.2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</row>
    <row r="524" spans="1:28" ht="15.75" customHeight="1" x14ac:dyDescent="0.2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</row>
    <row r="525" spans="1:28" ht="15.75" customHeight="1" x14ac:dyDescent="0.2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</row>
    <row r="526" spans="1:28" ht="15.75" customHeight="1" x14ac:dyDescent="0.2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</row>
    <row r="527" spans="1:28" ht="15.75" customHeight="1" x14ac:dyDescent="0.2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</row>
    <row r="528" spans="1:28" ht="15.75" customHeight="1" x14ac:dyDescent="0.2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</row>
    <row r="529" spans="1:28" ht="15.75" customHeight="1" x14ac:dyDescent="0.2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</row>
    <row r="530" spans="1:28" ht="15.75" customHeight="1" x14ac:dyDescent="0.2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</row>
    <row r="531" spans="1:28" ht="15.75" customHeight="1" x14ac:dyDescent="0.2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</row>
    <row r="532" spans="1:28" ht="15.75" customHeight="1" x14ac:dyDescent="0.2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</row>
    <row r="533" spans="1:28" ht="15.75" customHeight="1" x14ac:dyDescent="0.2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</row>
    <row r="534" spans="1:28" ht="15.75" customHeight="1" x14ac:dyDescent="0.2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</row>
    <row r="535" spans="1:28" ht="15.75" customHeight="1" x14ac:dyDescent="0.2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</row>
    <row r="536" spans="1:28" ht="15.75" customHeight="1" x14ac:dyDescent="0.2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</row>
    <row r="537" spans="1:28" ht="15.75" customHeight="1" x14ac:dyDescent="0.2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</row>
    <row r="538" spans="1:28" ht="15.75" customHeight="1" x14ac:dyDescent="0.2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</row>
    <row r="539" spans="1:28" ht="15.75" customHeight="1" x14ac:dyDescent="0.2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</row>
    <row r="540" spans="1:28" ht="15.75" customHeight="1" x14ac:dyDescent="0.2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</row>
    <row r="541" spans="1:28" ht="15.75" customHeight="1" x14ac:dyDescent="0.2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</row>
    <row r="542" spans="1:28" ht="15.75" customHeight="1" x14ac:dyDescent="0.2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</row>
    <row r="543" spans="1:28" ht="15.75" customHeight="1" x14ac:dyDescent="0.2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</row>
    <row r="544" spans="1:28" ht="15.75" customHeight="1" x14ac:dyDescent="0.2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</row>
    <row r="545" spans="1:28" ht="15.75" customHeight="1" x14ac:dyDescent="0.2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</row>
    <row r="546" spans="1:28" ht="15.75" customHeight="1" x14ac:dyDescent="0.2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</row>
    <row r="547" spans="1:28" ht="15.75" customHeight="1" x14ac:dyDescent="0.2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</row>
    <row r="548" spans="1:28" ht="15.75" customHeight="1" x14ac:dyDescent="0.2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</row>
    <row r="549" spans="1:28" ht="15.75" customHeight="1" x14ac:dyDescent="0.2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</row>
    <row r="550" spans="1:28" ht="15.75" customHeight="1" x14ac:dyDescent="0.2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</row>
    <row r="551" spans="1:28" ht="15.75" customHeight="1" x14ac:dyDescent="0.2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</row>
    <row r="552" spans="1:28" ht="15.75" customHeight="1" x14ac:dyDescent="0.2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</row>
    <row r="553" spans="1:28" ht="15.75" customHeight="1" x14ac:dyDescent="0.2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</row>
    <row r="554" spans="1:28" ht="15.75" customHeight="1" x14ac:dyDescent="0.2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</row>
    <row r="555" spans="1:28" ht="15.75" customHeight="1" x14ac:dyDescent="0.2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</row>
    <row r="556" spans="1:28" ht="15.75" customHeight="1" x14ac:dyDescent="0.2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</row>
    <row r="557" spans="1:28" ht="15.75" customHeight="1" x14ac:dyDescent="0.2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</row>
    <row r="558" spans="1:28" ht="15.75" customHeight="1" x14ac:dyDescent="0.2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</row>
    <row r="559" spans="1:28" ht="15.75" customHeight="1" x14ac:dyDescent="0.2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</row>
    <row r="560" spans="1:28" ht="15.75" customHeight="1" x14ac:dyDescent="0.2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</row>
    <row r="561" spans="1:28" ht="15.75" customHeight="1" x14ac:dyDescent="0.2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</row>
    <row r="562" spans="1:28" ht="15.75" customHeight="1" x14ac:dyDescent="0.2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</row>
    <row r="563" spans="1:28" ht="15.75" customHeight="1" x14ac:dyDescent="0.2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</row>
    <row r="564" spans="1:28" ht="15.75" customHeight="1" x14ac:dyDescent="0.2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</row>
    <row r="565" spans="1:28" ht="15.75" customHeight="1" x14ac:dyDescent="0.2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</row>
    <row r="566" spans="1:28" ht="15.75" customHeight="1" x14ac:dyDescent="0.2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</row>
    <row r="567" spans="1:28" ht="15.75" customHeight="1" x14ac:dyDescent="0.2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</row>
    <row r="568" spans="1:28" ht="15.75" customHeight="1" x14ac:dyDescent="0.2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</row>
    <row r="569" spans="1:28" ht="15.75" customHeight="1" x14ac:dyDescent="0.2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</row>
    <row r="570" spans="1:28" ht="15.75" customHeight="1" x14ac:dyDescent="0.2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</row>
    <row r="571" spans="1:28" ht="15.75" customHeight="1" x14ac:dyDescent="0.2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</row>
    <row r="572" spans="1:28" ht="15.75" customHeight="1" x14ac:dyDescent="0.2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</row>
    <row r="573" spans="1:28" ht="15.75" customHeight="1" x14ac:dyDescent="0.2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</row>
    <row r="574" spans="1:28" ht="15.75" customHeight="1" x14ac:dyDescent="0.2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</row>
    <row r="575" spans="1:28" ht="15.75" customHeight="1" x14ac:dyDescent="0.2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</row>
    <row r="576" spans="1:28" ht="15.75" customHeight="1" x14ac:dyDescent="0.2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</row>
    <row r="577" spans="1:28" ht="15.75" customHeight="1" x14ac:dyDescent="0.2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</row>
    <row r="578" spans="1:28" ht="15.75" customHeight="1" x14ac:dyDescent="0.2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</row>
    <row r="579" spans="1:28" ht="15.75" customHeight="1" x14ac:dyDescent="0.2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</row>
    <row r="580" spans="1:28" ht="15.75" customHeight="1" x14ac:dyDescent="0.2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</row>
    <row r="581" spans="1:28" ht="15.75" customHeight="1" x14ac:dyDescent="0.2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</row>
    <row r="582" spans="1:28" ht="15.75" customHeight="1" x14ac:dyDescent="0.2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</row>
    <row r="583" spans="1:28" ht="15.75" customHeight="1" x14ac:dyDescent="0.2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</row>
    <row r="584" spans="1:28" ht="15.75" customHeight="1" x14ac:dyDescent="0.2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</row>
    <row r="585" spans="1:28" ht="15.75" customHeight="1" x14ac:dyDescent="0.2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</row>
    <row r="586" spans="1:28" ht="15.75" customHeight="1" x14ac:dyDescent="0.2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</row>
    <row r="587" spans="1:28" ht="15.75" customHeight="1" x14ac:dyDescent="0.2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</row>
    <row r="588" spans="1:28" ht="15.75" customHeight="1" x14ac:dyDescent="0.2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</row>
    <row r="589" spans="1:28" ht="15.75" customHeight="1" x14ac:dyDescent="0.2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</row>
    <row r="590" spans="1:28" ht="15.75" customHeight="1" x14ac:dyDescent="0.2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</row>
    <row r="591" spans="1:28" ht="15.75" customHeight="1" x14ac:dyDescent="0.2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</row>
    <row r="592" spans="1:28" ht="15.75" customHeight="1" x14ac:dyDescent="0.2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</row>
    <row r="593" spans="1:28" ht="15.75" customHeight="1" x14ac:dyDescent="0.2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</row>
    <row r="594" spans="1:28" ht="15.75" customHeight="1" x14ac:dyDescent="0.2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</row>
    <row r="595" spans="1:28" ht="15.75" customHeight="1" x14ac:dyDescent="0.2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</row>
    <row r="596" spans="1:28" ht="15.75" customHeight="1" x14ac:dyDescent="0.2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</row>
    <row r="597" spans="1:28" ht="15.75" customHeight="1" x14ac:dyDescent="0.2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</row>
    <row r="598" spans="1:28" ht="15.75" customHeight="1" x14ac:dyDescent="0.2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</row>
    <row r="599" spans="1:28" ht="15.75" customHeight="1" x14ac:dyDescent="0.2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</row>
    <row r="600" spans="1:28" ht="15.75" customHeight="1" x14ac:dyDescent="0.2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</row>
    <row r="601" spans="1:28" ht="15.75" customHeight="1" x14ac:dyDescent="0.2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</row>
    <row r="602" spans="1:28" ht="15.75" customHeight="1" x14ac:dyDescent="0.2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</row>
    <row r="603" spans="1:28" ht="15.75" customHeight="1" x14ac:dyDescent="0.2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</row>
    <row r="604" spans="1:28" ht="15.75" customHeight="1" x14ac:dyDescent="0.2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</row>
    <row r="605" spans="1:28" ht="15.75" customHeight="1" x14ac:dyDescent="0.2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</row>
    <row r="606" spans="1:28" ht="15.75" customHeight="1" x14ac:dyDescent="0.2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</row>
    <row r="607" spans="1:28" ht="15.75" customHeight="1" x14ac:dyDescent="0.2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</row>
    <row r="608" spans="1:28" ht="15.75" customHeight="1" x14ac:dyDescent="0.2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</row>
    <row r="609" spans="1:28" ht="15.75" customHeight="1" x14ac:dyDescent="0.2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</row>
    <row r="610" spans="1:28" ht="15.75" customHeight="1" x14ac:dyDescent="0.2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</row>
    <row r="611" spans="1:28" ht="15.75" customHeight="1" x14ac:dyDescent="0.2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</row>
    <row r="612" spans="1:28" ht="15.75" customHeight="1" x14ac:dyDescent="0.2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</row>
    <row r="613" spans="1:28" ht="15.75" customHeight="1" x14ac:dyDescent="0.2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</row>
    <row r="614" spans="1:28" ht="15.75" customHeight="1" x14ac:dyDescent="0.2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</row>
    <row r="615" spans="1:28" ht="15.75" customHeight="1" x14ac:dyDescent="0.2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</row>
    <row r="616" spans="1:28" ht="15.75" customHeight="1" x14ac:dyDescent="0.2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</row>
    <row r="617" spans="1:28" ht="15.75" customHeight="1" x14ac:dyDescent="0.2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</row>
    <row r="618" spans="1:28" ht="15.75" customHeight="1" x14ac:dyDescent="0.2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</row>
    <row r="619" spans="1:28" ht="15.75" customHeight="1" x14ac:dyDescent="0.2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</row>
    <row r="620" spans="1:28" ht="15.75" customHeight="1" x14ac:dyDescent="0.2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</row>
    <row r="621" spans="1:28" ht="15.75" customHeight="1" x14ac:dyDescent="0.2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</row>
    <row r="622" spans="1:28" ht="15.75" customHeight="1" x14ac:dyDescent="0.2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</row>
    <row r="623" spans="1:28" ht="15.75" customHeight="1" x14ac:dyDescent="0.2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</row>
    <row r="624" spans="1:28" ht="15.75" customHeight="1" x14ac:dyDescent="0.2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</row>
    <row r="625" spans="1:28" ht="15.75" customHeight="1" x14ac:dyDescent="0.2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</row>
    <row r="626" spans="1:28" ht="15.75" customHeight="1" x14ac:dyDescent="0.2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</row>
    <row r="627" spans="1:28" ht="15.75" customHeight="1" x14ac:dyDescent="0.2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</row>
    <row r="628" spans="1:28" ht="15.75" customHeight="1" x14ac:dyDescent="0.2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</row>
    <row r="629" spans="1:28" ht="15.75" customHeight="1" x14ac:dyDescent="0.2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</row>
    <row r="630" spans="1:28" ht="15.75" customHeight="1" x14ac:dyDescent="0.2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</row>
    <row r="631" spans="1:28" ht="15.75" customHeight="1" x14ac:dyDescent="0.2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</row>
    <row r="632" spans="1:28" ht="15.75" customHeight="1" x14ac:dyDescent="0.2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</row>
    <row r="633" spans="1:28" ht="15.75" customHeight="1" x14ac:dyDescent="0.2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</row>
    <row r="634" spans="1:28" ht="15.75" customHeight="1" x14ac:dyDescent="0.2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</row>
    <row r="635" spans="1:28" ht="15.75" customHeight="1" x14ac:dyDescent="0.2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</row>
    <row r="636" spans="1:28" ht="15.75" customHeight="1" x14ac:dyDescent="0.2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</row>
    <row r="637" spans="1:28" ht="15.75" customHeight="1" x14ac:dyDescent="0.2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</row>
    <row r="638" spans="1:28" ht="15.75" customHeight="1" x14ac:dyDescent="0.2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</row>
    <row r="639" spans="1:28" ht="15.75" customHeight="1" x14ac:dyDescent="0.2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</row>
    <row r="640" spans="1:28" ht="15.75" customHeight="1" x14ac:dyDescent="0.2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</row>
    <row r="641" spans="1:28" ht="15.75" customHeight="1" x14ac:dyDescent="0.2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</row>
    <row r="642" spans="1:28" ht="15.75" customHeight="1" x14ac:dyDescent="0.2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</row>
    <row r="643" spans="1:28" ht="15.75" customHeight="1" x14ac:dyDescent="0.2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</row>
    <row r="644" spans="1:28" ht="15.75" customHeight="1" x14ac:dyDescent="0.2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</row>
    <row r="645" spans="1:28" ht="15.75" customHeight="1" x14ac:dyDescent="0.2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</row>
    <row r="646" spans="1:28" ht="15.75" customHeight="1" x14ac:dyDescent="0.2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</row>
    <row r="647" spans="1:28" ht="15.75" customHeight="1" x14ac:dyDescent="0.2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</row>
    <row r="648" spans="1:28" ht="15.75" customHeight="1" x14ac:dyDescent="0.2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</row>
    <row r="649" spans="1:28" ht="15.75" customHeight="1" x14ac:dyDescent="0.2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</row>
    <row r="650" spans="1:28" ht="15.75" customHeight="1" x14ac:dyDescent="0.2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</row>
    <row r="651" spans="1:28" ht="15.75" customHeight="1" x14ac:dyDescent="0.2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</row>
    <row r="652" spans="1:28" ht="15.75" customHeight="1" x14ac:dyDescent="0.2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</row>
    <row r="653" spans="1:28" ht="15.75" customHeight="1" x14ac:dyDescent="0.2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</row>
    <row r="654" spans="1:28" ht="15.75" customHeight="1" x14ac:dyDescent="0.2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</row>
    <row r="655" spans="1:28" ht="15.75" customHeight="1" x14ac:dyDescent="0.2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</row>
    <row r="656" spans="1:28" ht="15.75" customHeight="1" x14ac:dyDescent="0.2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</row>
    <row r="657" spans="1:28" ht="15.75" customHeight="1" x14ac:dyDescent="0.2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</row>
    <row r="658" spans="1:28" ht="15.75" customHeight="1" x14ac:dyDescent="0.2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</row>
    <row r="659" spans="1:28" ht="15.75" customHeight="1" x14ac:dyDescent="0.2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</row>
    <row r="660" spans="1:28" ht="15.75" customHeight="1" x14ac:dyDescent="0.2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</row>
    <row r="661" spans="1:28" ht="15.75" customHeight="1" x14ac:dyDescent="0.2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</row>
    <row r="662" spans="1:28" ht="15.75" customHeight="1" x14ac:dyDescent="0.2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</row>
    <row r="663" spans="1:28" ht="15.75" customHeight="1" x14ac:dyDescent="0.2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</row>
    <row r="664" spans="1:28" ht="15.75" customHeight="1" x14ac:dyDescent="0.2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</row>
    <row r="665" spans="1:28" ht="15.75" customHeight="1" x14ac:dyDescent="0.2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</row>
    <row r="666" spans="1:28" ht="15.75" customHeight="1" x14ac:dyDescent="0.2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</row>
    <row r="667" spans="1:28" ht="15.75" customHeight="1" x14ac:dyDescent="0.2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</row>
    <row r="668" spans="1:28" ht="15.75" customHeight="1" x14ac:dyDescent="0.2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</row>
    <row r="669" spans="1:28" ht="15.75" customHeight="1" x14ac:dyDescent="0.2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</row>
    <row r="670" spans="1:28" ht="15.75" customHeight="1" x14ac:dyDescent="0.2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</row>
    <row r="671" spans="1:28" ht="15.75" customHeight="1" x14ac:dyDescent="0.2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</row>
    <row r="672" spans="1:28" ht="15.75" customHeight="1" x14ac:dyDescent="0.2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</row>
    <row r="673" spans="1:28" ht="15.75" customHeight="1" x14ac:dyDescent="0.2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</row>
    <row r="674" spans="1:28" ht="15.75" customHeight="1" x14ac:dyDescent="0.2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</row>
    <row r="675" spans="1:28" ht="15.75" customHeight="1" x14ac:dyDescent="0.2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</row>
    <row r="676" spans="1:28" ht="15.75" customHeight="1" x14ac:dyDescent="0.2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</row>
    <row r="677" spans="1:28" ht="15.75" customHeight="1" x14ac:dyDescent="0.2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</row>
    <row r="678" spans="1:28" ht="15.75" customHeight="1" x14ac:dyDescent="0.2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</row>
    <row r="679" spans="1:28" ht="15.75" customHeight="1" x14ac:dyDescent="0.2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</row>
    <row r="680" spans="1:28" ht="15.75" customHeight="1" x14ac:dyDescent="0.2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</row>
    <row r="681" spans="1:28" ht="15.75" customHeight="1" x14ac:dyDescent="0.2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</row>
    <row r="682" spans="1:28" ht="15.75" customHeight="1" x14ac:dyDescent="0.2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</row>
    <row r="683" spans="1:28" ht="15.75" customHeight="1" x14ac:dyDescent="0.2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</row>
    <row r="684" spans="1:28" ht="15.75" customHeight="1" x14ac:dyDescent="0.2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</row>
    <row r="685" spans="1:28" ht="15.75" customHeight="1" x14ac:dyDescent="0.2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</row>
    <row r="686" spans="1:28" ht="15.75" customHeight="1" x14ac:dyDescent="0.2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</row>
    <row r="687" spans="1:28" ht="15.75" customHeight="1" x14ac:dyDescent="0.2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</row>
    <row r="688" spans="1:28" ht="15.75" customHeight="1" x14ac:dyDescent="0.2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</row>
    <row r="689" spans="1:28" ht="15.75" customHeight="1" x14ac:dyDescent="0.2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</row>
    <row r="690" spans="1:28" ht="15.75" customHeight="1" x14ac:dyDescent="0.2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</row>
    <row r="691" spans="1:28" ht="15.75" customHeight="1" x14ac:dyDescent="0.2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</row>
    <row r="692" spans="1:28" ht="15.75" customHeight="1" x14ac:dyDescent="0.2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</row>
    <row r="693" spans="1:28" ht="15.75" customHeight="1" x14ac:dyDescent="0.2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</row>
    <row r="694" spans="1:28" ht="15.75" customHeight="1" x14ac:dyDescent="0.2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</row>
    <row r="695" spans="1:28" ht="15.75" customHeight="1" x14ac:dyDescent="0.2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</row>
    <row r="696" spans="1:28" ht="15.75" customHeight="1" x14ac:dyDescent="0.2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</row>
    <row r="697" spans="1:28" ht="15.75" customHeight="1" x14ac:dyDescent="0.2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</row>
    <row r="698" spans="1:28" ht="15.75" customHeight="1" x14ac:dyDescent="0.2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</row>
    <row r="699" spans="1:28" ht="15.75" customHeight="1" x14ac:dyDescent="0.2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</row>
    <row r="700" spans="1:28" ht="15.75" customHeight="1" x14ac:dyDescent="0.2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</row>
    <row r="701" spans="1:28" ht="15.75" customHeight="1" x14ac:dyDescent="0.2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</row>
    <row r="702" spans="1:28" ht="15.75" customHeight="1" x14ac:dyDescent="0.2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</row>
    <row r="703" spans="1:28" ht="15.75" customHeight="1" x14ac:dyDescent="0.2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</row>
    <row r="704" spans="1:28" ht="15.75" customHeight="1" x14ac:dyDescent="0.2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</row>
    <row r="705" spans="1:28" ht="15.75" customHeight="1" x14ac:dyDescent="0.2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</row>
    <row r="706" spans="1:28" ht="15.75" customHeight="1" x14ac:dyDescent="0.2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</row>
    <row r="707" spans="1:28" ht="15.75" customHeight="1" x14ac:dyDescent="0.2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</row>
    <row r="708" spans="1:28" ht="15.75" customHeight="1" x14ac:dyDescent="0.2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</row>
    <row r="709" spans="1:28" ht="15.75" customHeight="1" x14ac:dyDescent="0.2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</row>
    <row r="710" spans="1:28" ht="15.75" customHeight="1" x14ac:dyDescent="0.2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</row>
    <row r="711" spans="1:28" ht="15.75" customHeight="1" x14ac:dyDescent="0.2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</row>
    <row r="712" spans="1:28" ht="15.75" customHeight="1" x14ac:dyDescent="0.2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</row>
    <row r="713" spans="1:28" ht="15.75" customHeight="1" x14ac:dyDescent="0.2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</row>
    <row r="714" spans="1:28" ht="15.75" customHeight="1" x14ac:dyDescent="0.2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</row>
    <row r="715" spans="1:28" ht="15.75" customHeight="1" x14ac:dyDescent="0.2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</row>
    <row r="716" spans="1:28" ht="15.75" customHeight="1" x14ac:dyDescent="0.2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</row>
    <row r="717" spans="1:28" ht="15.75" customHeight="1" x14ac:dyDescent="0.2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</row>
    <row r="718" spans="1:28" ht="15.75" customHeight="1" x14ac:dyDescent="0.2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</row>
    <row r="719" spans="1:28" ht="15.75" customHeight="1" x14ac:dyDescent="0.2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</row>
    <row r="720" spans="1:28" ht="15.75" customHeight="1" x14ac:dyDescent="0.2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</row>
    <row r="721" spans="1:28" ht="15.75" customHeight="1" x14ac:dyDescent="0.2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</row>
    <row r="722" spans="1:28" ht="15.75" customHeight="1" x14ac:dyDescent="0.2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</row>
    <row r="723" spans="1:28" ht="15.75" customHeight="1" x14ac:dyDescent="0.2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</row>
    <row r="724" spans="1:28" ht="15.75" customHeight="1" x14ac:dyDescent="0.2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</row>
    <row r="725" spans="1:28" ht="15.75" customHeight="1" x14ac:dyDescent="0.2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</row>
    <row r="726" spans="1:28" ht="15.75" customHeight="1" x14ac:dyDescent="0.2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</row>
    <row r="727" spans="1:28" ht="15.75" customHeight="1" x14ac:dyDescent="0.2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</row>
    <row r="728" spans="1:28" ht="15.75" customHeight="1" x14ac:dyDescent="0.2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</row>
    <row r="729" spans="1:28" ht="15.75" customHeight="1" x14ac:dyDescent="0.2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</row>
    <row r="730" spans="1:28" ht="15.75" customHeight="1" x14ac:dyDescent="0.2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</row>
    <row r="731" spans="1:28" ht="15.75" customHeight="1" x14ac:dyDescent="0.2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</row>
    <row r="732" spans="1:28" ht="15.75" customHeight="1" x14ac:dyDescent="0.2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</row>
    <row r="733" spans="1:28" ht="15.75" customHeight="1" x14ac:dyDescent="0.2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</row>
    <row r="734" spans="1:28" ht="15.75" customHeight="1" x14ac:dyDescent="0.2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</row>
    <row r="735" spans="1:28" ht="15.75" customHeight="1" x14ac:dyDescent="0.2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</row>
    <row r="736" spans="1:28" ht="15.75" customHeight="1" x14ac:dyDescent="0.2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</row>
    <row r="737" spans="1:28" ht="15.75" customHeight="1" x14ac:dyDescent="0.2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</row>
    <row r="738" spans="1:28" ht="15.75" customHeight="1" x14ac:dyDescent="0.2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</row>
    <row r="739" spans="1:28" ht="15.75" customHeight="1" x14ac:dyDescent="0.2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</row>
    <row r="740" spans="1:28" ht="15.75" customHeight="1" x14ac:dyDescent="0.2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</row>
    <row r="741" spans="1:28" ht="15.75" customHeight="1" x14ac:dyDescent="0.2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</row>
    <row r="742" spans="1:28" ht="15.75" customHeight="1" x14ac:dyDescent="0.2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</row>
    <row r="743" spans="1:28" ht="15.75" customHeight="1" x14ac:dyDescent="0.2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</row>
    <row r="744" spans="1:28" ht="15.75" customHeight="1" x14ac:dyDescent="0.2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</row>
    <row r="745" spans="1:28" ht="15.75" customHeight="1" x14ac:dyDescent="0.2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</row>
    <row r="746" spans="1:28" ht="15.75" customHeight="1" x14ac:dyDescent="0.2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</row>
    <row r="747" spans="1:28" ht="15.75" customHeight="1" x14ac:dyDescent="0.2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</row>
    <row r="748" spans="1:28" ht="15.75" customHeight="1" x14ac:dyDescent="0.2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</row>
    <row r="749" spans="1:28" ht="15.75" customHeight="1" x14ac:dyDescent="0.2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</row>
    <row r="750" spans="1:28" ht="15.75" customHeight="1" x14ac:dyDescent="0.2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</row>
    <row r="751" spans="1:28" ht="15.75" customHeight="1" x14ac:dyDescent="0.2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</row>
    <row r="752" spans="1:28" ht="15.75" customHeight="1" x14ac:dyDescent="0.2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</row>
    <row r="753" spans="1:28" ht="15.75" customHeight="1" x14ac:dyDescent="0.2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</row>
    <row r="754" spans="1:28" ht="15.75" customHeight="1" x14ac:dyDescent="0.2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</row>
    <row r="755" spans="1:28" ht="15.75" customHeight="1" x14ac:dyDescent="0.2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</row>
    <row r="756" spans="1:28" ht="15.75" customHeight="1" x14ac:dyDescent="0.2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</row>
    <row r="757" spans="1:28" ht="15.75" customHeight="1" x14ac:dyDescent="0.2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</row>
    <row r="758" spans="1:28" ht="15.75" customHeight="1" x14ac:dyDescent="0.2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</row>
    <row r="759" spans="1:28" ht="15.75" customHeight="1" x14ac:dyDescent="0.2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</row>
    <row r="760" spans="1:28" ht="15.75" customHeight="1" x14ac:dyDescent="0.2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</row>
    <row r="761" spans="1:28" ht="15.75" customHeight="1" x14ac:dyDescent="0.2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</row>
    <row r="762" spans="1:28" ht="15.75" customHeight="1" x14ac:dyDescent="0.2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</row>
    <row r="763" spans="1:28" ht="15.75" customHeight="1" x14ac:dyDescent="0.2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</row>
    <row r="764" spans="1:28" ht="15.75" customHeight="1" x14ac:dyDescent="0.2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</row>
    <row r="765" spans="1:28" ht="15.75" customHeight="1" x14ac:dyDescent="0.2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</row>
    <row r="766" spans="1:28" ht="15.75" customHeight="1" x14ac:dyDescent="0.2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</row>
    <row r="767" spans="1:28" ht="15.75" customHeight="1" x14ac:dyDescent="0.2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</row>
    <row r="768" spans="1:28" ht="15.75" customHeight="1" x14ac:dyDescent="0.2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</row>
    <row r="769" spans="1:28" ht="15.75" customHeight="1" x14ac:dyDescent="0.2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</row>
    <row r="770" spans="1:28" ht="15.75" customHeight="1" x14ac:dyDescent="0.2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</row>
    <row r="771" spans="1:28" ht="15.75" customHeight="1" x14ac:dyDescent="0.2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</row>
    <row r="772" spans="1:28" ht="15.75" customHeight="1" x14ac:dyDescent="0.2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</row>
    <row r="773" spans="1:28" ht="15.75" customHeight="1" x14ac:dyDescent="0.2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</row>
    <row r="774" spans="1:28" ht="15.75" customHeight="1" x14ac:dyDescent="0.2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</row>
    <row r="775" spans="1:28" ht="15.75" customHeight="1" x14ac:dyDescent="0.2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</row>
    <row r="776" spans="1:28" ht="15.75" customHeight="1" x14ac:dyDescent="0.2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</row>
    <row r="777" spans="1:28" ht="15.75" customHeight="1" x14ac:dyDescent="0.2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</row>
    <row r="778" spans="1:28" ht="15.75" customHeight="1" x14ac:dyDescent="0.2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</row>
    <row r="779" spans="1:28" ht="15.75" customHeight="1" x14ac:dyDescent="0.2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</row>
    <row r="780" spans="1:28" ht="15.75" customHeight="1" x14ac:dyDescent="0.2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</row>
    <row r="781" spans="1:28" ht="15.75" customHeight="1" x14ac:dyDescent="0.2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</row>
    <row r="782" spans="1:28" ht="15.75" customHeight="1" x14ac:dyDescent="0.2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</row>
    <row r="783" spans="1:28" ht="15.75" customHeight="1" x14ac:dyDescent="0.2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</row>
    <row r="784" spans="1:28" ht="15.75" customHeight="1" x14ac:dyDescent="0.2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</row>
    <row r="785" spans="1:28" ht="15.75" customHeight="1" x14ac:dyDescent="0.2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</row>
    <row r="786" spans="1:28" ht="15.75" customHeight="1" x14ac:dyDescent="0.2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</row>
    <row r="787" spans="1:28" ht="15.75" customHeight="1" x14ac:dyDescent="0.2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</row>
    <row r="788" spans="1:28" ht="15.75" customHeight="1" x14ac:dyDescent="0.2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</row>
    <row r="789" spans="1:28" ht="15.75" customHeight="1" x14ac:dyDescent="0.2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</row>
    <row r="790" spans="1:28" ht="15.75" customHeight="1" x14ac:dyDescent="0.2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</row>
    <row r="791" spans="1:28" ht="15.75" customHeight="1" x14ac:dyDescent="0.2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</row>
    <row r="792" spans="1:28" ht="15.75" customHeight="1" x14ac:dyDescent="0.2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</row>
    <row r="793" spans="1:28" ht="15.75" customHeight="1" x14ac:dyDescent="0.2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</row>
    <row r="794" spans="1:28" ht="15.75" customHeight="1" x14ac:dyDescent="0.2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</row>
    <row r="795" spans="1:28" ht="15.75" customHeight="1" x14ac:dyDescent="0.2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</row>
    <row r="796" spans="1:28" ht="15.75" customHeight="1" x14ac:dyDescent="0.2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</row>
    <row r="797" spans="1:28" ht="15.75" customHeight="1" x14ac:dyDescent="0.2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</row>
    <row r="798" spans="1:28" ht="15.75" customHeight="1" x14ac:dyDescent="0.2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</row>
    <row r="799" spans="1:28" ht="15.75" customHeight="1" x14ac:dyDescent="0.2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</row>
    <row r="800" spans="1:28" ht="15.75" customHeight="1" x14ac:dyDescent="0.2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</row>
    <row r="801" spans="1:28" ht="15.75" customHeight="1" x14ac:dyDescent="0.2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</row>
    <row r="802" spans="1:28" ht="15.75" customHeight="1" x14ac:dyDescent="0.2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</row>
    <row r="803" spans="1:28" ht="15.75" customHeight="1" x14ac:dyDescent="0.2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</row>
    <row r="804" spans="1:28" ht="15.75" customHeight="1" x14ac:dyDescent="0.2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</row>
    <row r="805" spans="1:28" ht="15.75" customHeight="1" x14ac:dyDescent="0.2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</row>
    <row r="806" spans="1:28" ht="15.75" customHeight="1" x14ac:dyDescent="0.2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</row>
    <row r="807" spans="1:28" ht="15.75" customHeight="1" x14ac:dyDescent="0.2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</row>
    <row r="808" spans="1:28" ht="15.75" customHeight="1" x14ac:dyDescent="0.2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</row>
    <row r="809" spans="1:28" ht="15.75" customHeight="1" x14ac:dyDescent="0.2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</row>
    <row r="810" spans="1:28" ht="15.75" customHeight="1" x14ac:dyDescent="0.2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</row>
    <row r="811" spans="1:28" ht="15.75" customHeight="1" x14ac:dyDescent="0.2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</row>
    <row r="812" spans="1:28" ht="15.75" customHeight="1" x14ac:dyDescent="0.2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</row>
    <row r="813" spans="1:28" ht="15.75" customHeight="1" x14ac:dyDescent="0.2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</row>
    <row r="814" spans="1:28" ht="15.75" customHeight="1" x14ac:dyDescent="0.2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</row>
    <row r="815" spans="1:28" ht="15.75" customHeight="1" x14ac:dyDescent="0.2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</row>
    <row r="816" spans="1:28" ht="15.75" customHeight="1" x14ac:dyDescent="0.2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</row>
    <row r="817" spans="1:28" ht="15.75" customHeight="1" x14ac:dyDescent="0.2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</row>
    <row r="818" spans="1:28" ht="15.75" customHeight="1" x14ac:dyDescent="0.2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</row>
    <row r="819" spans="1:28" ht="15.75" customHeight="1" x14ac:dyDescent="0.2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</row>
    <row r="820" spans="1:28" ht="15.75" customHeight="1" x14ac:dyDescent="0.2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</row>
    <row r="821" spans="1:28" ht="15.75" customHeight="1" x14ac:dyDescent="0.2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</row>
    <row r="822" spans="1:28" ht="15.75" customHeight="1" x14ac:dyDescent="0.2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</row>
    <row r="823" spans="1:28" ht="15.75" customHeight="1" x14ac:dyDescent="0.2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</row>
    <row r="824" spans="1:28" ht="15.75" customHeight="1" x14ac:dyDescent="0.2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</row>
    <row r="825" spans="1:28" ht="15.75" customHeight="1" x14ac:dyDescent="0.2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</row>
    <row r="826" spans="1:28" ht="15.75" customHeight="1" x14ac:dyDescent="0.2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</row>
    <row r="827" spans="1:28" ht="15.75" customHeight="1" x14ac:dyDescent="0.2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</row>
    <row r="828" spans="1:28" ht="15.75" customHeight="1" x14ac:dyDescent="0.2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</row>
    <row r="829" spans="1:28" ht="15.75" customHeight="1" x14ac:dyDescent="0.2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</row>
    <row r="830" spans="1:28" ht="15.75" customHeight="1" x14ac:dyDescent="0.2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</row>
    <row r="831" spans="1:28" ht="15.75" customHeight="1" x14ac:dyDescent="0.2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</row>
    <row r="832" spans="1:28" ht="15.75" customHeight="1" x14ac:dyDescent="0.2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</row>
    <row r="833" spans="1:28" ht="15.75" customHeight="1" x14ac:dyDescent="0.2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</row>
    <row r="834" spans="1:28" ht="15.75" customHeight="1" x14ac:dyDescent="0.2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</row>
    <row r="835" spans="1:28" ht="15.75" customHeight="1" x14ac:dyDescent="0.2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</row>
    <row r="836" spans="1:28" ht="15.75" customHeight="1" x14ac:dyDescent="0.2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</row>
    <row r="837" spans="1:28" ht="15.75" customHeight="1" x14ac:dyDescent="0.2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</row>
    <row r="838" spans="1:28" ht="15.75" customHeight="1" x14ac:dyDescent="0.2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</row>
    <row r="839" spans="1:28" ht="15.75" customHeight="1" x14ac:dyDescent="0.2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</row>
    <row r="840" spans="1:28" ht="15.75" customHeight="1" x14ac:dyDescent="0.2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</row>
    <row r="841" spans="1:28" ht="15.75" customHeight="1" x14ac:dyDescent="0.2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</row>
    <row r="842" spans="1:28" ht="15.75" customHeight="1" x14ac:dyDescent="0.2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</row>
    <row r="843" spans="1:28" ht="15.75" customHeight="1" x14ac:dyDescent="0.2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</row>
    <row r="844" spans="1:28" ht="15.75" customHeight="1" x14ac:dyDescent="0.2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</row>
    <row r="845" spans="1:28" ht="15.75" customHeight="1" x14ac:dyDescent="0.2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</row>
    <row r="846" spans="1:28" ht="15.75" customHeight="1" x14ac:dyDescent="0.2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</row>
    <row r="847" spans="1:28" ht="15.75" customHeight="1" x14ac:dyDescent="0.2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</row>
    <row r="848" spans="1:28" ht="15.75" customHeight="1" x14ac:dyDescent="0.2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</row>
    <row r="849" spans="1:28" ht="15.75" customHeight="1" x14ac:dyDescent="0.2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</row>
    <row r="850" spans="1:28" ht="15.75" customHeight="1" x14ac:dyDescent="0.2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</row>
    <row r="851" spans="1:28" ht="15.75" customHeight="1" x14ac:dyDescent="0.2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</row>
    <row r="852" spans="1:28" ht="15.75" customHeight="1" x14ac:dyDescent="0.2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</row>
    <row r="853" spans="1:28" ht="15.75" customHeight="1" x14ac:dyDescent="0.2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</row>
    <row r="854" spans="1:28" ht="15.75" customHeight="1" x14ac:dyDescent="0.2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</row>
    <row r="855" spans="1:28" ht="15.75" customHeight="1" x14ac:dyDescent="0.2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</row>
    <row r="856" spans="1:28" ht="15.75" customHeight="1" x14ac:dyDescent="0.2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</row>
    <row r="857" spans="1:28" ht="15.75" customHeight="1" x14ac:dyDescent="0.2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</row>
    <row r="858" spans="1:28" ht="15.75" customHeight="1" x14ac:dyDescent="0.2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</row>
    <row r="859" spans="1:28" ht="15.75" customHeight="1" x14ac:dyDescent="0.2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</row>
    <row r="860" spans="1:28" ht="15.75" customHeight="1" x14ac:dyDescent="0.2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</row>
    <row r="861" spans="1:28" ht="15.75" customHeight="1" x14ac:dyDescent="0.2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</row>
    <row r="862" spans="1:28" ht="15.75" customHeight="1" x14ac:dyDescent="0.2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</row>
    <row r="863" spans="1:28" ht="15.75" customHeight="1" x14ac:dyDescent="0.2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</row>
    <row r="864" spans="1:28" ht="15.75" customHeight="1" x14ac:dyDescent="0.2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</row>
    <row r="865" spans="1:28" ht="15.75" customHeight="1" x14ac:dyDescent="0.2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</row>
    <row r="866" spans="1:28" ht="15.75" customHeight="1" x14ac:dyDescent="0.2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</row>
    <row r="867" spans="1:28" ht="15.75" customHeight="1" x14ac:dyDescent="0.2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</row>
    <row r="868" spans="1:28" ht="15.75" customHeight="1" x14ac:dyDescent="0.2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</row>
    <row r="869" spans="1:28" ht="15.75" customHeight="1" x14ac:dyDescent="0.2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</row>
    <row r="870" spans="1:28" ht="15.75" customHeight="1" x14ac:dyDescent="0.2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</row>
    <row r="871" spans="1:28" ht="15.75" customHeight="1" x14ac:dyDescent="0.2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</row>
    <row r="872" spans="1:28" ht="15.75" customHeight="1" x14ac:dyDescent="0.2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</row>
    <row r="873" spans="1:28" ht="15.75" customHeight="1" x14ac:dyDescent="0.2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</row>
    <row r="874" spans="1:28" ht="15.75" customHeight="1" x14ac:dyDescent="0.2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</row>
    <row r="875" spans="1:28" ht="15.75" customHeight="1" x14ac:dyDescent="0.2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</row>
    <row r="876" spans="1:28" ht="15.75" customHeight="1" x14ac:dyDescent="0.2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</row>
    <row r="877" spans="1:28" ht="15.75" customHeight="1" x14ac:dyDescent="0.2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</row>
    <row r="878" spans="1:28" ht="15.75" customHeight="1" x14ac:dyDescent="0.2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</row>
    <row r="879" spans="1:28" ht="15.75" customHeight="1" x14ac:dyDescent="0.2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</row>
    <row r="880" spans="1:28" ht="15.75" customHeight="1" x14ac:dyDescent="0.2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</row>
    <row r="881" spans="1:28" ht="15.75" customHeight="1" x14ac:dyDescent="0.2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</row>
    <row r="882" spans="1:28" ht="15.75" customHeight="1" x14ac:dyDescent="0.2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</row>
    <row r="883" spans="1:28" ht="15.75" customHeight="1" x14ac:dyDescent="0.2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</row>
    <row r="884" spans="1:28" ht="15.75" customHeight="1" x14ac:dyDescent="0.2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</row>
    <row r="885" spans="1:28" ht="15.75" customHeight="1" x14ac:dyDescent="0.2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</row>
    <row r="886" spans="1:28" ht="15.75" customHeight="1" x14ac:dyDescent="0.2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</row>
    <row r="887" spans="1:28" ht="15.75" customHeight="1" x14ac:dyDescent="0.2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</row>
    <row r="888" spans="1:28" ht="15.75" customHeight="1" x14ac:dyDescent="0.2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</row>
    <row r="889" spans="1:28" ht="15.75" customHeight="1" x14ac:dyDescent="0.2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</row>
    <row r="890" spans="1:28" ht="15.75" customHeight="1" x14ac:dyDescent="0.2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</row>
    <row r="891" spans="1:28" ht="15.75" customHeight="1" x14ac:dyDescent="0.2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</row>
    <row r="892" spans="1:28" ht="15.75" customHeight="1" x14ac:dyDescent="0.2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</row>
    <row r="893" spans="1:28" ht="15.75" customHeight="1" x14ac:dyDescent="0.2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</row>
    <row r="894" spans="1:28" ht="15.75" customHeight="1" x14ac:dyDescent="0.2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</row>
    <row r="895" spans="1:28" ht="15.75" customHeight="1" x14ac:dyDescent="0.2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</row>
    <row r="896" spans="1:28" ht="15.75" customHeight="1" x14ac:dyDescent="0.2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</row>
    <row r="897" spans="1:28" ht="15.75" customHeight="1" x14ac:dyDescent="0.2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</row>
    <row r="898" spans="1:28" ht="15.75" customHeight="1" x14ac:dyDescent="0.2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</row>
    <row r="899" spans="1:28" ht="15.75" customHeight="1" x14ac:dyDescent="0.2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</row>
    <row r="900" spans="1:28" ht="15.75" customHeight="1" x14ac:dyDescent="0.2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</row>
    <row r="901" spans="1:28" ht="15.75" customHeight="1" x14ac:dyDescent="0.2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</row>
    <row r="902" spans="1:28" ht="15.75" customHeight="1" x14ac:dyDescent="0.2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</row>
    <row r="903" spans="1:28" ht="15.75" customHeight="1" x14ac:dyDescent="0.2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</row>
    <row r="904" spans="1:28" ht="15.75" customHeight="1" x14ac:dyDescent="0.2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</row>
    <row r="905" spans="1:28" ht="15.75" customHeight="1" x14ac:dyDescent="0.2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</row>
    <row r="906" spans="1:28" ht="15.75" customHeight="1" x14ac:dyDescent="0.2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</row>
    <row r="907" spans="1:28" ht="15.75" customHeight="1" x14ac:dyDescent="0.2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</row>
    <row r="908" spans="1:28" ht="15.75" customHeight="1" x14ac:dyDescent="0.2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</row>
    <row r="909" spans="1:28" ht="15.75" customHeight="1" x14ac:dyDescent="0.2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</row>
    <row r="910" spans="1:28" ht="15.75" customHeight="1" x14ac:dyDescent="0.2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</row>
    <row r="911" spans="1:28" ht="15.75" customHeight="1" x14ac:dyDescent="0.2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</row>
    <row r="912" spans="1:28" ht="15.75" customHeight="1" x14ac:dyDescent="0.2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</row>
    <row r="913" spans="1:28" ht="15.75" customHeight="1" x14ac:dyDescent="0.2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</row>
    <row r="914" spans="1:28" ht="15.75" customHeight="1" x14ac:dyDescent="0.2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</row>
    <row r="915" spans="1:28" ht="15.75" customHeight="1" x14ac:dyDescent="0.2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</row>
    <row r="916" spans="1:28" ht="15.75" customHeight="1" x14ac:dyDescent="0.2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</row>
    <row r="917" spans="1:28" ht="15.75" customHeight="1" x14ac:dyDescent="0.2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</row>
    <row r="918" spans="1:28" ht="15.75" customHeight="1" x14ac:dyDescent="0.2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</row>
    <row r="919" spans="1:28" ht="15.75" customHeight="1" x14ac:dyDescent="0.2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</row>
    <row r="920" spans="1:28" ht="15.75" customHeight="1" x14ac:dyDescent="0.2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</row>
    <row r="921" spans="1:28" ht="15.75" customHeight="1" x14ac:dyDescent="0.2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</row>
    <row r="922" spans="1:28" ht="15.75" customHeight="1" x14ac:dyDescent="0.2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</row>
    <row r="923" spans="1:28" ht="15.75" customHeight="1" x14ac:dyDescent="0.2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</row>
    <row r="924" spans="1:28" ht="15.75" customHeight="1" x14ac:dyDescent="0.2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</row>
    <row r="925" spans="1:28" ht="15.75" customHeight="1" x14ac:dyDescent="0.2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</row>
    <row r="926" spans="1:28" ht="15.75" customHeight="1" x14ac:dyDescent="0.2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</row>
    <row r="927" spans="1:28" ht="15.75" customHeight="1" x14ac:dyDescent="0.2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</row>
    <row r="928" spans="1:28" ht="15.75" customHeight="1" x14ac:dyDescent="0.2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</row>
    <row r="929" spans="1:28" ht="15.75" customHeight="1" x14ac:dyDescent="0.2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</row>
    <row r="930" spans="1:28" ht="15.75" customHeight="1" x14ac:dyDescent="0.2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</row>
    <row r="931" spans="1:28" ht="15.75" customHeight="1" x14ac:dyDescent="0.2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</row>
    <row r="932" spans="1:28" ht="15.75" customHeight="1" x14ac:dyDescent="0.2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</row>
    <row r="933" spans="1:28" ht="15.75" customHeight="1" x14ac:dyDescent="0.2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</row>
    <row r="934" spans="1:28" ht="15.75" customHeight="1" x14ac:dyDescent="0.2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</row>
    <row r="935" spans="1:28" ht="15.75" customHeight="1" x14ac:dyDescent="0.2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</row>
    <row r="936" spans="1:28" ht="15.75" customHeight="1" x14ac:dyDescent="0.2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</row>
    <row r="937" spans="1:28" ht="15.75" customHeight="1" x14ac:dyDescent="0.2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</row>
    <row r="938" spans="1:28" ht="15.75" customHeight="1" x14ac:dyDescent="0.2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</row>
    <row r="939" spans="1:28" ht="15.75" customHeight="1" x14ac:dyDescent="0.2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</row>
    <row r="940" spans="1:28" ht="15.75" customHeight="1" x14ac:dyDescent="0.2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</row>
    <row r="941" spans="1:28" ht="15.75" customHeight="1" x14ac:dyDescent="0.2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</row>
    <row r="942" spans="1:28" ht="15.75" customHeight="1" x14ac:dyDescent="0.2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</row>
    <row r="943" spans="1:28" ht="15.75" customHeight="1" x14ac:dyDescent="0.2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</row>
    <row r="944" spans="1:28" ht="15.75" customHeight="1" x14ac:dyDescent="0.2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</row>
    <row r="945" spans="1:28" ht="15.75" customHeight="1" x14ac:dyDescent="0.2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</row>
    <row r="946" spans="1:28" ht="15.75" customHeight="1" x14ac:dyDescent="0.2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</row>
    <row r="947" spans="1:28" ht="15.75" customHeight="1" x14ac:dyDescent="0.2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</row>
    <row r="948" spans="1:28" ht="15.75" customHeight="1" x14ac:dyDescent="0.2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</row>
    <row r="949" spans="1:28" ht="15.75" customHeight="1" x14ac:dyDescent="0.2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</row>
    <row r="950" spans="1:28" ht="15.75" customHeight="1" x14ac:dyDescent="0.2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</row>
    <row r="951" spans="1:28" ht="15.75" customHeight="1" x14ac:dyDescent="0.2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</row>
    <row r="952" spans="1:28" ht="15.75" customHeight="1" x14ac:dyDescent="0.2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</row>
    <row r="953" spans="1:28" ht="15.75" customHeight="1" x14ac:dyDescent="0.2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</row>
    <row r="954" spans="1:28" ht="15.75" customHeight="1" x14ac:dyDescent="0.2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</row>
    <row r="955" spans="1:28" ht="15.75" customHeight="1" x14ac:dyDescent="0.2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</row>
    <row r="956" spans="1:28" ht="15.75" customHeight="1" x14ac:dyDescent="0.2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</row>
    <row r="957" spans="1:28" ht="15.75" customHeight="1" x14ac:dyDescent="0.2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</row>
    <row r="958" spans="1:28" ht="15.75" customHeight="1" x14ac:dyDescent="0.2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</row>
    <row r="959" spans="1:28" ht="15.75" customHeight="1" x14ac:dyDescent="0.2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</row>
    <row r="960" spans="1:28" ht="15.75" customHeight="1" x14ac:dyDescent="0.2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</row>
    <row r="961" spans="1:28" ht="15.75" customHeight="1" x14ac:dyDescent="0.2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</row>
    <row r="962" spans="1:28" ht="15.75" customHeight="1" x14ac:dyDescent="0.2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</row>
    <row r="963" spans="1:28" ht="15.75" customHeight="1" x14ac:dyDescent="0.2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</row>
    <row r="964" spans="1:28" ht="15.75" customHeight="1" x14ac:dyDescent="0.2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</row>
    <row r="965" spans="1:28" ht="15.75" customHeight="1" x14ac:dyDescent="0.2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</row>
    <row r="966" spans="1:28" ht="15.75" customHeight="1" x14ac:dyDescent="0.2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</row>
    <row r="967" spans="1:28" ht="15.75" customHeight="1" x14ac:dyDescent="0.2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</row>
    <row r="968" spans="1:28" ht="15.75" customHeight="1" x14ac:dyDescent="0.2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</row>
    <row r="969" spans="1:28" ht="15.75" customHeight="1" x14ac:dyDescent="0.2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</row>
    <row r="970" spans="1:28" ht="15.75" customHeight="1" x14ac:dyDescent="0.2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</row>
    <row r="971" spans="1:28" ht="15.75" customHeight="1" x14ac:dyDescent="0.2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</row>
    <row r="972" spans="1:28" ht="15.75" customHeight="1" x14ac:dyDescent="0.2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</row>
    <row r="973" spans="1:28" ht="15.75" customHeight="1" x14ac:dyDescent="0.2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</row>
    <row r="974" spans="1:28" ht="15.75" customHeight="1" x14ac:dyDescent="0.2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</row>
    <row r="975" spans="1:28" ht="15.75" customHeight="1" x14ac:dyDescent="0.2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</row>
    <row r="976" spans="1:28" ht="15.75" customHeight="1" x14ac:dyDescent="0.2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</row>
    <row r="977" spans="1:28" ht="15.75" customHeight="1" x14ac:dyDescent="0.2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</row>
    <row r="978" spans="1:28" ht="15.75" customHeight="1" x14ac:dyDescent="0.2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</row>
    <row r="979" spans="1:28" ht="15.75" customHeight="1" x14ac:dyDescent="0.2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</row>
    <row r="980" spans="1:28" ht="15.75" customHeight="1" x14ac:dyDescent="0.2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</row>
    <row r="981" spans="1:28" ht="15.75" customHeight="1" x14ac:dyDescent="0.2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</row>
    <row r="982" spans="1:28" ht="15.75" customHeight="1" x14ac:dyDescent="0.2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</row>
    <row r="983" spans="1:28" ht="15.75" customHeight="1" x14ac:dyDescent="0.2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</row>
    <row r="984" spans="1:28" ht="15.75" customHeight="1" x14ac:dyDescent="0.2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</row>
    <row r="985" spans="1:28" ht="15.75" customHeight="1" x14ac:dyDescent="0.2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</row>
    <row r="986" spans="1:28" ht="15.75" customHeight="1" x14ac:dyDescent="0.2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</row>
    <row r="987" spans="1:28" ht="15.75" customHeight="1" x14ac:dyDescent="0.2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</row>
    <row r="988" spans="1:28" ht="15.75" customHeight="1" x14ac:dyDescent="0.2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</row>
    <row r="989" spans="1:28" ht="15.75" customHeight="1" x14ac:dyDescent="0.2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</row>
    <row r="990" spans="1:28" ht="15.75" customHeight="1" x14ac:dyDescent="0.2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</row>
    <row r="991" spans="1:28" ht="15.75" customHeight="1" x14ac:dyDescent="0.2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</row>
    <row r="992" spans="1:28" ht="15.75" customHeight="1" x14ac:dyDescent="0.2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</row>
    <row r="993" spans="1:28" ht="15.75" customHeight="1" x14ac:dyDescent="0.2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</row>
    <row r="994" spans="1:28" ht="15.75" customHeight="1" x14ac:dyDescent="0.2">
      <c r="A994" s="122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  <c r="AB994" s="122"/>
    </row>
    <row r="995" spans="1:28" ht="15.75" customHeight="1" x14ac:dyDescent="0.2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  <c r="AB995" s="122"/>
    </row>
    <row r="996" spans="1:28" ht="15.75" customHeight="1" x14ac:dyDescent="0.2">
      <c r="A996" s="122"/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  <c r="AA996" s="122"/>
      <c r="AB996" s="122"/>
    </row>
    <row r="997" spans="1:28" ht="15.75" customHeight="1" x14ac:dyDescent="0.2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  <c r="AA997" s="122"/>
      <c r="AB997" s="122"/>
    </row>
    <row r="998" spans="1:28" ht="15.75" customHeight="1" x14ac:dyDescent="0.2">
      <c r="A998" s="122"/>
      <c r="B998" s="122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  <c r="AA998" s="122"/>
      <c r="AB998" s="122"/>
    </row>
    <row r="999" spans="1:28" ht="15.75" customHeight="1" x14ac:dyDescent="0.2">
      <c r="A999" s="122"/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  <c r="AA999" s="122"/>
      <c r="AB999" s="122"/>
    </row>
    <row r="1000" spans="1:28" ht="15.75" customHeight="1" x14ac:dyDescent="0.2">
      <c r="A1000" s="122"/>
      <c r="B1000" s="122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  <c r="AA1000" s="122"/>
      <c r="AB1000" s="122"/>
    </row>
    <row r="1001" spans="1:28" ht="15.75" customHeight="1" x14ac:dyDescent="0.2">
      <c r="A1001" s="122"/>
      <c r="F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  <c r="AA1001" s="122"/>
      <c r="AB1001" s="122"/>
    </row>
  </sheetData>
  <sheetProtection sheet="1" objects="1" scenarios="1" selectLockedCells="1"/>
  <mergeCells count="6">
    <mergeCell ref="B2:D2"/>
    <mergeCell ref="G2:I2"/>
    <mergeCell ref="E3:E10"/>
    <mergeCell ref="J3:J6"/>
    <mergeCell ref="B12:C12"/>
    <mergeCell ref="G8:H8"/>
  </mergeCells>
  <pageMargins left="0" right="0" top="0" bottom="0" header="0" footer="0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2E28-6852-407D-B1A7-6EF7105D0D55}">
  <dimension ref="B1:I11"/>
  <sheetViews>
    <sheetView workbookViewId="0">
      <selection activeCell="C6" sqref="C6"/>
    </sheetView>
  </sheetViews>
  <sheetFormatPr defaultColWidth="9.14453125" defaultRowHeight="15" x14ac:dyDescent="0.2"/>
  <cols>
    <col min="1" max="1" width="9.14453125" style="9"/>
    <col min="2" max="2" width="24.48046875" style="9" bestFit="1" customWidth="1"/>
    <col min="3" max="3" width="8.875" style="9" bestFit="1" customWidth="1"/>
    <col min="4" max="4" width="8.609375" style="9" bestFit="1" customWidth="1"/>
    <col min="5" max="5" width="9.14453125" style="9"/>
    <col min="6" max="6" width="12.10546875" style="9" bestFit="1" customWidth="1"/>
    <col min="7" max="7" width="8.875" style="9" bestFit="1" customWidth="1"/>
    <col min="8" max="8" width="8.203125" style="9" bestFit="1" customWidth="1"/>
    <col min="9" max="9" width="13.1796875" style="9" bestFit="1" customWidth="1"/>
    <col min="10" max="16384" width="9.14453125" style="9"/>
  </cols>
  <sheetData>
    <row r="1" spans="2:9" ht="15.75" thickBot="1" x14ac:dyDescent="0.25"/>
    <row r="2" spans="2:9" ht="15.75" thickBot="1" x14ac:dyDescent="0.25">
      <c r="B2" s="268" t="s">
        <v>145</v>
      </c>
      <c r="C2" s="269"/>
      <c r="D2" s="270"/>
      <c r="F2" s="302" t="s">
        <v>142</v>
      </c>
      <c r="G2" s="303"/>
      <c r="H2" s="303"/>
      <c r="I2" s="304"/>
    </row>
    <row r="3" spans="2:9" ht="15.75" thickBot="1" x14ac:dyDescent="0.25">
      <c r="B3" s="36"/>
      <c r="C3" s="37" t="s">
        <v>92</v>
      </c>
      <c r="D3" s="105" t="s">
        <v>96</v>
      </c>
      <c r="F3" s="220"/>
      <c r="G3" s="221" t="s">
        <v>92</v>
      </c>
      <c r="H3" s="222" t="s">
        <v>96</v>
      </c>
      <c r="I3" s="12" t="s">
        <v>171</v>
      </c>
    </row>
    <row r="4" spans="2:9" ht="15.75" thickBot="1" x14ac:dyDescent="0.25">
      <c r="B4" s="35" t="s">
        <v>19</v>
      </c>
      <c r="C4" s="109">
        <v>0.6</v>
      </c>
      <c r="D4" s="109">
        <f>48*12/16*C4*1.15</f>
        <v>24.839999999999996</v>
      </c>
      <c r="F4" s="12" t="s">
        <v>146</v>
      </c>
      <c r="G4" s="150">
        <v>1</v>
      </c>
      <c r="H4" s="218">
        <f>48*12/16*G4*1.15</f>
        <v>41.4</v>
      </c>
      <c r="I4" s="12" t="str">
        <f>ROUNDUP(((((C6*12*G4/16)*1.25))/20),0)&amp; " Boxes"</f>
        <v>18 Boxes</v>
      </c>
    </row>
    <row r="6" spans="2:9" x14ac:dyDescent="0.2">
      <c r="B6" s="9" t="s">
        <v>20</v>
      </c>
      <c r="C6" s="78">
        <v>384</v>
      </c>
    </row>
    <row r="8" spans="2:9" x14ac:dyDescent="0.2">
      <c r="B8" s="9" t="s">
        <v>9</v>
      </c>
      <c r="C8" s="78">
        <v>0</v>
      </c>
      <c r="G8" s="78"/>
    </row>
    <row r="10" spans="2:9" x14ac:dyDescent="0.2">
      <c r="B10" s="9" t="s">
        <v>11</v>
      </c>
    </row>
    <row r="11" spans="2:9" x14ac:dyDescent="0.2">
      <c r="B11" s="9" t="s">
        <v>19</v>
      </c>
      <c r="C11" s="94">
        <f>((C6*12*C4/16)*1.25)-C8</f>
        <v>215.99999999999997</v>
      </c>
      <c r="D11" s="9" t="s">
        <v>12</v>
      </c>
      <c r="G11" s="94"/>
    </row>
  </sheetData>
  <sheetProtection sheet="1" objects="1" scenarios="1" selectLockedCells="1"/>
  <mergeCells count="2">
    <mergeCell ref="B2:D2"/>
    <mergeCell ref="F2:I2"/>
  </mergeCells>
  <pageMargins left="0" right="0" top="0" bottom="0" header="0" footer="0"/>
  <pageSetup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E18"/>
  <sheetViews>
    <sheetView workbookViewId="0">
      <selection activeCell="C13" sqref="C13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305" t="s">
        <v>42</v>
      </c>
      <c r="C2" s="294"/>
      <c r="D2" s="295"/>
      <c r="E2" s="38" t="s">
        <v>0</v>
      </c>
    </row>
    <row r="3" spans="2:5" ht="15.75" thickBot="1" x14ac:dyDescent="0.25">
      <c r="B3" s="38"/>
      <c r="C3" s="38" t="s">
        <v>92</v>
      </c>
      <c r="D3" s="155" t="s">
        <v>132</v>
      </c>
      <c r="E3" s="296">
        <f>ROUNDUP(C12/D6,1)</f>
        <v>1</v>
      </c>
    </row>
    <row r="4" spans="2:5" ht="44.25" x14ac:dyDescent="0.2">
      <c r="B4" s="156" t="s">
        <v>149</v>
      </c>
      <c r="C4" s="50">
        <v>0.7</v>
      </c>
      <c r="D4" s="50">
        <f>48*12*C4/16*1.15</f>
        <v>28.979999999999997</v>
      </c>
      <c r="E4" s="297"/>
    </row>
    <row r="5" spans="2:5" x14ac:dyDescent="0.2">
      <c r="B5" s="52" t="s">
        <v>32</v>
      </c>
      <c r="C5" s="52">
        <v>0.15</v>
      </c>
      <c r="D5" s="52">
        <f>48*12*C5/16*1.15</f>
        <v>6.2099999999999991</v>
      </c>
      <c r="E5" s="297"/>
    </row>
    <row r="6" spans="2:5" ht="15.75" thickBot="1" x14ac:dyDescent="0.25">
      <c r="B6" s="54" t="s">
        <v>17</v>
      </c>
      <c r="C6" s="54">
        <f>SUM(C4:C5)</f>
        <v>0.85</v>
      </c>
      <c r="D6" s="54">
        <f>SUM(D4:D5)</f>
        <v>35.19</v>
      </c>
      <c r="E6" s="298"/>
    </row>
    <row r="8" spans="2:5" x14ac:dyDescent="0.2">
      <c r="B8" s="258" t="s">
        <v>133</v>
      </c>
      <c r="C8" s="258"/>
      <c r="D8" s="94">
        <f>ROUNDDOWN(250/D6,2)</f>
        <v>7.1</v>
      </c>
    </row>
    <row r="10" spans="2:5" x14ac:dyDescent="0.2">
      <c r="B10" s="18" t="s">
        <v>29</v>
      </c>
      <c r="C10" s="64">
        <v>48</v>
      </c>
    </row>
    <row r="12" spans="2:5" x14ac:dyDescent="0.2">
      <c r="B12" s="18" t="s">
        <v>8</v>
      </c>
      <c r="C12" s="18">
        <f>((C10*12*C6/16)*1.15)-C13</f>
        <v>35.19</v>
      </c>
    </row>
    <row r="13" spans="2:5" x14ac:dyDescent="0.2">
      <c r="B13" s="18" t="s">
        <v>9</v>
      </c>
      <c r="C13" s="64">
        <v>0</v>
      </c>
    </row>
    <row r="14" spans="2:5" x14ac:dyDescent="0.2">
      <c r="B14" s="18" t="s">
        <v>10</v>
      </c>
      <c r="C14" s="18">
        <f>D6*E3</f>
        <v>35.19</v>
      </c>
    </row>
    <row r="16" spans="2:5" x14ac:dyDescent="0.2">
      <c r="B16" s="18" t="s">
        <v>11</v>
      </c>
    </row>
    <row r="17" spans="2:4" ht="41.25" x14ac:dyDescent="0.2">
      <c r="B17" s="154" t="s">
        <v>150</v>
      </c>
      <c r="C17" s="18">
        <f>E3*D4</f>
        <v>28.979999999999997</v>
      </c>
      <c r="D17" s="18" t="s">
        <v>12</v>
      </c>
    </row>
    <row r="18" spans="2:4" x14ac:dyDescent="0.2">
      <c r="B18" s="18" t="s">
        <v>32</v>
      </c>
      <c r="C18" s="18">
        <f>E3*D5</f>
        <v>6.2099999999999991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E18"/>
  <sheetViews>
    <sheetView workbookViewId="0">
      <selection activeCell="C10" sqref="C10"/>
    </sheetView>
  </sheetViews>
  <sheetFormatPr defaultColWidth="14.390625" defaultRowHeight="15" x14ac:dyDescent="0.2"/>
  <cols>
    <col min="1" max="1" width="9.14453125" style="9" customWidth="1"/>
    <col min="2" max="2" width="27.7109375" style="9" bestFit="1" customWidth="1"/>
    <col min="3" max="3" width="8.875" style="9" bestFit="1" customWidth="1"/>
    <col min="4" max="4" width="9.28125" style="9" bestFit="1" customWidth="1"/>
    <col min="5" max="5" width="10.76171875" style="9" bestFit="1" customWidth="1"/>
    <col min="6" max="27" width="9.14453125" style="9" customWidth="1"/>
    <col min="28" max="16384" width="14.390625" style="9"/>
  </cols>
  <sheetData>
    <row r="1" spans="2:5" ht="15.75" thickBot="1" x14ac:dyDescent="0.25"/>
    <row r="2" spans="2:5" ht="15.75" thickBot="1" x14ac:dyDescent="0.25">
      <c r="B2" s="268" t="s">
        <v>43</v>
      </c>
      <c r="C2" s="269"/>
      <c r="D2" s="270"/>
      <c r="E2" s="30" t="s">
        <v>0</v>
      </c>
    </row>
    <row r="3" spans="2:5" ht="15.75" thickBot="1" x14ac:dyDescent="0.25">
      <c r="B3" s="58"/>
      <c r="C3" s="12" t="s">
        <v>92</v>
      </c>
      <c r="D3" s="151" t="s">
        <v>132</v>
      </c>
      <c r="E3" s="271">
        <f>ROUNDUP(C12/D6,1)</f>
        <v>1</v>
      </c>
    </row>
    <row r="4" spans="2:5" ht="27.75" x14ac:dyDescent="0.2">
      <c r="B4" s="152" t="s">
        <v>147</v>
      </c>
      <c r="C4" s="59">
        <v>1.5</v>
      </c>
      <c r="D4" s="60">
        <f>48*12*C4/16*1.15</f>
        <v>62.099999999999994</v>
      </c>
      <c r="E4" s="291"/>
    </row>
    <row r="5" spans="2:5" ht="28.5" thickBot="1" x14ac:dyDescent="0.25">
      <c r="B5" s="153" t="s">
        <v>148</v>
      </c>
      <c r="C5" s="61">
        <v>0.5</v>
      </c>
      <c r="D5" s="62">
        <f>48*12*C5/16*1.15</f>
        <v>20.7</v>
      </c>
      <c r="E5" s="291"/>
    </row>
    <row r="6" spans="2:5" ht="15.75" thickBot="1" x14ac:dyDescent="0.25">
      <c r="B6" s="16" t="s">
        <v>17</v>
      </c>
      <c r="C6" s="17">
        <f>SUM(C4:C5)</f>
        <v>2</v>
      </c>
      <c r="D6" s="63">
        <f>SUM(D4:D5)</f>
        <v>82.8</v>
      </c>
      <c r="E6" s="273"/>
    </row>
    <row r="8" spans="2:5" x14ac:dyDescent="0.2">
      <c r="B8" s="258" t="s">
        <v>133</v>
      </c>
      <c r="C8" s="258"/>
      <c r="D8" s="94">
        <f>ROUNDDOWN(250/D6,2)</f>
        <v>3.01</v>
      </c>
    </row>
    <row r="10" spans="2:5" x14ac:dyDescent="0.2">
      <c r="B10" s="9" t="s">
        <v>29</v>
      </c>
      <c r="C10" s="78">
        <v>48</v>
      </c>
    </row>
    <row r="12" spans="2:5" x14ac:dyDescent="0.2">
      <c r="B12" s="9" t="s">
        <v>8</v>
      </c>
      <c r="C12" s="9">
        <f>((C10*12*C6/16)*1.15)-C13</f>
        <v>82.8</v>
      </c>
    </row>
    <row r="13" spans="2:5" x14ac:dyDescent="0.2">
      <c r="B13" s="9" t="s">
        <v>9</v>
      </c>
      <c r="C13" s="78">
        <v>0</v>
      </c>
    </row>
    <row r="14" spans="2:5" x14ac:dyDescent="0.2">
      <c r="B14" s="9" t="s">
        <v>10</v>
      </c>
      <c r="C14" s="9">
        <f>E3*D6</f>
        <v>82.8</v>
      </c>
    </row>
    <row r="16" spans="2:5" x14ac:dyDescent="0.2">
      <c r="B16" s="9" t="s">
        <v>11</v>
      </c>
    </row>
    <row r="17" spans="2:4" ht="27.75" x14ac:dyDescent="0.2">
      <c r="B17" s="154" t="s">
        <v>147</v>
      </c>
      <c r="C17" s="9">
        <f>E3*D4</f>
        <v>62.099999999999994</v>
      </c>
      <c r="D17" s="9" t="s">
        <v>12</v>
      </c>
    </row>
    <row r="18" spans="2:4" ht="27.75" x14ac:dyDescent="0.2">
      <c r="B18" s="154" t="s">
        <v>148</v>
      </c>
      <c r="C18" s="9">
        <f>E3*D5</f>
        <v>20.7</v>
      </c>
      <c r="D18" s="9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E22"/>
  <sheetViews>
    <sheetView workbookViewId="0">
      <selection activeCell="C12" sqref="C12"/>
    </sheetView>
  </sheetViews>
  <sheetFormatPr defaultColWidth="14.390625" defaultRowHeight="15" x14ac:dyDescent="0.2"/>
  <cols>
    <col min="1" max="1" width="5.109375" style="18" customWidth="1"/>
    <col min="2" max="2" width="29.05468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2" spans="2:5" x14ac:dyDescent="0.2">
      <c r="B2" s="306" t="s">
        <v>194</v>
      </c>
      <c r="C2" s="294"/>
      <c r="D2" s="295"/>
      <c r="E2" s="47" t="s">
        <v>0</v>
      </c>
    </row>
    <row r="3" spans="2:5" x14ac:dyDescent="0.2">
      <c r="B3" s="26"/>
      <c r="C3" s="53" t="s">
        <v>92</v>
      </c>
      <c r="D3" s="164" t="s">
        <v>132</v>
      </c>
      <c r="E3" s="296">
        <f>ROUNDUP(C14/D8,1)</f>
        <v>1</v>
      </c>
    </row>
    <row r="4" spans="2:5" x14ac:dyDescent="0.2">
      <c r="B4" s="50" t="s">
        <v>59</v>
      </c>
      <c r="C4" s="120">
        <v>0.125</v>
      </c>
      <c r="D4" s="120">
        <f>105*12*C4/16*1.15</f>
        <v>11.3203125</v>
      </c>
      <c r="E4" s="297"/>
    </row>
    <row r="5" spans="2:5" x14ac:dyDescent="0.2">
      <c r="B5" s="45" t="s">
        <v>26</v>
      </c>
      <c r="C5" s="113">
        <v>0.125</v>
      </c>
      <c r="D5" s="113">
        <f>105*12*C5/16*1.15</f>
        <v>11.3203125</v>
      </c>
      <c r="E5" s="297"/>
    </row>
    <row r="6" spans="2:5" x14ac:dyDescent="0.2">
      <c r="B6" s="45" t="s">
        <v>27</v>
      </c>
      <c r="C6" s="113">
        <v>0.125</v>
      </c>
      <c r="D6" s="113">
        <f>105*12*C6/16*1.15</f>
        <v>11.3203125</v>
      </c>
      <c r="E6" s="297"/>
    </row>
    <row r="7" spans="2:5" x14ac:dyDescent="0.2">
      <c r="B7" s="52" t="s">
        <v>60</v>
      </c>
      <c r="C7" s="114">
        <v>0.125</v>
      </c>
      <c r="D7" s="114">
        <f>105*12*C7/16*1.15</f>
        <v>11.3203125</v>
      </c>
      <c r="E7" s="297"/>
    </row>
    <row r="8" spans="2:5" x14ac:dyDescent="0.2">
      <c r="B8" s="54" t="s">
        <v>17</v>
      </c>
      <c r="C8" s="165">
        <f>SUM(C4:C7)</f>
        <v>0.5</v>
      </c>
      <c r="D8" s="165">
        <f>SUM(D4:D7)</f>
        <v>45.28125</v>
      </c>
      <c r="E8" s="298"/>
    </row>
    <row r="10" spans="2:5" x14ac:dyDescent="0.2">
      <c r="B10" s="258" t="s">
        <v>133</v>
      </c>
      <c r="C10" s="258"/>
      <c r="D10" s="94">
        <f>ROUNDDOWN(250/D8,2)</f>
        <v>5.52</v>
      </c>
    </row>
    <row r="12" spans="2:5" x14ac:dyDescent="0.2">
      <c r="B12" s="18" t="s">
        <v>7</v>
      </c>
      <c r="C12" s="64">
        <v>105</v>
      </c>
    </row>
    <row r="14" spans="2:5" x14ac:dyDescent="0.2">
      <c r="B14" s="18" t="s">
        <v>8</v>
      </c>
      <c r="C14" s="99">
        <f>((C12*12*C8/16)*1.15)-C15</f>
        <v>45.28125</v>
      </c>
    </row>
    <row r="15" spans="2:5" x14ac:dyDescent="0.2">
      <c r="B15" s="18" t="s">
        <v>9</v>
      </c>
      <c r="C15" s="64">
        <v>0</v>
      </c>
    </row>
    <row r="16" spans="2:5" x14ac:dyDescent="0.2">
      <c r="B16" s="18" t="s">
        <v>10</v>
      </c>
      <c r="C16" s="99">
        <f>E3*D8</f>
        <v>45.28125</v>
      </c>
    </row>
    <row r="18" spans="2:4" x14ac:dyDescent="0.2">
      <c r="B18" s="18" t="s">
        <v>11</v>
      </c>
    </row>
    <row r="19" spans="2:4" x14ac:dyDescent="0.2">
      <c r="B19" s="18" t="s">
        <v>59</v>
      </c>
      <c r="C19" s="99">
        <f>E3*D4</f>
        <v>11.3203125</v>
      </c>
      <c r="D19" s="18" t="s">
        <v>12</v>
      </c>
    </row>
    <row r="20" spans="2:4" x14ac:dyDescent="0.2">
      <c r="B20" s="18" t="s">
        <v>26</v>
      </c>
      <c r="C20" s="99">
        <f>E3*D5</f>
        <v>11.3203125</v>
      </c>
      <c r="D20" s="18" t="s">
        <v>12</v>
      </c>
    </row>
    <row r="21" spans="2:4" x14ac:dyDescent="0.2">
      <c r="B21" s="18" t="s">
        <v>27</v>
      </c>
      <c r="C21" s="99">
        <f>E3*D6</f>
        <v>11.3203125</v>
      </c>
      <c r="D21" s="18" t="s">
        <v>12</v>
      </c>
    </row>
    <row r="22" spans="2:4" x14ac:dyDescent="0.2">
      <c r="B22" s="18" t="s">
        <v>60</v>
      </c>
      <c r="C22" s="99">
        <f>E3*D7</f>
        <v>11.3203125</v>
      </c>
      <c r="D22" s="18" t="s">
        <v>12</v>
      </c>
    </row>
  </sheetData>
  <sheetProtection sheet="1" objects="1" scenarios="1" selectLockedCells="1"/>
  <mergeCells count="3">
    <mergeCell ref="B2:D2"/>
    <mergeCell ref="E3:E8"/>
    <mergeCell ref="B10:C10"/>
  </mergeCells>
  <pageMargins left="0" right="0" top="0" bottom="0" header="0" footer="0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1193-AC1A-4C91-8AAE-E6E22AE51434}">
  <dimension ref="B1:E11"/>
  <sheetViews>
    <sheetView workbookViewId="0">
      <selection activeCell="C6" sqref="C6"/>
    </sheetView>
  </sheetViews>
  <sheetFormatPr defaultColWidth="14.390625" defaultRowHeight="15" x14ac:dyDescent="0.2"/>
  <cols>
    <col min="1" max="1" width="3.765625" style="9" customWidth="1"/>
    <col min="2" max="2" width="24.48046875" style="9" bestFit="1" customWidth="1"/>
    <col min="3" max="3" width="8.875" style="9" bestFit="1" customWidth="1"/>
    <col min="4" max="4" width="8.203125" style="9" bestFit="1" customWidth="1"/>
    <col min="5" max="5" width="13.1796875" style="9" bestFit="1" customWidth="1"/>
    <col min="6" max="26" width="9.14453125" style="9" customWidth="1"/>
    <col min="27" max="16384" width="14.390625" style="9"/>
  </cols>
  <sheetData>
    <row r="1" spans="2:5" ht="15.75" thickBot="1" x14ac:dyDescent="0.25"/>
    <row r="2" spans="2:5" ht="15.75" thickBot="1" x14ac:dyDescent="0.25">
      <c r="B2" s="307" t="s">
        <v>151</v>
      </c>
      <c r="C2" s="308"/>
      <c r="D2" s="308"/>
      <c r="E2" s="309"/>
    </row>
    <row r="3" spans="2:5" ht="15.75" thickBot="1" x14ac:dyDescent="0.25">
      <c r="B3" s="36"/>
      <c r="C3" s="37" t="s">
        <v>92</v>
      </c>
      <c r="D3" s="105" t="s">
        <v>96</v>
      </c>
      <c r="E3" s="12" t="s">
        <v>171</v>
      </c>
    </row>
    <row r="4" spans="2:5" ht="15.75" thickBot="1" x14ac:dyDescent="0.25">
      <c r="B4" s="35" t="s">
        <v>19</v>
      </c>
      <c r="C4" s="109">
        <v>0.8</v>
      </c>
      <c r="D4" s="218">
        <f>48*12/16*C4*1.15</f>
        <v>33.119999999999997</v>
      </c>
      <c r="E4" s="12" t="str">
        <f>((C6*12*C4/16)*1.25)&amp; " pounds"</f>
        <v>78.75 pounds</v>
      </c>
    </row>
    <row r="6" spans="2:5" x14ac:dyDescent="0.2">
      <c r="B6" s="9" t="s">
        <v>20</v>
      </c>
      <c r="C6" s="78">
        <v>105</v>
      </c>
    </row>
    <row r="8" spans="2:5" x14ac:dyDescent="0.2">
      <c r="C8" s="78"/>
    </row>
    <row r="11" spans="2:5" x14ac:dyDescent="0.2">
      <c r="C11" s="94"/>
    </row>
  </sheetData>
  <sheetProtection sheet="1" objects="1" scenarios="1" selectLockedCells="1"/>
  <mergeCells count="1">
    <mergeCell ref="B2:E2"/>
  </mergeCells>
  <pageMargins left="0" right="0" top="0" bottom="0" header="0" footer="0"/>
  <pageSetup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E18"/>
  <sheetViews>
    <sheetView workbookViewId="0">
      <selection activeCell="C13" sqref="C13"/>
    </sheetView>
  </sheetViews>
  <sheetFormatPr defaultColWidth="14.390625" defaultRowHeight="15" x14ac:dyDescent="0.2"/>
  <cols>
    <col min="1" max="1" width="9.14453125" style="70" customWidth="1"/>
    <col min="2" max="2" width="27.7109375" style="70" bestFit="1" customWidth="1"/>
    <col min="3" max="3" width="8.875" style="70" bestFit="1" customWidth="1"/>
    <col min="4" max="4" width="9.28125" style="70" bestFit="1" customWidth="1"/>
    <col min="5" max="5" width="10.76171875" style="70" bestFit="1" customWidth="1"/>
    <col min="6" max="27" width="9.14453125" style="70" customWidth="1"/>
    <col min="28" max="16384" width="14.390625" style="70"/>
  </cols>
  <sheetData>
    <row r="2" spans="2:5" x14ac:dyDescent="0.2">
      <c r="B2" s="310" t="s">
        <v>47</v>
      </c>
      <c r="C2" s="311"/>
      <c r="D2" s="311"/>
      <c r="E2" s="71" t="s">
        <v>0</v>
      </c>
    </row>
    <row r="3" spans="2:5" x14ac:dyDescent="0.2">
      <c r="B3" s="72"/>
      <c r="C3" s="73" t="s">
        <v>92</v>
      </c>
      <c r="D3" s="73" t="s">
        <v>132</v>
      </c>
      <c r="E3" s="312">
        <f>ROUNDUP(C12/D6,1)</f>
        <v>2</v>
      </c>
    </row>
    <row r="4" spans="2:5" x14ac:dyDescent="0.2">
      <c r="B4" s="74" t="s">
        <v>48</v>
      </c>
      <c r="C4" s="204">
        <v>0.8</v>
      </c>
      <c r="D4" s="204">
        <f>48*12*C4/16*1.15</f>
        <v>33.119999999999997</v>
      </c>
      <c r="E4" s="313"/>
    </row>
    <row r="5" spans="2:5" ht="41.25" x14ac:dyDescent="0.2">
      <c r="B5" s="202" t="s">
        <v>165</v>
      </c>
      <c r="C5" s="205">
        <v>0.5</v>
      </c>
      <c r="D5" s="205">
        <f>48*12*C5/16*1.15</f>
        <v>20.7</v>
      </c>
      <c r="E5" s="313"/>
    </row>
    <row r="6" spans="2:5" x14ac:dyDescent="0.2">
      <c r="B6" s="75" t="s">
        <v>17</v>
      </c>
      <c r="C6" s="206">
        <f>SUM(C4:C5)</f>
        <v>1.3</v>
      </c>
      <c r="D6" s="206">
        <f>SUM(D4:D5)</f>
        <v>53.819999999999993</v>
      </c>
      <c r="E6" s="314"/>
    </row>
    <row r="8" spans="2:5" x14ac:dyDescent="0.2">
      <c r="B8" s="315" t="s">
        <v>133</v>
      </c>
      <c r="C8" s="258"/>
      <c r="D8" s="94">
        <f>ROUNDDOWN(250/D6,2)</f>
        <v>4.6399999999999997</v>
      </c>
    </row>
    <row r="10" spans="2:5" x14ac:dyDescent="0.2">
      <c r="B10" s="70" t="s">
        <v>29</v>
      </c>
      <c r="C10" s="80">
        <v>96</v>
      </c>
    </row>
    <row r="12" spans="2:5" x14ac:dyDescent="0.2">
      <c r="B12" s="70" t="s">
        <v>8</v>
      </c>
      <c r="C12" s="207">
        <f>((C10*12*C6/16)*1.15)-C13</f>
        <v>107.64</v>
      </c>
    </row>
    <row r="13" spans="2:5" x14ac:dyDescent="0.2">
      <c r="B13" s="70" t="s">
        <v>9</v>
      </c>
      <c r="C13" s="80">
        <v>0</v>
      </c>
    </row>
    <row r="14" spans="2:5" x14ac:dyDescent="0.2">
      <c r="B14" s="70" t="s">
        <v>10</v>
      </c>
      <c r="C14" s="207">
        <f>E3*D6</f>
        <v>107.63999999999999</v>
      </c>
    </row>
    <row r="16" spans="2:5" x14ac:dyDescent="0.2">
      <c r="B16" s="70" t="s">
        <v>11</v>
      </c>
    </row>
    <row r="17" spans="2:4" x14ac:dyDescent="0.2">
      <c r="B17" s="70" t="s">
        <v>48</v>
      </c>
      <c r="C17" s="207">
        <f>E3*D4</f>
        <v>66.239999999999995</v>
      </c>
      <c r="D17" s="70" t="s">
        <v>12</v>
      </c>
    </row>
    <row r="18" spans="2:4" ht="41.25" x14ac:dyDescent="0.2">
      <c r="B18" s="203" t="s">
        <v>165</v>
      </c>
      <c r="C18" s="207">
        <f>E3*D5</f>
        <v>41.4</v>
      </c>
      <c r="D18" s="70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J27"/>
  <sheetViews>
    <sheetView workbookViewId="0">
      <selection activeCell="C11" sqref="C11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6" width="10.22265625" style="18" customWidth="1"/>
    <col min="7" max="7" width="12.10546875" style="18" bestFit="1" customWidth="1"/>
    <col min="8" max="8" width="8.875" style="18" bestFit="1" customWidth="1"/>
    <col min="9" max="9" width="8.203125" style="18" bestFit="1" customWidth="1"/>
    <col min="10" max="10" width="13.1796875" style="18" bestFit="1" customWidth="1"/>
    <col min="11" max="27" width="9.14453125" style="18" customWidth="1"/>
    <col min="28" max="16384" width="14.390625" style="18"/>
  </cols>
  <sheetData>
    <row r="1" spans="2:10" ht="15.75" thickBot="1" x14ac:dyDescent="0.25"/>
    <row r="2" spans="2:10" ht="15.75" thickBot="1" x14ac:dyDescent="0.25">
      <c r="B2" s="299" t="s">
        <v>108</v>
      </c>
      <c r="C2" s="300"/>
      <c r="D2" s="301"/>
      <c r="E2" s="38" t="s">
        <v>0</v>
      </c>
      <c r="G2" s="302" t="s">
        <v>142</v>
      </c>
      <c r="H2" s="303"/>
      <c r="I2" s="303"/>
      <c r="J2" s="304"/>
    </row>
    <row r="3" spans="2:10" ht="15.75" thickBot="1" x14ac:dyDescent="0.25">
      <c r="B3" s="43"/>
      <c r="C3" s="57" t="s">
        <v>92</v>
      </c>
      <c r="D3" s="172" t="s">
        <v>132</v>
      </c>
      <c r="E3" s="316">
        <f>ROUNDUP(C13/D7,1)</f>
        <v>1</v>
      </c>
      <c r="G3" s="220"/>
      <c r="H3" s="221" t="s">
        <v>92</v>
      </c>
      <c r="I3" s="222" t="s">
        <v>96</v>
      </c>
      <c r="J3" s="12" t="s">
        <v>171</v>
      </c>
    </row>
    <row r="4" spans="2:10" ht="15.75" thickBot="1" x14ac:dyDescent="0.25">
      <c r="B4" s="166" t="s">
        <v>152</v>
      </c>
      <c r="C4" s="168">
        <v>2.15</v>
      </c>
      <c r="D4" s="168">
        <f>48*12*C4/16*1.15</f>
        <v>89.009999999999977</v>
      </c>
      <c r="E4" s="317"/>
      <c r="G4" s="12" t="s">
        <v>146</v>
      </c>
      <c r="H4" s="150">
        <v>1.01</v>
      </c>
      <c r="I4" s="218">
        <f>48*12/16*H4*1.25</f>
        <v>45.45</v>
      </c>
      <c r="J4" s="12" t="str">
        <f>ROUNDUP(((((C11*12*H4/16)*1.25))/20),0)&amp; " Boxes"</f>
        <v>3 Boxes</v>
      </c>
    </row>
    <row r="5" spans="2:10" x14ac:dyDescent="0.2">
      <c r="B5" s="44" t="s">
        <v>49</v>
      </c>
      <c r="C5" s="169">
        <v>1.25</v>
      </c>
      <c r="D5" s="169">
        <f>48*12*C5/16*1.15</f>
        <v>51.749999999999993</v>
      </c>
      <c r="E5" s="317"/>
    </row>
    <row r="6" spans="2:10" ht="15.75" thickBot="1" x14ac:dyDescent="0.25">
      <c r="B6" s="27" t="s">
        <v>91</v>
      </c>
      <c r="C6" s="170">
        <v>0.6</v>
      </c>
      <c r="D6" s="170">
        <f>48*12*C6/16*1.15</f>
        <v>24.839999999999996</v>
      </c>
      <c r="E6" s="317"/>
    </row>
    <row r="7" spans="2:10" ht="15.75" thickBot="1" x14ac:dyDescent="0.25">
      <c r="B7" s="19" t="s">
        <v>2</v>
      </c>
      <c r="C7" s="171">
        <f>SUM(C4:C6)</f>
        <v>4</v>
      </c>
      <c r="D7" s="171">
        <f>SUM(D4,D5,D6)</f>
        <v>165.59999999999997</v>
      </c>
      <c r="E7" s="318"/>
    </row>
    <row r="9" spans="2:10" x14ac:dyDescent="0.2">
      <c r="B9" s="315" t="s">
        <v>133</v>
      </c>
      <c r="C9" s="258"/>
      <c r="D9" s="94">
        <f>ROUNDDOWN(250/D7,2)</f>
        <v>1.5</v>
      </c>
    </row>
    <row r="11" spans="2:10" x14ac:dyDescent="0.2">
      <c r="B11" s="18" t="s">
        <v>29</v>
      </c>
      <c r="C11" s="64">
        <v>48</v>
      </c>
    </row>
    <row r="13" spans="2:10" x14ac:dyDescent="0.2">
      <c r="B13" s="18" t="s">
        <v>8</v>
      </c>
      <c r="C13" s="99">
        <f>((C11*12*C7/16)*1.15)-C14</f>
        <v>165.6</v>
      </c>
    </row>
    <row r="14" spans="2:10" x14ac:dyDescent="0.2">
      <c r="B14" s="18" t="s">
        <v>9</v>
      </c>
      <c r="C14" s="64">
        <v>0</v>
      </c>
    </row>
    <row r="15" spans="2:10" x14ac:dyDescent="0.2">
      <c r="B15" s="18" t="s">
        <v>10</v>
      </c>
      <c r="C15" s="99">
        <f>E3*D7</f>
        <v>165.59999999999997</v>
      </c>
    </row>
    <row r="18" spans="2:4" x14ac:dyDescent="0.2">
      <c r="B18" s="18" t="s">
        <v>11</v>
      </c>
    </row>
    <row r="19" spans="2:4" x14ac:dyDescent="0.2">
      <c r="B19" s="167" t="s">
        <v>152</v>
      </c>
      <c r="C19" s="99">
        <f>E3*D4</f>
        <v>89.009999999999977</v>
      </c>
      <c r="D19" s="18" t="s">
        <v>12</v>
      </c>
    </row>
    <row r="20" spans="2:4" x14ac:dyDescent="0.2">
      <c r="B20" s="18" t="s">
        <v>49</v>
      </c>
      <c r="C20" s="99">
        <f>E3*D5</f>
        <v>51.749999999999993</v>
      </c>
      <c r="D20" s="18" t="s">
        <v>12</v>
      </c>
    </row>
    <row r="21" spans="2:4" x14ac:dyDescent="0.2">
      <c r="B21" s="18" t="s">
        <v>91</v>
      </c>
      <c r="C21" s="99">
        <f>E3*D6</f>
        <v>24.839999999999996</v>
      </c>
      <c r="D21" s="18" t="s">
        <v>12</v>
      </c>
    </row>
    <row r="22" spans="2:4" x14ac:dyDescent="0.2">
      <c r="C22" s="99"/>
    </row>
    <row r="26" spans="2:4" x14ac:dyDescent="0.2">
      <c r="C26" s="99"/>
      <c r="D26" s="167"/>
    </row>
    <row r="27" spans="2:4" x14ac:dyDescent="0.2">
      <c r="C27" s="99"/>
    </row>
  </sheetData>
  <sheetProtection sheet="1" objects="1" scenarios="1" selectLockedCells="1"/>
  <mergeCells count="4">
    <mergeCell ref="B2:D2"/>
    <mergeCell ref="B9:C9"/>
    <mergeCell ref="G2:J2"/>
    <mergeCell ref="E3:E7"/>
  </mergeCells>
  <pageMargins left="0" right="0" top="0" bottom="0" header="0" footer="0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J27"/>
  <sheetViews>
    <sheetView workbookViewId="0">
      <selection activeCell="C12" sqref="C12"/>
    </sheetView>
  </sheetViews>
  <sheetFormatPr defaultColWidth="9.14453125" defaultRowHeight="15" x14ac:dyDescent="0.2"/>
  <cols>
    <col min="1" max="1" width="9.14453125" style="18"/>
    <col min="2" max="2" width="23.6757812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6" width="9.14453125" style="18"/>
    <col min="7" max="7" width="17.484375" style="18" bestFit="1" customWidth="1"/>
    <col min="8" max="8" width="8.875" style="18" bestFit="1" customWidth="1"/>
    <col min="9" max="9" width="8.203125" style="18" bestFit="1" customWidth="1"/>
    <col min="10" max="10" width="13.1796875" style="18" bestFit="1" customWidth="1"/>
    <col min="11" max="16384" width="9.14453125" style="18"/>
  </cols>
  <sheetData>
    <row r="1" spans="2:10" ht="15.75" thickBot="1" x14ac:dyDescent="0.25"/>
    <row r="2" spans="2:10" ht="15.75" thickBot="1" x14ac:dyDescent="0.25">
      <c r="B2" s="305" t="s">
        <v>112</v>
      </c>
      <c r="C2" s="294"/>
      <c r="D2" s="295"/>
      <c r="E2" s="38" t="s">
        <v>0</v>
      </c>
      <c r="G2" s="284" t="s">
        <v>46</v>
      </c>
      <c r="H2" s="320"/>
      <c r="I2" s="320"/>
      <c r="J2" s="321"/>
    </row>
    <row r="3" spans="2:10" ht="15.75" thickBot="1" x14ac:dyDescent="0.25">
      <c r="B3" s="38"/>
      <c r="C3" s="38" t="s">
        <v>92</v>
      </c>
      <c r="D3" s="155" t="s">
        <v>132</v>
      </c>
      <c r="E3" s="296">
        <f>ROUNDUP(C14/D8,1)</f>
        <v>1</v>
      </c>
      <c r="G3" s="220"/>
      <c r="H3" s="221" t="s">
        <v>92</v>
      </c>
      <c r="I3" s="222" t="s">
        <v>96</v>
      </c>
      <c r="J3" s="217" t="s">
        <v>171</v>
      </c>
    </row>
    <row r="4" spans="2:10" ht="15.75" thickBot="1" x14ac:dyDescent="0.25">
      <c r="B4" s="49" t="s">
        <v>113</v>
      </c>
      <c r="C4" s="194">
        <v>0.7</v>
      </c>
      <c r="D4" s="120">
        <f>48*12*C4/16*1.15</f>
        <v>28.979999999999997</v>
      </c>
      <c r="E4" s="297"/>
      <c r="G4" s="35" t="s">
        <v>173</v>
      </c>
      <c r="H4" s="109">
        <v>0.75</v>
      </c>
      <c r="I4" s="218">
        <f>48*12/16*H4*1.15</f>
        <v>31.049999999999997</v>
      </c>
      <c r="J4" s="57">
        <f>(C12*12*H4/16*1.25)+5</f>
        <v>38.75</v>
      </c>
    </row>
    <row r="5" spans="2:10" x14ac:dyDescent="0.2">
      <c r="B5" s="44" t="s">
        <v>114</v>
      </c>
      <c r="C5" s="146">
        <v>0.6</v>
      </c>
      <c r="D5" s="113">
        <f>48*12*C5/16*1.15</f>
        <v>24.839999999999996</v>
      </c>
      <c r="E5" s="297"/>
    </row>
    <row r="6" spans="2:10" x14ac:dyDescent="0.2">
      <c r="B6" s="44" t="s">
        <v>44</v>
      </c>
      <c r="C6" s="146"/>
      <c r="D6" s="113">
        <v>5</v>
      </c>
      <c r="E6" s="297"/>
    </row>
    <row r="7" spans="2:10" x14ac:dyDescent="0.2">
      <c r="B7" s="51" t="s">
        <v>36</v>
      </c>
      <c r="C7" s="195">
        <v>0.2</v>
      </c>
      <c r="D7" s="114">
        <f>48*12*C7/16*1.15</f>
        <v>8.2799999999999994</v>
      </c>
      <c r="E7" s="297"/>
    </row>
    <row r="8" spans="2:10" x14ac:dyDescent="0.2">
      <c r="B8" s="54" t="s">
        <v>17</v>
      </c>
      <c r="C8" s="165">
        <f>SUM(C4:C7)</f>
        <v>1.4999999999999998</v>
      </c>
      <c r="D8" s="165">
        <f>SUM(D4,D5,D7)</f>
        <v>62.099999999999994</v>
      </c>
      <c r="E8" s="298"/>
    </row>
    <row r="10" spans="2:10" x14ac:dyDescent="0.2">
      <c r="B10" s="258" t="s">
        <v>133</v>
      </c>
      <c r="C10" s="258"/>
      <c r="D10" s="94">
        <f>ROUNDDOWN(250/D8,2)</f>
        <v>4.0199999999999996</v>
      </c>
    </row>
    <row r="12" spans="2:10" x14ac:dyDescent="0.2">
      <c r="B12" s="18" t="s">
        <v>29</v>
      </c>
      <c r="C12" s="64">
        <v>48</v>
      </c>
    </row>
    <row r="14" spans="2:10" x14ac:dyDescent="0.2">
      <c r="B14" s="18" t="s">
        <v>45</v>
      </c>
      <c r="C14" s="99">
        <f>((C12*12*C8/16)*1.15)-C15</f>
        <v>62.099999999999987</v>
      </c>
    </row>
    <row r="15" spans="2:10" x14ac:dyDescent="0.2">
      <c r="B15" s="18" t="s">
        <v>9</v>
      </c>
      <c r="C15" s="64">
        <v>0</v>
      </c>
    </row>
    <row r="16" spans="2:10" x14ac:dyDescent="0.2">
      <c r="B16" s="18" t="s">
        <v>41</v>
      </c>
      <c r="C16" s="99">
        <f>E3*D8</f>
        <v>62.099999999999994</v>
      </c>
    </row>
    <row r="18" spans="2:5" x14ac:dyDescent="0.2">
      <c r="B18" s="18" t="s">
        <v>11</v>
      </c>
    </row>
    <row r="19" spans="2:5" x14ac:dyDescent="0.2">
      <c r="B19" s="18" t="s">
        <v>115</v>
      </c>
      <c r="C19" s="99">
        <f>D4*E3</f>
        <v>28.979999999999997</v>
      </c>
      <c r="D19" s="18" t="s">
        <v>12</v>
      </c>
    </row>
    <row r="20" spans="2:5" x14ac:dyDescent="0.2">
      <c r="B20" s="18" t="s">
        <v>114</v>
      </c>
      <c r="C20" s="99">
        <f>D5*E3</f>
        <v>24.839999999999996</v>
      </c>
      <c r="D20" s="18" t="s">
        <v>12</v>
      </c>
    </row>
    <row r="21" spans="2:5" x14ac:dyDescent="0.2">
      <c r="B21" s="18" t="s">
        <v>36</v>
      </c>
      <c r="C21" s="99">
        <f>D7*E3</f>
        <v>8.2799999999999994</v>
      </c>
      <c r="D21" s="18" t="s">
        <v>12</v>
      </c>
    </row>
    <row r="22" spans="2:5" x14ac:dyDescent="0.2">
      <c r="B22" s="18" t="s">
        <v>44</v>
      </c>
      <c r="C22" s="99">
        <f>E3*D6</f>
        <v>5</v>
      </c>
      <c r="D22" s="18" t="s">
        <v>12</v>
      </c>
    </row>
    <row r="24" spans="2:5" x14ac:dyDescent="0.2">
      <c r="B24" s="216" t="s">
        <v>46</v>
      </c>
      <c r="D24" s="216" t="s">
        <v>174</v>
      </c>
    </row>
    <row r="25" spans="2:5" x14ac:dyDescent="0.2">
      <c r="B25" s="18" t="s">
        <v>117</v>
      </c>
      <c r="C25" s="99">
        <f>J4/3.5*6</f>
        <v>66.428571428571431</v>
      </c>
      <c r="D25" s="99">
        <f>C25/6</f>
        <v>11.071428571428571</v>
      </c>
      <c r="E25" s="18" t="s">
        <v>118</v>
      </c>
    </row>
    <row r="27" spans="2:5" x14ac:dyDescent="0.2">
      <c r="B27" s="319" t="s">
        <v>116</v>
      </c>
      <c r="C27" s="319"/>
      <c r="D27" s="319"/>
      <c r="E27" s="319"/>
    </row>
  </sheetData>
  <sheetProtection sheet="1" objects="1" scenarios="1" selectLockedCells="1"/>
  <mergeCells count="5">
    <mergeCell ref="E3:E8"/>
    <mergeCell ref="B2:D2"/>
    <mergeCell ref="B27:E27"/>
    <mergeCell ref="B10:C10"/>
    <mergeCell ref="G2:J2"/>
  </mergeCells>
  <pageMargins left="0" right="0" top="0" bottom="0" header="0" footer="0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E20"/>
  <sheetViews>
    <sheetView workbookViewId="0">
      <selection activeCell="C11" sqref="C11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1.164062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305" t="s">
        <v>50</v>
      </c>
      <c r="C2" s="300"/>
      <c r="D2" s="301"/>
      <c r="E2" s="47" t="s">
        <v>30</v>
      </c>
    </row>
    <row r="3" spans="2:5" ht="15.75" thickBot="1" x14ac:dyDescent="0.25">
      <c r="B3" s="48"/>
      <c r="C3" s="55" t="s">
        <v>92</v>
      </c>
      <c r="D3" s="201" t="s">
        <v>132</v>
      </c>
      <c r="E3" s="274">
        <f>ROUNDUP(C13/D7,1)</f>
        <v>1</v>
      </c>
    </row>
    <row r="4" spans="2:5" x14ac:dyDescent="0.2">
      <c r="B4" s="199" t="s">
        <v>162</v>
      </c>
      <c r="C4" s="174">
        <v>1.25</v>
      </c>
      <c r="D4" s="174">
        <f>48*12*C4/16*1.15</f>
        <v>51.749999999999993</v>
      </c>
      <c r="E4" s="275"/>
    </row>
    <row r="5" spans="2:5" ht="44.25" x14ac:dyDescent="0.2">
      <c r="B5" s="200" t="s">
        <v>163</v>
      </c>
      <c r="C5" s="169">
        <v>0.7</v>
      </c>
      <c r="D5" s="169">
        <f>48*12*C5/16*1.15</f>
        <v>28.979999999999997</v>
      </c>
      <c r="E5" s="275"/>
    </row>
    <row r="6" spans="2:5" ht="15.75" thickBot="1" x14ac:dyDescent="0.25">
      <c r="B6" s="51" t="s">
        <v>32</v>
      </c>
      <c r="C6" s="183">
        <v>0.2</v>
      </c>
      <c r="D6" s="183">
        <f>48*12*C6/16*1.15</f>
        <v>8.2799999999999994</v>
      </c>
      <c r="E6" s="275"/>
    </row>
    <row r="7" spans="2:5" ht="15.75" thickBot="1" x14ac:dyDescent="0.25">
      <c r="B7" s="42" t="s">
        <v>17</v>
      </c>
      <c r="C7" s="188">
        <f>SUM(C4:C6)</f>
        <v>2.15</v>
      </c>
      <c r="D7" s="188">
        <f>SUM(D4:D6)</f>
        <v>89.009999999999991</v>
      </c>
      <c r="E7" s="276"/>
    </row>
    <row r="9" spans="2:5" x14ac:dyDescent="0.2">
      <c r="B9" s="258" t="s">
        <v>133</v>
      </c>
      <c r="C9" s="258"/>
      <c r="D9" s="94">
        <f>ROUNDDOWN(250/D7,2)</f>
        <v>2.8</v>
      </c>
    </row>
    <row r="10" spans="2:5" x14ac:dyDescent="0.2">
      <c r="B10" s="9"/>
      <c r="C10" s="9"/>
      <c r="D10" s="94"/>
    </row>
    <row r="11" spans="2:5" x14ac:dyDescent="0.2">
      <c r="B11" s="18" t="s">
        <v>29</v>
      </c>
      <c r="C11" s="64">
        <v>48</v>
      </c>
    </row>
    <row r="13" spans="2:5" x14ac:dyDescent="0.2">
      <c r="B13" s="18" t="s">
        <v>8</v>
      </c>
      <c r="C13" s="99">
        <f>((C11*12*C7/16)*1.15)-C14</f>
        <v>89.009999999999977</v>
      </c>
    </row>
    <row r="14" spans="2:5" x14ac:dyDescent="0.2">
      <c r="B14" s="18" t="s">
        <v>9</v>
      </c>
      <c r="C14" s="64">
        <v>0</v>
      </c>
    </row>
    <row r="15" spans="2:5" x14ac:dyDescent="0.2">
      <c r="B15" s="18" t="s">
        <v>10</v>
      </c>
      <c r="C15" s="99">
        <f>E3*D7</f>
        <v>89.009999999999991</v>
      </c>
    </row>
    <row r="17" spans="2:4" x14ac:dyDescent="0.2">
      <c r="B17" s="18" t="s">
        <v>11</v>
      </c>
    </row>
    <row r="18" spans="2:4" x14ac:dyDescent="0.2">
      <c r="B18" s="18" t="s">
        <v>31</v>
      </c>
      <c r="C18" s="99">
        <f>E3*D4</f>
        <v>51.749999999999993</v>
      </c>
      <c r="D18" s="18" t="s">
        <v>12</v>
      </c>
    </row>
    <row r="19" spans="2:4" ht="41.25" x14ac:dyDescent="0.2">
      <c r="B19" s="154" t="s">
        <v>164</v>
      </c>
      <c r="C19" s="99">
        <f>E3*D5</f>
        <v>28.979999999999997</v>
      </c>
      <c r="D19" s="18" t="s">
        <v>12</v>
      </c>
    </row>
    <row r="20" spans="2:4" x14ac:dyDescent="0.2">
      <c r="B20" s="18" t="s">
        <v>32</v>
      </c>
      <c r="C20" s="99">
        <f>E3*D6</f>
        <v>8.2799999999999994</v>
      </c>
      <c r="D20" s="18" t="s">
        <v>12</v>
      </c>
    </row>
  </sheetData>
  <sheetProtection sheet="1" objects="1" scenarios="1" selectLockedCells="1"/>
  <mergeCells count="3">
    <mergeCell ref="E3:E7"/>
    <mergeCell ref="B2:D2"/>
    <mergeCell ref="B9:C9"/>
  </mergeCells>
  <pageMargins left="0" right="0" top="0" bottom="0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E29"/>
  <sheetViews>
    <sheetView workbookViewId="0">
      <selection activeCell="C15" sqref="C15"/>
    </sheetView>
  </sheetViews>
  <sheetFormatPr defaultColWidth="14.390625" defaultRowHeight="15" x14ac:dyDescent="0.2"/>
  <cols>
    <col min="1" max="1" width="9.14453125" style="18" customWidth="1"/>
    <col min="2" max="2" width="28.1132812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277" t="s">
        <v>109</v>
      </c>
      <c r="C2" s="278"/>
      <c r="D2" s="279"/>
      <c r="E2" s="65" t="s">
        <v>0</v>
      </c>
    </row>
    <row r="3" spans="2:5" ht="15.75" thickBot="1" x14ac:dyDescent="0.25">
      <c r="B3" s="43"/>
      <c r="C3" s="57" t="s">
        <v>92</v>
      </c>
      <c r="D3" s="172" t="s">
        <v>132</v>
      </c>
      <c r="E3" s="274">
        <f>ROUNDUP(C17/D11,1)</f>
        <v>1</v>
      </c>
    </row>
    <row r="4" spans="2:5" x14ac:dyDescent="0.2">
      <c r="B4" s="166" t="s">
        <v>152</v>
      </c>
      <c r="C4" s="168">
        <v>2.02</v>
      </c>
      <c r="D4" s="168">
        <f t="shared" ref="D4:D10" si="0">48*12*C4/16*1.15</f>
        <v>83.627999999999986</v>
      </c>
      <c r="E4" s="275"/>
    </row>
    <row r="5" spans="2:5" x14ac:dyDescent="0.2">
      <c r="B5" s="44" t="s">
        <v>51</v>
      </c>
      <c r="C5" s="169">
        <v>0.71</v>
      </c>
      <c r="D5" s="169">
        <f t="shared" si="0"/>
        <v>29.393999999999995</v>
      </c>
      <c r="E5" s="275"/>
    </row>
    <row r="6" spans="2:5" x14ac:dyDescent="0.2">
      <c r="B6" s="44" t="s">
        <v>52</v>
      </c>
      <c r="C6" s="169">
        <v>0.71</v>
      </c>
      <c r="D6" s="169">
        <f t="shared" si="0"/>
        <v>29.393999999999995</v>
      </c>
      <c r="E6" s="275"/>
    </row>
    <row r="7" spans="2:5" x14ac:dyDescent="0.2">
      <c r="B7" s="82" t="s">
        <v>124</v>
      </c>
      <c r="C7" s="169">
        <v>0.4</v>
      </c>
      <c r="D7" s="169">
        <f t="shared" si="0"/>
        <v>16.559999999999999</v>
      </c>
      <c r="E7" s="275"/>
    </row>
    <row r="8" spans="2:5" x14ac:dyDescent="0.2">
      <c r="B8" s="44" t="s">
        <v>54</v>
      </c>
      <c r="C8" s="169">
        <v>0.1</v>
      </c>
      <c r="D8" s="169">
        <f t="shared" si="0"/>
        <v>4.1399999999999997</v>
      </c>
      <c r="E8" s="275"/>
    </row>
    <row r="9" spans="2:5" x14ac:dyDescent="0.2">
      <c r="B9" s="44" t="s">
        <v>55</v>
      </c>
      <c r="C9" s="169">
        <v>0.03</v>
      </c>
      <c r="D9" s="169">
        <f t="shared" si="0"/>
        <v>1.242</v>
      </c>
      <c r="E9" s="275"/>
    </row>
    <row r="10" spans="2:5" ht="15.75" thickBot="1" x14ac:dyDescent="0.25">
      <c r="B10" s="27" t="s">
        <v>56</v>
      </c>
      <c r="C10" s="170">
        <v>0.03</v>
      </c>
      <c r="D10" s="170">
        <f t="shared" si="0"/>
        <v>1.242</v>
      </c>
      <c r="E10" s="275"/>
    </row>
    <row r="11" spans="2:5" ht="15.75" thickBot="1" x14ac:dyDescent="0.25">
      <c r="B11" s="19" t="s">
        <v>2</v>
      </c>
      <c r="C11" s="171">
        <f>SUM(C4:C10)</f>
        <v>3.9999999999999996</v>
      </c>
      <c r="D11" s="171">
        <f>SUM(D4:D7,D8:D10)</f>
        <v>165.59999999999994</v>
      </c>
      <c r="E11" s="276"/>
    </row>
    <row r="13" spans="2:5" x14ac:dyDescent="0.2">
      <c r="B13" s="258" t="s">
        <v>133</v>
      </c>
      <c r="C13" s="258"/>
      <c r="D13" s="94">
        <f>ROUNDDOWN(250/D11,2)</f>
        <v>1.5</v>
      </c>
    </row>
    <row r="15" spans="2:5" x14ac:dyDescent="0.2">
      <c r="B15" s="18" t="s">
        <v>29</v>
      </c>
      <c r="C15" s="64">
        <v>48</v>
      </c>
    </row>
    <row r="17" spans="2:4" x14ac:dyDescent="0.2">
      <c r="B17" s="18" t="s">
        <v>8</v>
      </c>
      <c r="C17" s="99">
        <f>((C15*12*C11/16)*1.15)-C18</f>
        <v>165.59999999999997</v>
      </c>
    </row>
    <row r="18" spans="2:4" x14ac:dyDescent="0.2">
      <c r="B18" s="18" t="s">
        <v>9</v>
      </c>
      <c r="C18" s="64">
        <v>0</v>
      </c>
    </row>
    <row r="19" spans="2:4" x14ac:dyDescent="0.2">
      <c r="B19" s="18" t="s">
        <v>57</v>
      </c>
      <c r="C19" s="99">
        <f>E3*D11</f>
        <v>165.59999999999994</v>
      </c>
    </row>
    <row r="22" spans="2:4" x14ac:dyDescent="0.2">
      <c r="B22" s="18" t="s">
        <v>11</v>
      </c>
    </row>
    <row r="23" spans="2:4" x14ac:dyDescent="0.2">
      <c r="B23" s="167" t="s">
        <v>152</v>
      </c>
      <c r="C23" s="99">
        <f>D4*E3</f>
        <v>83.627999999999986</v>
      </c>
      <c r="D23" s="18" t="s">
        <v>12</v>
      </c>
    </row>
    <row r="24" spans="2:4" x14ac:dyDescent="0.2">
      <c r="B24" s="18" t="s">
        <v>51</v>
      </c>
      <c r="C24" s="99">
        <f>D5*E3</f>
        <v>29.393999999999995</v>
      </c>
      <c r="D24" s="18" t="s">
        <v>12</v>
      </c>
    </row>
    <row r="25" spans="2:4" x14ac:dyDescent="0.2">
      <c r="B25" s="18" t="s">
        <v>52</v>
      </c>
      <c r="C25" s="99">
        <f>D6*E3</f>
        <v>29.393999999999995</v>
      </c>
      <c r="D25" s="18" t="s">
        <v>12</v>
      </c>
    </row>
    <row r="26" spans="2:4" x14ac:dyDescent="0.2">
      <c r="B26" s="18" t="s">
        <v>53</v>
      </c>
      <c r="C26" s="99">
        <f>D7*E3</f>
        <v>16.559999999999999</v>
      </c>
      <c r="D26" s="18" t="s">
        <v>12</v>
      </c>
    </row>
    <row r="27" spans="2:4" x14ac:dyDescent="0.2">
      <c r="B27" s="18" t="s">
        <v>54</v>
      </c>
      <c r="C27" s="99">
        <f>D8*E3</f>
        <v>4.1399999999999997</v>
      </c>
      <c r="D27" s="18" t="s">
        <v>12</v>
      </c>
    </row>
    <row r="28" spans="2:4" x14ac:dyDescent="0.2">
      <c r="B28" s="18" t="s">
        <v>58</v>
      </c>
      <c r="C28" s="99">
        <f>D9*E3</f>
        <v>1.242</v>
      </c>
      <c r="D28" s="18" t="s">
        <v>12</v>
      </c>
    </row>
    <row r="29" spans="2:4" x14ac:dyDescent="0.2">
      <c r="B29" s="18" t="s">
        <v>56</v>
      </c>
      <c r="C29" s="99">
        <f>D10*E3</f>
        <v>1.242</v>
      </c>
      <c r="D29" s="18" t="s">
        <v>12</v>
      </c>
    </row>
  </sheetData>
  <sheetProtection sheet="1" objects="1" scenarios="1" selectLockedCells="1"/>
  <mergeCells count="3">
    <mergeCell ref="B2:D2"/>
    <mergeCell ref="E3:E11"/>
    <mergeCell ref="B13:C13"/>
  </mergeCells>
  <pageMargins left="0" right="0" top="0" bottom="0" header="0" footer="0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J25"/>
  <sheetViews>
    <sheetView workbookViewId="0">
      <selection activeCell="C10" sqref="C10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6" width="9.14453125" style="18" customWidth="1"/>
    <col min="7" max="7" width="21.5234375" style="18" bestFit="1" customWidth="1"/>
    <col min="8" max="8" width="8.875" style="18" bestFit="1" customWidth="1"/>
    <col min="9" max="9" width="9.28125" style="18" bestFit="1" customWidth="1"/>
    <col min="10" max="10" width="13.1796875" style="18" bestFit="1" customWidth="1"/>
    <col min="11" max="28" width="9.14453125" style="18" customWidth="1"/>
    <col min="29" max="16384" width="14.390625" style="18"/>
  </cols>
  <sheetData>
    <row r="1" spans="2:10" ht="15.75" thickBot="1" x14ac:dyDescent="0.25"/>
    <row r="2" spans="2:10" ht="15.75" thickBot="1" x14ac:dyDescent="0.25">
      <c r="B2" s="299" t="s">
        <v>37</v>
      </c>
      <c r="C2" s="300"/>
      <c r="D2" s="301"/>
      <c r="E2" s="47" t="s">
        <v>0</v>
      </c>
      <c r="G2" s="299" t="s">
        <v>38</v>
      </c>
      <c r="H2" s="300"/>
      <c r="I2" s="301"/>
      <c r="J2" s="38" t="s">
        <v>0</v>
      </c>
    </row>
    <row r="3" spans="2:10" ht="15.75" thickBot="1" x14ac:dyDescent="0.25">
      <c r="B3" s="43"/>
      <c r="C3" s="57" t="s">
        <v>92</v>
      </c>
      <c r="D3" s="151" t="s">
        <v>132</v>
      </c>
      <c r="E3" s="274">
        <f>ROUNDUP(C12/D6,1)</f>
        <v>1</v>
      </c>
      <c r="G3" s="181"/>
      <c r="H3" s="55" t="s">
        <v>92</v>
      </c>
      <c r="I3" s="192" t="s">
        <v>132</v>
      </c>
      <c r="J3" s="316">
        <f>ROUNDUP(H12/I6,1)</f>
        <v>1.5</v>
      </c>
    </row>
    <row r="4" spans="2:10" x14ac:dyDescent="0.2">
      <c r="B4" s="24" t="s">
        <v>39</v>
      </c>
      <c r="C4" s="168">
        <v>7.0000000000000007E-2</v>
      </c>
      <c r="D4" s="185">
        <f>48*12*C4/16*1.15</f>
        <v>2.8980000000000001</v>
      </c>
      <c r="E4" s="275"/>
      <c r="G4" s="25" t="s">
        <v>36</v>
      </c>
      <c r="H4" s="96">
        <v>0.25</v>
      </c>
      <c r="I4" s="189">
        <f>48*12*H4/16*1.15</f>
        <v>10.35</v>
      </c>
      <c r="J4" s="317"/>
    </row>
    <row r="5" spans="2:10" ht="45" thickBot="1" x14ac:dyDescent="0.25">
      <c r="B5" s="180" t="s">
        <v>158</v>
      </c>
      <c r="C5" s="183">
        <v>2.4300000000000002</v>
      </c>
      <c r="D5" s="186">
        <f>48*12*C5/16*1.15</f>
        <v>100.602</v>
      </c>
      <c r="E5" s="275"/>
      <c r="G5" s="182" t="s">
        <v>159</v>
      </c>
      <c r="H5" s="97">
        <v>0.5</v>
      </c>
      <c r="I5" s="190">
        <f>48*12*H5/16*1.15</f>
        <v>20.7</v>
      </c>
      <c r="J5" s="317"/>
    </row>
    <row r="6" spans="2:10" ht="15.75" thickBot="1" x14ac:dyDescent="0.25">
      <c r="B6" s="46" t="s">
        <v>2</v>
      </c>
      <c r="C6" s="184">
        <f>SUM(C4:C5)</f>
        <v>2.5</v>
      </c>
      <c r="D6" s="187">
        <f>SUM(D4:D5)</f>
        <v>103.5</v>
      </c>
      <c r="E6" s="276"/>
      <c r="G6" s="42" t="s">
        <v>17</v>
      </c>
      <c r="H6" s="188">
        <f>SUM(H4:H5)</f>
        <v>0.75</v>
      </c>
      <c r="I6" s="191">
        <f>SUM(I5:I5)</f>
        <v>20.7</v>
      </c>
      <c r="J6" s="318"/>
    </row>
    <row r="8" spans="2:10" x14ac:dyDescent="0.2">
      <c r="B8" s="258" t="s">
        <v>133</v>
      </c>
      <c r="C8" s="258"/>
      <c r="D8" s="94">
        <f>ROUNDDOWN(250/D6,2)</f>
        <v>2.41</v>
      </c>
      <c r="G8" s="258" t="s">
        <v>133</v>
      </c>
      <c r="H8" s="258"/>
      <c r="I8" s="94">
        <f>ROUNDDOWN(250/I6,2)</f>
        <v>12.07</v>
      </c>
    </row>
    <row r="10" spans="2:10" x14ac:dyDescent="0.2">
      <c r="B10" s="18" t="s">
        <v>29</v>
      </c>
      <c r="C10" s="64">
        <v>48</v>
      </c>
    </row>
    <row r="12" spans="2:10" x14ac:dyDescent="0.2">
      <c r="B12" s="18" t="s">
        <v>8</v>
      </c>
      <c r="C12" s="99">
        <f>((C10*12*C6/16)*1.15)-C13</f>
        <v>103.49999999999999</v>
      </c>
      <c r="G12" s="18" t="s">
        <v>40</v>
      </c>
      <c r="H12" s="99">
        <f>((C10*12*H6/16)*1.15)-H13</f>
        <v>31.049999999999997</v>
      </c>
    </row>
    <row r="13" spans="2:10" x14ac:dyDescent="0.2">
      <c r="B13" s="18" t="s">
        <v>9</v>
      </c>
      <c r="C13" s="64">
        <v>0</v>
      </c>
      <c r="G13" s="18" t="s">
        <v>9</v>
      </c>
      <c r="H13" s="64">
        <v>0</v>
      </c>
    </row>
    <row r="14" spans="2:10" x14ac:dyDescent="0.2">
      <c r="B14" s="18" t="s">
        <v>10</v>
      </c>
      <c r="C14" s="99">
        <f>E3*D6</f>
        <v>103.5</v>
      </c>
      <c r="G14" s="18" t="s">
        <v>41</v>
      </c>
      <c r="H14" s="99">
        <f>J3*I6</f>
        <v>31.049999999999997</v>
      </c>
    </row>
    <row r="15" spans="2:10" ht="15.75" thickBot="1" x14ac:dyDescent="0.25"/>
    <row r="16" spans="2:10" ht="15.75" thickBot="1" x14ac:dyDescent="0.25">
      <c r="B16" s="18" t="s">
        <v>11</v>
      </c>
      <c r="G16" s="302" t="s">
        <v>142</v>
      </c>
      <c r="H16" s="303"/>
      <c r="I16" s="303"/>
      <c r="J16" s="304"/>
    </row>
    <row r="17" spans="2:10" ht="15.75" thickBot="1" x14ac:dyDescent="0.25">
      <c r="B17" s="18" t="s">
        <v>36</v>
      </c>
      <c r="C17" s="99">
        <f>J3*I4</f>
        <v>15.524999999999999</v>
      </c>
      <c r="D17" s="18" t="s">
        <v>12</v>
      </c>
      <c r="G17" s="220"/>
      <c r="H17" s="223" t="s">
        <v>92</v>
      </c>
      <c r="I17" s="222" t="s">
        <v>96</v>
      </c>
      <c r="J17" s="12" t="s">
        <v>171</v>
      </c>
    </row>
    <row r="18" spans="2:10" ht="15.75" thickBot="1" x14ac:dyDescent="0.25">
      <c r="B18" s="18" t="s">
        <v>39</v>
      </c>
      <c r="C18" s="99">
        <f>D4*E3</f>
        <v>2.8980000000000001</v>
      </c>
      <c r="D18" s="18" t="s">
        <v>12</v>
      </c>
      <c r="G18" s="35" t="s">
        <v>141</v>
      </c>
      <c r="H18" s="35">
        <v>2</v>
      </c>
      <c r="I18" s="218">
        <f>48*12/16*H18*1.25</f>
        <v>90</v>
      </c>
      <c r="J18" s="12" t="str">
        <f>ROUNDUP(((((C10*12*H18/16)*1.25))/82),0)&amp; " Buckets"</f>
        <v>2 Buckets</v>
      </c>
    </row>
    <row r="19" spans="2:10" ht="41.25" x14ac:dyDescent="0.2">
      <c r="B19" s="154" t="s">
        <v>160</v>
      </c>
      <c r="C19" s="99">
        <f>J3*I5</f>
        <v>31.049999999999997</v>
      </c>
      <c r="D19" s="18" t="s">
        <v>12</v>
      </c>
    </row>
    <row r="20" spans="2:10" ht="41.25" x14ac:dyDescent="0.2">
      <c r="B20" s="154" t="s">
        <v>158</v>
      </c>
      <c r="C20" s="99">
        <f>D5*E3</f>
        <v>100.602</v>
      </c>
      <c r="D20" s="18" t="s">
        <v>12</v>
      </c>
    </row>
    <row r="24" spans="2:10" x14ac:dyDescent="0.2">
      <c r="C24" s="99"/>
      <c r="D24" s="167"/>
    </row>
    <row r="25" spans="2:10" x14ac:dyDescent="0.2">
      <c r="C25" s="99"/>
    </row>
  </sheetData>
  <sheetProtection sheet="1" objects="1" scenarios="1" selectLockedCells="1"/>
  <mergeCells count="7">
    <mergeCell ref="G16:J16"/>
    <mergeCell ref="B2:D2"/>
    <mergeCell ref="G2:I2"/>
    <mergeCell ref="E3:E6"/>
    <mergeCell ref="J3:J6"/>
    <mergeCell ref="B8:C8"/>
    <mergeCell ref="G8:H8"/>
  </mergeCells>
  <pageMargins left="0" right="0" top="0" bottom="0" header="0" footer="0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A998"/>
  <sheetViews>
    <sheetView workbookViewId="0">
      <selection activeCell="C13" sqref="C13"/>
    </sheetView>
  </sheetViews>
  <sheetFormatPr defaultColWidth="14.390625" defaultRowHeight="15" customHeight="1" x14ac:dyDescent="0.2"/>
  <cols>
    <col min="1" max="1" width="9.14453125" customWidth="1"/>
    <col min="2" max="2" width="29.0546875" bestFit="1" customWidth="1"/>
    <col min="3" max="3" width="8.875" bestFit="1" customWidth="1"/>
    <col min="4" max="4" width="9.28125" bestFit="1" customWidth="1"/>
    <col min="5" max="5" width="10.76171875" bestFit="1" customWidth="1"/>
    <col min="6" max="27" width="9.14453125" customWidth="1"/>
  </cols>
  <sheetData>
    <row r="1" spans="1:2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thickBot="1" x14ac:dyDescent="0.25">
      <c r="A2" s="1"/>
      <c r="B2" s="322" t="s">
        <v>119</v>
      </c>
      <c r="C2" s="323"/>
      <c r="D2" s="324"/>
      <c r="E2" s="3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thickBot="1" x14ac:dyDescent="0.25">
      <c r="A3" s="1"/>
      <c r="B3" s="2"/>
      <c r="C3" s="68" t="s">
        <v>92</v>
      </c>
      <c r="D3" s="225" t="s">
        <v>132</v>
      </c>
      <c r="E3" s="325">
        <f>ROUNDUP(C15/D9,1)</f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" customHeight="1" x14ac:dyDescent="0.2">
      <c r="A4" s="1"/>
      <c r="B4" s="196" t="s">
        <v>161</v>
      </c>
      <c r="C4" s="8">
        <v>0.35</v>
      </c>
      <c r="D4" s="226">
        <f>48*12*C4/16*1.15</f>
        <v>14.489999999999998</v>
      </c>
      <c r="E4" s="32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customHeight="1" x14ac:dyDescent="0.2">
      <c r="A5" s="1"/>
      <c r="B5" s="197" t="s">
        <v>22</v>
      </c>
      <c r="C5" s="5">
        <v>0.35</v>
      </c>
      <c r="D5" s="227">
        <f>48*12*C5/16*1.15</f>
        <v>14.489999999999998</v>
      </c>
      <c r="E5" s="32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" customHeight="1" x14ac:dyDescent="0.2">
      <c r="A6" s="1"/>
      <c r="B6" s="4" t="s">
        <v>13</v>
      </c>
      <c r="C6" s="5"/>
      <c r="D6" s="227">
        <v>5</v>
      </c>
      <c r="E6" s="32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5" customHeight="1" x14ac:dyDescent="0.2">
      <c r="A7" s="1"/>
      <c r="B7" s="4" t="s">
        <v>23</v>
      </c>
      <c r="C7" s="5">
        <v>0.35</v>
      </c>
      <c r="D7" s="227">
        <f>48*12*C7/16*1.15</f>
        <v>14.489999999999998</v>
      </c>
      <c r="E7" s="32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thickBot="1" x14ac:dyDescent="0.25">
      <c r="A8" s="1"/>
      <c r="B8" s="6" t="s">
        <v>24</v>
      </c>
      <c r="C8" s="7">
        <v>0.35</v>
      </c>
      <c r="D8" s="228">
        <f>48*12*C8/16*1.15</f>
        <v>14.489999999999998</v>
      </c>
      <c r="E8" s="32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thickBot="1" x14ac:dyDescent="0.25">
      <c r="A9" s="1"/>
      <c r="B9" s="66" t="s">
        <v>17</v>
      </c>
      <c r="C9" s="67">
        <f>SUM(C4:C8)</f>
        <v>1.4</v>
      </c>
      <c r="D9" s="224">
        <f>SUM(D4,D5,D7,D8)</f>
        <v>57.959999999999994</v>
      </c>
      <c r="E9" s="32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9.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9.5" customHeight="1" x14ac:dyDescent="0.2">
      <c r="A11" s="1"/>
      <c r="B11" s="258" t="s">
        <v>133</v>
      </c>
      <c r="C11" s="258"/>
      <c r="D11" s="94">
        <f>ROUNDDOWN(250/D9,2)</f>
        <v>4.3099999999999996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9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">
      <c r="A13" s="1"/>
      <c r="B13" s="1" t="s">
        <v>29</v>
      </c>
      <c r="C13" s="79">
        <v>48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7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7" x14ac:dyDescent="0.2">
      <c r="A15" s="1"/>
      <c r="B15" s="1" t="s">
        <v>8</v>
      </c>
      <c r="C15" s="1">
        <f>((C13*12*C9/16)*1.15)-C16</f>
        <v>57.959999999999994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x14ac:dyDescent="0.2">
      <c r="A16" s="1"/>
      <c r="B16" s="1" t="s">
        <v>9</v>
      </c>
      <c r="C16" s="79">
        <v>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7" x14ac:dyDescent="0.2">
      <c r="A17" s="1"/>
      <c r="B17" s="1" t="s">
        <v>10</v>
      </c>
      <c r="C17" s="1">
        <f>E3*D9</f>
        <v>57.959999999999994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7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7" x14ac:dyDescent="0.2">
      <c r="A19" s="1"/>
      <c r="B19" s="1" t="s">
        <v>11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7" ht="15.75" customHeight="1" x14ac:dyDescent="0.2">
      <c r="A20" s="1"/>
      <c r="B20" s="198" t="s">
        <v>161</v>
      </c>
      <c r="C20" s="1">
        <f>E3*D4</f>
        <v>14.489999999999998</v>
      </c>
      <c r="D20" s="1" t="s">
        <v>12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7" ht="15.75" customHeight="1" x14ac:dyDescent="0.2">
      <c r="A21" s="1"/>
      <c r="B21" s="1" t="s">
        <v>22</v>
      </c>
      <c r="C21" s="1">
        <f>E3*D5</f>
        <v>14.489999999999998</v>
      </c>
      <c r="D21" s="1" t="s">
        <v>12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7" ht="15.75" customHeight="1" x14ac:dyDescent="0.2">
      <c r="A22" s="1"/>
      <c r="B22" s="1" t="s">
        <v>23</v>
      </c>
      <c r="C22" s="1">
        <f>E3*D7</f>
        <v>14.489999999999998</v>
      </c>
      <c r="D22" s="1" t="s">
        <v>12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7" ht="15.75" customHeight="1" x14ac:dyDescent="0.2">
      <c r="A23" s="1"/>
      <c r="B23" s="1" t="s">
        <v>24</v>
      </c>
      <c r="C23" s="1">
        <f>E3*D8</f>
        <v>14.489999999999998</v>
      </c>
      <c r="D23" s="1" t="s">
        <v>12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7" ht="15.75" customHeight="1" x14ac:dyDescent="0.2">
      <c r="A24" s="1"/>
      <c r="B24" s="1" t="s">
        <v>13</v>
      </c>
      <c r="C24" s="1">
        <f>D6*E3</f>
        <v>5</v>
      </c>
      <c r="D24" s="1" t="s">
        <v>12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7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sheetProtection sheet="1" objects="1" scenarios="1" selectLockedCells="1"/>
  <mergeCells count="3">
    <mergeCell ref="B2:D2"/>
    <mergeCell ref="B11:C11"/>
    <mergeCell ref="E3:E9"/>
  </mergeCells>
  <pageMargins left="0" right="0" top="0" bottom="0" header="0" footer="0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B1:E35"/>
  <sheetViews>
    <sheetView workbookViewId="0">
      <selection activeCell="C17" sqref="C17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305" t="s">
        <v>110</v>
      </c>
      <c r="C2" s="300"/>
      <c r="D2" s="295"/>
      <c r="E2" s="47" t="s">
        <v>0</v>
      </c>
    </row>
    <row r="3" spans="2:5" ht="15.75" thickBot="1" x14ac:dyDescent="0.25">
      <c r="B3" s="48"/>
      <c r="C3" s="55" t="s">
        <v>92</v>
      </c>
      <c r="D3" s="193" t="s">
        <v>132</v>
      </c>
      <c r="E3" s="296">
        <f>ROUNDUP(C16/D9,1)</f>
        <v>2.2000000000000002</v>
      </c>
    </row>
    <row r="4" spans="2:5" x14ac:dyDescent="0.2">
      <c r="B4" s="49" t="s">
        <v>65</v>
      </c>
      <c r="C4" s="174">
        <v>2.2999999999999998</v>
      </c>
      <c r="D4" s="175">
        <f>48*12*C4/16*1.15</f>
        <v>95.219999999999985</v>
      </c>
      <c r="E4" s="297"/>
    </row>
    <row r="5" spans="2:5" x14ac:dyDescent="0.2">
      <c r="B5" s="173" t="s">
        <v>154</v>
      </c>
      <c r="C5" s="169">
        <v>0.24</v>
      </c>
      <c r="D5" s="176">
        <f>48*12*C5/16*1.15</f>
        <v>9.9359999999999999</v>
      </c>
      <c r="E5" s="297"/>
    </row>
    <row r="6" spans="2:5" x14ac:dyDescent="0.2">
      <c r="B6" s="179" t="s">
        <v>155</v>
      </c>
      <c r="C6" s="170">
        <v>0.06</v>
      </c>
      <c r="D6" s="176">
        <f>48*12*C6/16*1.15</f>
        <v>2.484</v>
      </c>
      <c r="E6" s="297"/>
    </row>
    <row r="7" spans="2:5" x14ac:dyDescent="0.2">
      <c r="B7" s="44" t="s">
        <v>66</v>
      </c>
      <c r="C7" s="169">
        <v>0.3</v>
      </c>
      <c r="D7" s="176">
        <f>48*12*C7/16*1.15</f>
        <v>12.419999999999998</v>
      </c>
      <c r="E7" s="297"/>
    </row>
    <row r="8" spans="2:5" ht="15.75" thickBot="1" x14ac:dyDescent="0.25">
      <c r="B8" s="27" t="s">
        <v>67</v>
      </c>
      <c r="C8" s="170">
        <v>0.1</v>
      </c>
      <c r="D8" s="177">
        <f>48*12*C8/16*1.15</f>
        <v>4.1399999999999997</v>
      </c>
      <c r="E8" s="297"/>
    </row>
    <row r="9" spans="2:5" ht="15.75" thickBot="1" x14ac:dyDescent="0.25">
      <c r="B9" s="19" t="s">
        <v>2</v>
      </c>
      <c r="C9" s="171">
        <f>SUM(C4:C8)</f>
        <v>3</v>
      </c>
      <c r="D9" s="178">
        <f>SUM(D4:D8)</f>
        <v>124.19999999999997</v>
      </c>
      <c r="E9" s="276"/>
    </row>
    <row r="11" spans="2:5" x14ac:dyDescent="0.2">
      <c r="B11" s="258" t="s">
        <v>133</v>
      </c>
      <c r="C11" s="258"/>
      <c r="D11" s="94">
        <f>ROUNDDOWN(250/D9,2)</f>
        <v>2.0099999999999998</v>
      </c>
    </row>
    <row r="13" spans="2:5" x14ac:dyDescent="0.2">
      <c r="B13" s="18" t="s">
        <v>29</v>
      </c>
      <c r="C13" s="64">
        <v>105</v>
      </c>
    </row>
    <row r="14" spans="2:5" x14ac:dyDescent="0.2">
      <c r="B14" s="18" t="s">
        <v>28</v>
      </c>
      <c r="C14" s="18">
        <v>3</v>
      </c>
    </row>
    <row r="15" spans="2:5" x14ac:dyDescent="0.2">
      <c r="D15" s="328" t="s">
        <v>111</v>
      </c>
      <c r="E15" s="328"/>
    </row>
    <row r="16" spans="2:5" x14ac:dyDescent="0.2">
      <c r="B16" s="18" t="s">
        <v>8</v>
      </c>
      <c r="C16" s="99">
        <f>((C13*12*C14/16)*1.15)-C17</f>
        <v>271.6875</v>
      </c>
      <c r="D16" s="328"/>
      <c r="E16" s="328"/>
    </row>
    <row r="17" spans="2:5" x14ac:dyDescent="0.2">
      <c r="B17" s="18" t="s">
        <v>9</v>
      </c>
      <c r="C17" s="64">
        <v>0</v>
      </c>
      <c r="D17" s="328"/>
      <c r="E17" s="328"/>
    </row>
    <row r="18" spans="2:5" x14ac:dyDescent="0.2">
      <c r="B18" s="18" t="s">
        <v>10</v>
      </c>
      <c r="C18" s="99">
        <f>E3*D9</f>
        <v>273.23999999999995</v>
      </c>
      <c r="D18" s="328"/>
      <c r="E18" s="328"/>
    </row>
    <row r="20" spans="2:5" x14ac:dyDescent="0.2">
      <c r="B20" s="18" t="s">
        <v>11</v>
      </c>
    </row>
    <row r="21" spans="2:5" x14ac:dyDescent="0.2">
      <c r="B21" s="18" t="s">
        <v>65</v>
      </c>
      <c r="C21" s="99">
        <f>E3*D4</f>
        <v>209.48399999999998</v>
      </c>
    </row>
    <row r="22" spans="2:5" x14ac:dyDescent="0.2">
      <c r="B22" s="167" t="s">
        <v>154</v>
      </c>
      <c r="C22" s="99">
        <f>E3*D5</f>
        <v>21.859200000000001</v>
      </c>
    </row>
    <row r="23" spans="2:5" x14ac:dyDescent="0.2">
      <c r="B23" s="167" t="s">
        <v>155</v>
      </c>
      <c r="C23" s="99">
        <f>E3*D6</f>
        <v>5.4648000000000003</v>
      </c>
    </row>
    <row r="24" spans="2:5" x14ac:dyDescent="0.2">
      <c r="B24" s="18" t="s">
        <v>66</v>
      </c>
      <c r="C24" s="99">
        <f>E3*D7</f>
        <v>27.323999999999998</v>
      </c>
    </row>
    <row r="25" spans="2:5" x14ac:dyDescent="0.2">
      <c r="B25" s="18" t="s">
        <v>67</v>
      </c>
      <c r="C25" s="99">
        <f>E3*D8</f>
        <v>9.1080000000000005</v>
      </c>
    </row>
    <row r="27" spans="2:5" x14ac:dyDescent="0.2">
      <c r="B27" s="280" t="s">
        <v>68</v>
      </c>
      <c r="C27" s="280"/>
      <c r="D27" s="280"/>
    </row>
    <row r="28" spans="2:5" x14ac:dyDescent="0.2">
      <c r="B28" s="315" t="s">
        <v>156</v>
      </c>
      <c r="C28" s="319"/>
      <c r="D28" s="319"/>
    </row>
    <row r="29" spans="2:5" x14ac:dyDescent="0.2">
      <c r="B29" s="319" t="s">
        <v>69</v>
      </c>
      <c r="C29" s="319"/>
      <c r="D29" s="319"/>
    </row>
    <row r="30" spans="2:5" x14ac:dyDescent="0.2">
      <c r="B30" s="319" t="s">
        <v>70</v>
      </c>
      <c r="C30" s="319"/>
      <c r="D30" s="319"/>
    </row>
    <row r="31" spans="2:5" x14ac:dyDescent="0.2">
      <c r="B31" s="319" t="s">
        <v>71</v>
      </c>
      <c r="C31" s="319"/>
      <c r="D31" s="319"/>
    </row>
    <row r="32" spans="2:5" x14ac:dyDescent="0.2">
      <c r="B32" s="315" t="s">
        <v>157</v>
      </c>
      <c r="C32" s="319"/>
      <c r="D32" s="319"/>
    </row>
    <row r="33" spans="2:4" x14ac:dyDescent="0.2">
      <c r="B33" s="319" t="s">
        <v>72</v>
      </c>
      <c r="C33" s="319"/>
      <c r="D33" s="319"/>
    </row>
    <row r="34" spans="2:4" x14ac:dyDescent="0.2">
      <c r="B34" s="319"/>
      <c r="C34" s="319"/>
      <c r="D34" s="319"/>
    </row>
    <row r="35" spans="2:4" x14ac:dyDescent="0.2">
      <c r="B35" s="280" t="s">
        <v>73</v>
      </c>
      <c r="C35" s="280"/>
      <c r="D35" s="280"/>
    </row>
  </sheetData>
  <sheetProtection sheet="1" objects="1" scenarios="1" selectLockedCells="1"/>
  <mergeCells count="13">
    <mergeCell ref="B2:D2"/>
    <mergeCell ref="E3:E9"/>
    <mergeCell ref="D15:E18"/>
    <mergeCell ref="B27:D27"/>
    <mergeCell ref="B28:D28"/>
    <mergeCell ref="B11:C11"/>
    <mergeCell ref="B29:D29"/>
    <mergeCell ref="B35:D35"/>
    <mergeCell ref="B30:D30"/>
    <mergeCell ref="B31:D31"/>
    <mergeCell ref="B32:D32"/>
    <mergeCell ref="B33:D33"/>
    <mergeCell ref="B34:D34"/>
  </mergeCells>
  <pageMargins left="0" right="0" top="0" bottom="0" header="0" footer="0"/>
  <pageSetup fitToWidth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E9"/>
  <sheetViews>
    <sheetView workbookViewId="0">
      <selection activeCell="C6" sqref="C6"/>
    </sheetView>
  </sheetViews>
  <sheetFormatPr defaultColWidth="14.390625" defaultRowHeight="15" x14ac:dyDescent="0.2"/>
  <cols>
    <col min="1" max="1" width="3.765625" style="9" customWidth="1"/>
    <col min="2" max="2" width="24.48046875" style="9" bestFit="1" customWidth="1"/>
    <col min="3" max="3" width="8.875" style="9" bestFit="1" customWidth="1"/>
    <col min="4" max="4" width="8.203125" style="9" bestFit="1" customWidth="1"/>
    <col min="5" max="5" width="13.1796875" style="9" bestFit="1" customWidth="1"/>
    <col min="6" max="26" width="9.14453125" style="9" customWidth="1"/>
    <col min="27" max="16384" width="14.390625" style="9"/>
  </cols>
  <sheetData>
    <row r="1" spans="2:5" ht="15.75" thickBot="1" x14ac:dyDescent="0.25"/>
    <row r="2" spans="2:5" ht="15.75" thickBot="1" x14ac:dyDescent="0.25">
      <c r="B2" s="307" t="s">
        <v>153</v>
      </c>
      <c r="C2" s="308"/>
      <c r="D2" s="308"/>
      <c r="E2" s="309"/>
    </row>
    <row r="3" spans="2:5" ht="15.75" thickBot="1" x14ac:dyDescent="0.25">
      <c r="B3" s="36"/>
      <c r="C3" s="37" t="s">
        <v>92</v>
      </c>
      <c r="D3" s="105" t="s">
        <v>96</v>
      </c>
      <c r="E3" s="12" t="s">
        <v>171</v>
      </c>
    </row>
    <row r="4" spans="2:5" ht="15.75" thickBot="1" x14ac:dyDescent="0.25">
      <c r="B4" s="35" t="s">
        <v>19</v>
      </c>
      <c r="C4" s="109">
        <v>2</v>
      </c>
      <c r="D4" s="218">
        <f>48*12/16*C4*1.25</f>
        <v>90</v>
      </c>
      <c r="E4" s="12" t="str">
        <f>((C6*12*C4/16)*1.25)&amp; " pounds"</f>
        <v>90 pounds</v>
      </c>
    </row>
    <row r="6" spans="2:5" x14ac:dyDescent="0.2">
      <c r="B6" s="9" t="s">
        <v>20</v>
      </c>
      <c r="C6" s="78">
        <v>48</v>
      </c>
    </row>
    <row r="9" spans="2:5" x14ac:dyDescent="0.2">
      <c r="C9" s="94"/>
    </row>
  </sheetData>
  <sheetProtection sheet="1" objects="1" scenarios="1" selectLockedCells="1"/>
  <mergeCells count="1">
    <mergeCell ref="B2:E2"/>
  </mergeCells>
  <pageMargins left="0" right="0" top="0" bottom="0" header="0" footer="0"/>
  <pageSetup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0511-8340-4186-8040-A5E72F730147}">
  <dimension ref="B1:E11"/>
  <sheetViews>
    <sheetView workbookViewId="0">
      <selection activeCell="C7" sqref="C7"/>
    </sheetView>
  </sheetViews>
  <sheetFormatPr defaultColWidth="14.390625" defaultRowHeight="15" x14ac:dyDescent="0.2"/>
  <cols>
    <col min="1" max="1" width="3.765625" style="9" customWidth="1"/>
    <col min="2" max="2" width="21.5234375" style="9" bestFit="1" customWidth="1"/>
    <col min="3" max="3" width="8.875" style="9" bestFit="1" customWidth="1"/>
    <col min="4" max="4" width="8.609375" style="9" bestFit="1" customWidth="1"/>
    <col min="5" max="5" width="13.1796875" style="9" bestFit="1" customWidth="1"/>
    <col min="6" max="21" width="9.14453125" style="9" customWidth="1"/>
    <col min="22" max="16384" width="14.390625" style="9"/>
  </cols>
  <sheetData>
    <row r="1" spans="2:5" ht="15.75" thickBot="1" x14ac:dyDescent="0.25"/>
    <row r="2" spans="2:5" ht="33.75" customHeight="1" thickBot="1" x14ac:dyDescent="0.25">
      <c r="B2" s="329" t="s">
        <v>175</v>
      </c>
      <c r="C2" s="308"/>
      <c r="D2" s="308"/>
      <c r="E2" s="309"/>
    </row>
    <row r="3" spans="2:5" ht="15.75" thickBot="1" x14ac:dyDescent="0.25">
      <c r="B3" s="220"/>
      <c r="C3" s="229" t="s">
        <v>92</v>
      </c>
      <c r="D3" s="222" t="s">
        <v>96</v>
      </c>
      <c r="E3" s="12" t="s">
        <v>171</v>
      </c>
    </row>
    <row r="4" spans="2:5" ht="28.5" thickBot="1" x14ac:dyDescent="0.25">
      <c r="B4" s="211" t="s">
        <v>167</v>
      </c>
      <c r="C4" s="109">
        <v>0.4</v>
      </c>
      <c r="D4" s="218">
        <f>105*12/16*C4*1.25</f>
        <v>39.375</v>
      </c>
      <c r="E4" s="108">
        <f>((C7*12*C4/16)*1.25)</f>
        <v>78.75</v>
      </c>
    </row>
    <row r="5" spans="2:5" ht="28.5" thickBot="1" x14ac:dyDescent="0.25">
      <c r="B5" s="211" t="s">
        <v>168</v>
      </c>
      <c r="C5" s="109">
        <v>0.6</v>
      </c>
      <c r="D5" s="218">
        <f>105*12/16*C5*1.25</f>
        <v>59.0625</v>
      </c>
      <c r="E5" s="108">
        <f>((C7*12*C5/16)*1.25)</f>
        <v>118.125</v>
      </c>
    </row>
    <row r="7" spans="2:5" x14ac:dyDescent="0.2">
      <c r="B7" s="9" t="s">
        <v>20</v>
      </c>
      <c r="C7" s="78">
        <v>210</v>
      </c>
    </row>
    <row r="10" spans="2:5" x14ac:dyDescent="0.2">
      <c r="B10" s="154"/>
      <c r="C10" s="212"/>
      <c r="D10" s="167"/>
    </row>
    <row r="11" spans="2:5" x14ac:dyDescent="0.2">
      <c r="B11" s="154"/>
      <c r="C11" s="212"/>
      <c r="D11" s="167"/>
    </row>
  </sheetData>
  <sheetProtection sheet="1" objects="1" scenarios="1" selectLockedCells="1"/>
  <mergeCells count="1">
    <mergeCell ref="B2:E2"/>
  </mergeCells>
  <pageMargins left="0" right="0" top="0" bottom="0" header="0" footer="0"/>
  <pageSetup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ACA1A-8957-4292-9E3B-670A5FF6AB11}">
  <dimension ref="B1:I12"/>
  <sheetViews>
    <sheetView workbookViewId="0">
      <selection activeCell="C6" sqref="C6"/>
    </sheetView>
  </sheetViews>
  <sheetFormatPr defaultColWidth="9.14453125" defaultRowHeight="15" x14ac:dyDescent="0.2"/>
  <cols>
    <col min="1" max="1" width="9.14453125" style="9"/>
    <col min="2" max="2" width="24.48046875" style="9" bestFit="1" customWidth="1"/>
    <col min="3" max="3" width="8.875" style="9" bestFit="1" customWidth="1"/>
    <col min="4" max="4" width="8.609375" style="9" bestFit="1" customWidth="1"/>
    <col min="5" max="5" width="9.14453125" style="9"/>
    <col min="6" max="6" width="13.85546875" style="9" bestFit="1" customWidth="1"/>
    <col min="7" max="7" width="8.875" style="9" bestFit="1" customWidth="1"/>
    <col min="8" max="8" width="8.203125" style="9" bestFit="1" customWidth="1"/>
    <col min="9" max="9" width="13.1796875" style="9" bestFit="1" customWidth="1"/>
    <col min="10" max="16384" width="9.14453125" style="9"/>
  </cols>
  <sheetData>
    <row r="1" spans="2:9" ht="15.75" thickBot="1" x14ac:dyDescent="0.25"/>
    <row r="2" spans="2:9" ht="15.75" thickBot="1" x14ac:dyDescent="0.25">
      <c r="B2" s="330" t="s">
        <v>169</v>
      </c>
      <c r="C2" s="269"/>
      <c r="D2" s="270"/>
      <c r="F2" s="307" t="s">
        <v>142</v>
      </c>
      <c r="G2" s="308"/>
      <c r="H2" s="308"/>
      <c r="I2" s="309"/>
    </row>
    <row r="3" spans="2:9" ht="15.75" thickBot="1" x14ac:dyDescent="0.25">
      <c r="B3" s="36"/>
      <c r="C3" s="37" t="s">
        <v>92</v>
      </c>
      <c r="D3" s="105" t="s">
        <v>96</v>
      </c>
      <c r="F3" s="220"/>
      <c r="G3" s="229" t="s">
        <v>92</v>
      </c>
      <c r="H3" s="222" t="s">
        <v>96</v>
      </c>
      <c r="I3" s="12" t="s">
        <v>171</v>
      </c>
    </row>
    <row r="4" spans="2:9" ht="28.5" thickBot="1" x14ac:dyDescent="0.25">
      <c r="B4" s="35" t="s">
        <v>19</v>
      </c>
      <c r="C4" s="109">
        <v>2</v>
      </c>
      <c r="D4" s="109">
        <f>105*12/16*C4*1.25</f>
        <v>196.875</v>
      </c>
      <c r="F4" s="211" t="s">
        <v>168</v>
      </c>
      <c r="G4" s="109">
        <v>0.6</v>
      </c>
      <c r="H4" s="218">
        <f>105*12/16*G4*1.25</f>
        <v>59.0625</v>
      </c>
      <c r="I4" s="108">
        <f>((C6*12*G4/16)*1.25)</f>
        <v>177.1875</v>
      </c>
    </row>
    <row r="6" spans="2:9" x14ac:dyDescent="0.2">
      <c r="B6" s="9" t="s">
        <v>20</v>
      </c>
      <c r="C6" s="78">
        <v>315</v>
      </c>
    </row>
    <row r="8" spans="2:9" x14ac:dyDescent="0.2">
      <c r="B8" s="9" t="s">
        <v>11</v>
      </c>
    </row>
    <row r="9" spans="2:9" x14ac:dyDescent="0.2">
      <c r="B9" s="9" t="s">
        <v>19</v>
      </c>
      <c r="C9" s="94">
        <f>((C6*12*C4/16)*1.25)</f>
        <v>590.625</v>
      </c>
      <c r="D9" s="9" t="s">
        <v>12</v>
      </c>
    </row>
    <row r="12" spans="2:9" x14ac:dyDescent="0.2">
      <c r="B12" s="154"/>
      <c r="C12" s="212"/>
      <c r="D12" s="167"/>
    </row>
  </sheetData>
  <sheetProtection sheet="1" objects="1" scenarios="1" selectLockedCells="1"/>
  <mergeCells count="2">
    <mergeCell ref="B2:D2"/>
    <mergeCell ref="F2:I2"/>
  </mergeCells>
  <pageMargins left="0" right="0" top="0" bottom="0" header="0" footer="0"/>
  <pageSetup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B8C4-7B2E-4C47-AB24-5E3BCDEB1FE4}">
  <dimension ref="B1:E6"/>
  <sheetViews>
    <sheetView workbookViewId="0">
      <selection activeCell="C6" sqref="C6"/>
    </sheetView>
  </sheetViews>
  <sheetFormatPr defaultColWidth="14.390625" defaultRowHeight="15" x14ac:dyDescent="0.2"/>
  <cols>
    <col min="1" max="1" width="3.765625" style="9" customWidth="1"/>
    <col min="2" max="2" width="18.6953125" style="9" bestFit="1" customWidth="1"/>
    <col min="3" max="3" width="8.875" style="9" bestFit="1" customWidth="1"/>
    <col min="4" max="4" width="8.203125" style="9" bestFit="1" customWidth="1"/>
    <col min="5" max="5" width="13.1796875" style="9" bestFit="1" customWidth="1"/>
    <col min="6" max="6" width="15.46875" style="9" customWidth="1"/>
    <col min="7" max="7" width="8.875" style="9" bestFit="1" customWidth="1"/>
    <col min="8" max="8" width="8.203125" style="9" bestFit="1" customWidth="1"/>
    <col min="9" max="26" width="9.14453125" style="9" customWidth="1"/>
    <col min="27" max="16384" width="14.390625" style="9"/>
  </cols>
  <sheetData>
    <row r="1" spans="2:5" ht="15.75" thickBot="1" x14ac:dyDescent="0.25"/>
    <row r="2" spans="2:5" ht="33.75" customHeight="1" thickBot="1" x14ac:dyDescent="0.25">
      <c r="B2" s="329" t="s">
        <v>176</v>
      </c>
      <c r="C2" s="331"/>
      <c r="D2" s="331"/>
      <c r="E2" s="332"/>
    </row>
    <row r="3" spans="2:5" ht="15.75" thickBot="1" x14ac:dyDescent="0.25">
      <c r="B3" s="220"/>
      <c r="C3" s="229" t="s">
        <v>92</v>
      </c>
      <c r="D3" s="222" t="s">
        <v>96</v>
      </c>
      <c r="E3" s="217" t="s">
        <v>171</v>
      </c>
    </row>
    <row r="4" spans="2:5" ht="28.5" thickBot="1" x14ac:dyDescent="0.25">
      <c r="B4" s="211" t="s">
        <v>168</v>
      </c>
      <c r="C4" s="109">
        <v>0.6</v>
      </c>
      <c r="D4" s="218">
        <f>105*12/16*C4*1.25</f>
        <v>59.0625</v>
      </c>
      <c r="E4" s="108">
        <f>((C6*12*C4/16)*1.25)</f>
        <v>118.125</v>
      </c>
    </row>
    <row r="6" spans="2:5" x14ac:dyDescent="0.2">
      <c r="B6" s="9" t="s">
        <v>20</v>
      </c>
      <c r="C6" s="78">
        <v>210</v>
      </c>
    </row>
  </sheetData>
  <sheetProtection sheet="1" objects="1" scenarios="1" selectLockedCells="1"/>
  <mergeCells count="1">
    <mergeCell ref="B2:E2"/>
  </mergeCells>
  <pageMargins left="0" right="0" top="0" bottom="0" header="0" footer="0"/>
  <pageSetup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A1001"/>
  <sheetViews>
    <sheetView workbookViewId="0">
      <selection activeCell="C13" sqref="C13"/>
    </sheetView>
  </sheetViews>
  <sheetFormatPr defaultColWidth="14.390625" defaultRowHeight="15" x14ac:dyDescent="0.2"/>
  <cols>
    <col min="1" max="1" width="9.14453125" style="56" customWidth="1"/>
    <col min="2" max="2" width="27.7109375" style="56" bestFit="1" customWidth="1"/>
    <col min="3" max="3" width="8.875" style="56" bestFit="1" customWidth="1"/>
    <col min="4" max="4" width="9.28125" style="56" bestFit="1" customWidth="1"/>
    <col min="5" max="5" width="10.76171875" style="56" bestFit="1" customWidth="1"/>
    <col min="6" max="6" width="9.14453125" style="56" customWidth="1"/>
    <col min="7" max="7" width="15.19921875" style="56" customWidth="1"/>
    <col min="8" max="9" width="9.14453125" style="56" customWidth="1"/>
    <col min="10" max="10" width="12.375" style="56" bestFit="1" customWidth="1"/>
    <col min="11" max="27" width="9.14453125" style="56" customWidth="1"/>
    <col min="28" max="16384" width="14.390625" style="56"/>
  </cols>
  <sheetData>
    <row r="1" spans="1:27" ht="15.75" thickBo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5.75" thickBot="1" x14ac:dyDescent="0.25">
      <c r="A2" s="18"/>
      <c r="B2" s="299" t="s">
        <v>74</v>
      </c>
      <c r="C2" s="300"/>
      <c r="D2" s="333"/>
      <c r="E2" s="30" t="s">
        <v>0</v>
      </c>
      <c r="F2" s="18"/>
      <c r="G2" s="284" t="s">
        <v>142</v>
      </c>
      <c r="H2" s="320"/>
      <c r="I2" s="320"/>
      <c r="J2" s="321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15.75" thickBot="1" x14ac:dyDescent="0.25">
      <c r="A3" s="18"/>
      <c r="B3" s="55"/>
      <c r="C3" s="55" t="s">
        <v>92</v>
      </c>
      <c r="D3" s="201" t="s">
        <v>132</v>
      </c>
      <c r="E3" s="274">
        <f>ROUNDUP(C12/D6,1)</f>
        <v>3</v>
      </c>
      <c r="F3" s="18"/>
      <c r="G3" s="36"/>
      <c r="H3" s="210" t="s">
        <v>92</v>
      </c>
      <c r="I3" s="105" t="s">
        <v>96</v>
      </c>
      <c r="J3" s="217" t="s">
        <v>170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28.5" thickBot="1" x14ac:dyDescent="0.25">
      <c r="A4" s="18"/>
      <c r="B4" s="208" t="s">
        <v>166</v>
      </c>
      <c r="C4" s="174">
        <v>0.2</v>
      </c>
      <c r="D4" s="174">
        <f>105*12*C4/16*1.15</f>
        <v>18.112499999999997</v>
      </c>
      <c r="E4" s="334"/>
      <c r="F4" s="18"/>
      <c r="G4" s="213" t="s">
        <v>168</v>
      </c>
      <c r="H4" s="215">
        <v>0.6</v>
      </c>
      <c r="I4" s="218">
        <f>105*12/16*H4*1.25</f>
        <v>59.0625</v>
      </c>
      <c r="J4" s="149">
        <f>((C10*12*H4/16)*1.25)</f>
        <v>177.1875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28.5" thickBot="1" x14ac:dyDescent="0.25">
      <c r="A5" s="18"/>
      <c r="B5" s="209" t="s">
        <v>167</v>
      </c>
      <c r="C5" s="183">
        <v>0.2</v>
      </c>
      <c r="D5" s="183">
        <f>105*12*C5/16*1.15</f>
        <v>18.112499999999997</v>
      </c>
      <c r="E5" s="334"/>
      <c r="F5" s="18"/>
      <c r="G5" s="214" t="s">
        <v>123</v>
      </c>
      <c r="H5" s="149">
        <v>0.75</v>
      </c>
      <c r="I5" s="219">
        <f>105*12/16*H5*1.15</f>
        <v>67.921875</v>
      </c>
      <c r="J5" s="149">
        <f>C10*12*H5/16*1.15</f>
        <v>203.76562499999997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15.75" thickBot="1" x14ac:dyDescent="0.25">
      <c r="A6" s="18"/>
      <c r="B6" s="69" t="s">
        <v>17</v>
      </c>
      <c r="C6" s="188">
        <f>SUM(C4:C5)</f>
        <v>0.4</v>
      </c>
      <c r="D6" s="188">
        <f>SUM(D4:D5)</f>
        <v>36.224999999999994</v>
      </c>
      <c r="E6" s="335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x14ac:dyDescent="0.2">
      <c r="A8" s="18"/>
      <c r="B8" s="258" t="s">
        <v>133</v>
      </c>
      <c r="C8" s="258"/>
      <c r="D8" s="94">
        <f>ROUNDDOWN(250/D6,2)</f>
        <v>6.9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x14ac:dyDescent="0.2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x14ac:dyDescent="0.2">
      <c r="A10" s="18"/>
      <c r="B10" s="18" t="s">
        <v>29</v>
      </c>
      <c r="C10" s="64">
        <v>315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7" x14ac:dyDescent="0.2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7" x14ac:dyDescent="0.2">
      <c r="A12" s="18"/>
      <c r="B12" s="18" t="s">
        <v>8</v>
      </c>
      <c r="C12" s="99">
        <f>((C10*12*C6/16)*1.15)-C13</f>
        <v>108.675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7" x14ac:dyDescent="0.2">
      <c r="A13" s="18"/>
      <c r="B13" s="18" t="s">
        <v>9</v>
      </c>
      <c r="C13" s="64">
        <v>0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7" x14ac:dyDescent="0.2">
      <c r="A14" s="18"/>
      <c r="B14" s="18" t="s">
        <v>10</v>
      </c>
      <c r="C14" s="99">
        <f>D6*E3</f>
        <v>108.67499999999998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7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7" x14ac:dyDescent="0.2">
      <c r="A16" s="18"/>
      <c r="B16" s="18" t="s">
        <v>11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7" ht="27.75" x14ac:dyDescent="0.2">
      <c r="A17" s="18"/>
      <c r="B17" s="154" t="s">
        <v>166</v>
      </c>
      <c r="C17" s="99">
        <f>E3*D4</f>
        <v>54.337499999999991</v>
      </c>
      <c r="D17" s="18" t="s">
        <v>12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7" ht="27.75" x14ac:dyDescent="0.2">
      <c r="A18" s="18"/>
      <c r="B18" s="154" t="s">
        <v>167</v>
      </c>
      <c r="C18" s="99">
        <f>E3*D5</f>
        <v>54.337499999999991</v>
      </c>
      <c r="D18" s="18" t="s">
        <v>12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7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x14ac:dyDescent="0.2">
      <c r="A20" s="18"/>
      <c r="B20" s="9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x14ac:dyDescent="0.2">
      <c r="A21" s="18"/>
      <c r="B21" s="154"/>
      <c r="C21" s="212"/>
      <c r="D21" s="167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x14ac:dyDescent="0.2">
      <c r="A22" s="18"/>
      <c r="B22" s="81"/>
      <c r="C22" s="99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x14ac:dyDescent="0.2">
      <c r="A23" s="18"/>
      <c r="B23" s="81"/>
      <c r="C23" s="99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 x14ac:dyDescent="0.2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 x14ac:dyDescent="0.2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 x14ac:dyDescent="0.2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 x14ac:dyDescent="0.2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x14ac:dyDescent="0.2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x14ac:dyDescent="0.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x14ac:dyDescent="0.2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 x14ac:dyDescent="0.2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x14ac:dyDescent="0.2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x14ac:dyDescent="0.2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x14ac:dyDescent="0.2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x14ac:dyDescent="0.2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x14ac:dyDescent="0.2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x14ac:dyDescent="0.2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x14ac:dyDescent="0.2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x14ac:dyDescent="0.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 x14ac:dyDescent="0.2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 x14ac:dyDescent="0.2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 x14ac:dyDescent="0.2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 x14ac:dyDescent="0.2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 x14ac:dyDescent="0.2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x14ac:dyDescent="0.2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 x14ac:dyDescent="0.2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 x14ac:dyDescent="0.2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 x14ac:dyDescent="0.2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x14ac:dyDescent="0.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x14ac:dyDescent="0.2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 x14ac:dyDescent="0.2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 x14ac:dyDescent="0.2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 x14ac:dyDescent="0.2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 x14ac:dyDescent="0.2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 x14ac:dyDescent="0.2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 x14ac:dyDescent="0.2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 x14ac:dyDescent="0.2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 x14ac:dyDescent="0.2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 x14ac:dyDescent="0.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 x14ac:dyDescent="0.2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 x14ac:dyDescent="0.2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 x14ac:dyDescent="0.2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 x14ac:dyDescent="0.2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 x14ac:dyDescent="0.2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 x14ac:dyDescent="0.2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x14ac:dyDescent="0.2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 x14ac:dyDescent="0.2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 x14ac:dyDescent="0.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x14ac:dyDescent="0.2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x14ac:dyDescent="0.2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x14ac:dyDescent="0.2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x14ac:dyDescent="0.2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x14ac:dyDescent="0.2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 x14ac:dyDescent="0.2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 x14ac:dyDescent="0.2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 x14ac:dyDescent="0.2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 x14ac:dyDescent="0.2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 x14ac:dyDescent="0.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 x14ac:dyDescent="0.2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 x14ac:dyDescent="0.2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 x14ac:dyDescent="0.2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 x14ac:dyDescent="0.2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 x14ac:dyDescent="0.2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 x14ac:dyDescent="0.2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 x14ac:dyDescent="0.2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 x14ac:dyDescent="0.2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 x14ac:dyDescent="0.2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 x14ac:dyDescent="0.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 x14ac:dyDescent="0.2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x14ac:dyDescent="0.2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 x14ac:dyDescent="0.2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 x14ac:dyDescent="0.2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 x14ac:dyDescent="0.2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x14ac:dyDescent="0.2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 x14ac:dyDescent="0.2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 x14ac:dyDescent="0.2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 x14ac:dyDescent="0.2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 x14ac:dyDescent="0.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x14ac:dyDescent="0.2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 x14ac:dyDescent="0.2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 x14ac:dyDescent="0.2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 x14ac:dyDescent="0.2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 x14ac:dyDescent="0.2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 x14ac:dyDescent="0.2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 x14ac:dyDescent="0.2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 x14ac:dyDescent="0.2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 x14ac:dyDescent="0.2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 x14ac:dyDescent="0.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 x14ac:dyDescent="0.2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 x14ac:dyDescent="0.2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 x14ac:dyDescent="0.2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 x14ac:dyDescent="0.2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 x14ac:dyDescent="0.2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 x14ac:dyDescent="0.2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 x14ac:dyDescent="0.2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 x14ac:dyDescent="0.2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 x14ac:dyDescent="0.2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 x14ac:dyDescent="0.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 x14ac:dyDescent="0.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 x14ac:dyDescent="0.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 x14ac:dyDescent="0.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 x14ac:dyDescent="0.2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 x14ac:dyDescent="0.2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 x14ac:dyDescent="0.2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 x14ac:dyDescent="0.2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x14ac:dyDescent="0.2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x14ac:dyDescent="0.2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 x14ac:dyDescent="0.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 x14ac:dyDescent="0.2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 x14ac:dyDescent="0.2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 x14ac:dyDescent="0.2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 x14ac:dyDescent="0.2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 x14ac:dyDescent="0.2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 x14ac:dyDescent="0.2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 x14ac:dyDescent="0.2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 x14ac:dyDescent="0.2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 x14ac:dyDescent="0.2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 x14ac:dyDescent="0.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 x14ac:dyDescent="0.2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 x14ac:dyDescent="0.2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 x14ac:dyDescent="0.2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 x14ac:dyDescent="0.2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 x14ac:dyDescent="0.2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 x14ac:dyDescent="0.2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 x14ac:dyDescent="0.2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 x14ac:dyDescent="0.2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 x14ac:dyDescent="0.2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 x14ac:dyDescent="0.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 x14ac:dyDescent="0.2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 x14ac:dyDescent="0.2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 x14ac:dyDescent="0.2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 x14ac:dyDescent="0.2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 x14ac:dyDescent="0.2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 x14ac:dyDescent="0.2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 x14ac:dyDescent="0.2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 x14ac:dyDescent="0.2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 x14ac:dyDescent="0.2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 x14ac:dyDescent="0.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 x14ac:dyDescent="0.2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 x14ac:dyDescent="0.2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 x14ac:dyDescent="0.2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 x14ac:dyDescent="0.2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 x14ac:dyDescent="0.2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 x14ac:dyDescent="0.2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 x14ac:dyDescent="0.2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 x14ac:dyDescent="0.2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 x14ac:dyDescent="0.2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 x14ac:dyDescent="0.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 x14ac:dyDescent="0.2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 x14ac:dyDescent="0.2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 x14ac:dyDescent="0.2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 x14ac:dyDescent="0.2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 x14ac:dyDescent="0.2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 x14ac:dyDescent="0.2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 x14ac:dyDescent="0.2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 x14ac:dyDescent="0.2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 x14ac:dyDescent="0.2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 x14ac:dyDescent="0.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 x14ac:dyDescent="0.2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 x14ac:dyDescent="0.2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 x14ac:dyDescent="0.2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 x14ac:dyDescent="0.2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 x14ac:dyDescent="0.2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 x14ac:dyDescent="0.2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 x14ac:dyDescent="0.2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 x14ac:dyDescent="0.2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 x14ac:dyDescent="0.2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 x14ac:dyDescent="0.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 x14ac:dyDescent="0.2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 x14ac:dyDescent="0.2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 x14ac:dyDescent="0.2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 x14ac:dyDescent="0.2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 x14ac:dyDescent="0.2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 x14ac:dyDescent="0.2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 x14ac:dyDescent="0.2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 x14ac:dyDescent="0.2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 x14ac:dyDescent="0.2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 x14ac:dyDescent="0.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 x14ac:dyDescent="0.2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 x14ac:dyDescent="0.2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 x14ac:dyDescent="0.2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 x14ac:dyDescent="0.2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 x14ac:dyDescent="0.2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 x14ac:dyDescent="0.2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 x14ac:dyDescent="0.2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 x14ac:dyDescent="0.2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 x14ac:dyDescent="0.2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 x14ac:dyDescent="0.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 x14ac:dyDescent="0.2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 x14ac:dyDescent="0.2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 x14ac:dyDescent="0.2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 x14ac:dyDescent="0.2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 x14ac:dyDescent="0.2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 x14ac:dyDescent="0.2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 x14ac:dyDescent="0.2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 x14ac:dyDescent="0.2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 x14ac:dyDescent="0.2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 x14ac:dyDescent="0.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 x14ac:dyDescent="0.2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 x14ac:dyDescent="0.2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 x14ac:dyDescent="0.2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 x14ac:dyDescent="0.2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 x14ac:dyDescent="0.2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 x14ac:dyDescent="0.2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 x14ac:dyDescent="0.2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 x14ac:dyDescent="0.2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 x14ac:dyDescent="0.2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 x14ac:dyDescent="0.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 x14ac:dyDescent="0.2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 x14ac:dyDescent="0.2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 x14ac:dyDescent="0.2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 x14ac:dyDescent="0.2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 x14ac:dyDescent="0.2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 x14ac:dyDescent="0.2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 x14ac:dyDescent="0.2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 x14ac:dyDescent="0.2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 x14ac:dyDescent="0.2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 x14ac:dyDescent="0.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 x14ac:dyDescent="0.2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 x14ac:dyDescent="0.2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 x14ac:dyDescent="0.2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 x14ac:dyDescent="0.2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 x14ac:dyDescent="0.2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 x14ac:dyDescent="0.2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 x14ac:dyDescent="0.2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 x14ac:dyDescent="0.2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 x14ac:dyDescent="0.2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 x14ac:dyDescent="0.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 x14ac:dyDescent="0.2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 x14ac:dyDescent="0.2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 x14ac:dyDescent="0.2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 x14ac:dyDescent="0.2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 x14ac:dyDescent="0.2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 x14ac:dyDescent="0.2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 x14ac:dyDescent="0.2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 x14ac:dyDescent="0.2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 x14ac:dyDescent="0.2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 x14ac:dyDescent="0.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 x14ac:dyDescent="0.2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 x14ac:dyDescent="0.2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 x14ac:dyDescent="0.2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 x14ac:dyDescent="0.2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 x14ac:dyDescent="0.2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 x14ac:dyDescent="0.2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 x14ac:dyDescent="0.2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 x14ac:dyDescent="0.2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 x14ac:dyDescent="0.2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 x14ac:dyDescent="0.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 x14ac:dyDescent="0.2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 x14ac:dyDescent="0.2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 x14ac:dyDescent="0.2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 x14ac:dyDescent="0.2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 x14ac:dyDescent="0.2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 x14ac:dyDescent="0.2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 x14ac:dyDescent="0.2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 x14ac:dyDescent="0.2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 x14ac:dyDescent="0.2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 x14ac:dyDescent="0.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 x14ac:dyDescent="0.2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 x14ac:dyDescent="0.2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 x14ac:dyDescent="0.2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 x14ac:dyDescent="0.2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 x14ac:dyDescent="0.2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 x14ac:dyDescent="0.2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 x14ac:dyDescent="0.2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 x14ac:dyDescent="0.2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 x14ac:dyDescent="0.2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 x14ac:dyDescent="0.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 x14ac:dyDescent="0.2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 x14ac:dyDescent="0.2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 x14ac:dyDescent="0.2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 x14ac:dyDescent="0.2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 x14ac:dyDescent="0.2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 x14ac:dyDescent="0.2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 x14ac:dyDescent="0.2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 x14ac:dyDescent="0.2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 x14ac:dyDescent="0.2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 x14ac:dyDescent="0.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 x14ac:dyDescent="0.2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 x14ac:dyDescent="0.2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 x14ac:dyDescent="0.2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 x14ac:dyDescent="0.2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 x14ac:dyDescent="0.2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 x14ac:dyDescent="0.2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 x14ac:dyDescent="0.2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 x14ac:dyDescent="0.2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 x14ac:dyDescent="0.2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 x14ac:dyDescent="0.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 x14ac:dyDescent="0.2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 x14ac:dyDescent="0.2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 x14ac:dyDescent="0.2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 x14ac:dyDescent="0.2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 x14ac:dyDescent="0.2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 x14ac:dyDescent="0.2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 x14ac:dyDescent="0.2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 x14ac:dyDescent="0.2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 x14ac:dyDescent="0.2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 x14ac:dyDescent="0.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 x14ac:dyDescent="0.2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 x14ac:dyDescent="0.2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 x14ac:dyDescent="0.2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 x14ac:dyDescent="0.2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 x14ac:dyDescent="0.2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 x14ac:dyDescent="0.2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 x14ac:dyDescent="0.2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 x14ac:dyDescent="0.2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 x14ac:dyDescent="0.2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 x14ac:dyDescent="0.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 x14ac:dyDescent="0.2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 x14ac:dyDescent="0.2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 x14ac:dyDescent="0.2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 x14ac:dyDescent="0.2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 x14ac:dyDescent="0.2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 x14ac:dyDescent="0.2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 x14ac:dyDescent="0.2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 x14ac:dyDescent="0.2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 x14ac:dyDescent="0.2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 x14ac:dyDescent="0.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 x14ac:dyDescent="0.2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 x14ac:dyDescent="0.2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 x14ac:dyDescent="0.2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 x14ac:dyDescent="0.2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 x14ac:dyDescent="0.2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 x14ac:dyDescent="0.2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 x14ac:dyDescent="0.2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 x14ac:dyDescent="0.2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 x14ac:dyDescent="0.2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 x14ac:dyDescent="0.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 x14ac:dyDescent="0.2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 x14ac:dyDescent="0.2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 x14ac:dyDescent="0.2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 x14ac:dyDescent="0.2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 x14ac:dyDescent="0.2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 x14ac:dyDescent="0.2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 x14ac:dyDescent="0.2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 x14ac:dyDescent="0.2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 x14ac:dyDescent="0.2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 x14ac:dyDescent="0.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 x14ac:dyDescent="0.2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 x14ac:dyDescent="0.2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 x14ac:dyDescent="0.2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 x14ac:dyDescent="0.2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 x14ac:dyDescent="0.2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 x14ac:dyDescent="0.2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 x14ac:dyDescent="0.2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 x14ac:dyDescent="0.2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 x14ac:dyDescent="0.2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 x14ac:dyDescent="0.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 x14ac:dyDescent="0.2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 x14ac:dyDescent="0.2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 x14ac:dyDescent="0.2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 x14ac:dyDescent="0.2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 x14ac:dyDescent="0.2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 x14ac:dyDescent="0.2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 x14ac:dyDescent="0.2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 x14ac:dyDescent="0.2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 x14ac:dyDescent="0.2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 x14ac:dyDescent="0.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 x14ac:dyDescent="0.2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 x14ac:dyDescent="0.2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 x14ac:dyDescent="0.2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 x14ac:dyDescent="0.2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 x14ac:dyDescent="0.2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 x14ac:dyDescent="0.2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 x14ac:dyDescent="0.2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 x14ac:dyDescent="0.2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 x14ac:dyDescent="0.2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 x14ac:dyDescent="0.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 x14ac:dyDescent="0.2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 x14ac:dyDescent="0.2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 x14ac:dyDescent="0.2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 x14ac:dyDescent="0.2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 x14ac:dyDescent="0.2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 x14ac:dyDescent="0.2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 x14ac:dyDescent="0.2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 x14ac:dyDescent="0.2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 x14ac:dyDescent="0.2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 x14ac:dyDescent="0.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 x14ac:dyDescent="0.2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 x14ac:dyDescent="0.2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 x14ac:dyDescent="0.2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 x14ac:dyDescent="0.2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 x14ac:dyDescent="0.2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 x14ac:dyDescent="0.2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 x14ac:dyDescent="0.2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 x14ac:dyDescent="0.2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 x14ac:dyDescent="0.2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 x14ac:dyDescent="0.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 x14ac:dyDescent="0.2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 x14ac:dyDescent="0.2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 x14ac:dyDescent="0.2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 x14ac:dyDescent="0.2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 x14ac:dyDescent="0.2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 x14ac:dyDescent="0.2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 x14ac:dyDescent="0.2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 x14ac:dyDescent="0.2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 x14ac:dyDescent="0.2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 x14ac:dyDescent="0.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 x14ac:dyDescent="0.2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 x14ac:dyDescent="0.2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 x14ac:dyDescent="0.2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 x14ac:dyDescent="0.2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 x14ac:dyDescent="0.2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 x14ac:dyDescent="0.2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 x14ac:dyDescent="0.2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 x14ac:dyDescent="0.2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 x14ac:dyDescent="0.2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 x14ac:dyDescent="0.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 x14ac:dyDescent="0.2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 x14ac:dyDescent="0.2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 x14ac:dyDescent="0.2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 x14ac:dyDescent="0.2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 x14ac:dyDescent="0.2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 x14ac:dyDescent="0.2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 x14ac:dyDescent="0.2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 x14ac:dyDescent="0.2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 x14ac:dyDescent="0.2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 x14ac:dyDescent="0.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 x14ac:dyDescent="0.2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 x14ac:dyDescent="0.2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 x14ac:dyDescent="0.2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 x14ac:dyDescent="0.2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 x14ac:dyDescent="0.2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 x14ac:dyDescent="0.2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 x14ac:dyDescent="0.2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 x14ac:dyDescent="0.2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 x14ac:dyDescent="0.2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 x14ac:dyDescent="0.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 x14ac:dyDescent="0.2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 x14ac:dyDescent="0.2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 x14ac:dyDescent="0.2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 x14ac:dyDescent="0.2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 x14ac:dyDescent="0.2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 x14ac:dyDescent="0.2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 x14ac:dyDescent="0.2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 x14ac:dyDescent="0.2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 x14ac:dyDescent="0.2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 x14ac:dyDescent="0.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 x14ac:dyDescent="0.2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 x14ac:dyDescent="0.2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 x14ac:dyDescent="0.2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 x14ac:dyDescent="0.2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 x14ac:dyDescent="0.2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 x14ac:dyDescent="0.2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 x14ac:dyDescent="0.2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 x14ac:dyDescent="0.2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 x14ac:dyDescent="0.2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 x14ac:dyDescent="0.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 x14ac:dyDescent="0.2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 x14ac:dyDescent="0.2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 x14ac:dyDescent="0.2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 x14ac:dyDescent="0.2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 x14ac:dyDescent="0.2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 x14ac:dyDescent="0.2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 x14ac:dyDescent="0.2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 x14ac:dyDescent="0.2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 x14ac:dyDescent="0.2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 x14ac:dyDescent="0.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 x14ac:dyDescent="0.2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 x14ac:dyDescent="0.2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 x14ac:dyDescent="0.2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 x14ac:dyDescent="0.2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 x14ac:dyDescent="0.2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 x14ac:dyDescent="0.2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 x14ac:dyDescent="0.2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 x14ac:dyDescent="0.2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 x14ac:dyDescent="0.2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 x14ac:dyDescent="0.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 x14ac:dyDescent="0.2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 x14ac:dyDescent="0.2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 x14ac:dyDescent="0.2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 x14ac:dyDescent="0.2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 x14ac:dyDescent="0.2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 x14ac:dyDescent="0.2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 x14ac:dyDescent="0.2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 x14ac:dyDescent="0.2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 x14ac:dyDescent="0.2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 x14ac:dyDescent="0.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 x14ac:dyDescent="0.2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 x14ac:dyDescent="0.2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 x14ac:dyDescent="0.2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 x14ac:dyDescent="0.2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 x14ac:dyDescent="0.2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 x14ac:dyDescent="0.2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 x14ac:dyDescent="0.2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 x14ac:dyDescent="0.2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 x14ac:dyDescent="0.2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 x14ac:dyDescent="0.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 x14ac:dyDescent="0.2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 x14ac:dyDescent="0.2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 x14ac:dyDescent="0.2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 x14ac:dyDescent="0.2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 x14ac:dyDescent="0.2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 x14ac:dyDescent="0.2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 x14ac:dyDescent="0.2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 x14ac:dyDescent="0.2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 x14ac:dyDescent="0.2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 x14ac:dyDescent="0.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 x14ac:dyDescent="0.2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 x14ac:dyDescent="0.2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 x14ac:dyDescent="0.2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 x14ac:dyDescent="0.2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 x14ac:dyDescent="0.2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 x14ac:dyDescent="0.2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 x14ac:dyDescent="0.2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 x14ac:dyDescent="0.2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 x14ac:dyDescent="0.2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 x14ac:dyDescent="0.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 x14ac:dyDescent="0.2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 x14ac:dyDescent="0.2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 x14ac:dyDescent="0.2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 x14ac:dyDescent="0.2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 x14ac:dyDescent="0.2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 x14ac:dyDescent="0.2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 x14ac:dyDescent="0.2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 x14ac:dyDescent="0.2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 x14ac:dyDescent="0.2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 x14ac:dyDescent="0.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 x14ac:dyDescent="0.2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 x14ac:dyDescent="0.2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 x14ac:dyDescent="0.2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 x14ac:dyDescent="0.2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 x14ac:dyDescent="0.2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 x14ac:dyDescent="0.2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 x14ac:dyDescent="0.2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 x14ac:dyDescent="0.2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 x14ac:dyDescent="0.2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 x14ac:dyDescent="0.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 x14ac:dyDescent="0.2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 x14ac:dyDescent="0.2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 x14ac:dyDescent="0.2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 x14ac:dyDescent="0.2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 x14ac:dyDescent="0.2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 x14ac:dyDescent="0.2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 x14ac:dyDescent="0.2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 x14ac:dyDescent="0.2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 x14ac:dyDescent="0.2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 x14ac:dyDescent="0.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 x14ac:dyDescent="0.2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 x14ac:dyDescent="0.2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 x14ac:dyDescent="0.2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 x14ac:dyDescent="0.2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 x14ac:dyDescent="0.2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 x14ac:dyDescent="0.2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 x14ac:dyDescent="0.2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 x14ac:dyDescent="0.2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 x14ac:dyDescent="0.2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 x14ac:dyDescent="0.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 x14ac:dyDescent="0.2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 x14ac:dyDescent="0.2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 x14ac:dyDescent="0.2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 x14ac:dyDescent="0.2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 x14ac:dyDescent="0.2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 x14ac:dyDescent="0.2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 x14ac:dyDescent="0.2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 x14ac:dyDescent="0.2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 x14ac:dyDescent="0.2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 x14ac:dyDescent="0.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 x14ac:dyDescent="0.2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 x14ac:dyDescent="0.2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 x14ac:dyDescent="0.2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 x14ac:dyDescent="0.2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 x14ac:dyDescent="0.2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 x14ac:dyDescent="0.2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 x14ac:dyDescent="0.2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 x14ac:dyDescent="0.2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 x14ac:dyDescent="0.2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 x14ac:dyDescent="0.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 x14ac:dyDescent="0.2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 x14ac:dyDescent="0.2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 x14ac:dyDescent="0.2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 x14ac:dyDescent="0.2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 x14ac:dyDescent="0.2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 x14ac:dyDescent="0.2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 x14ac:dyDescent="0.2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 x14ac:dyDescent="0.2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 x14ac:dyDescent="0.2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 x14ac:dyDescent="0.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 x14ac:dyDescent="0.2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 x14ac:dyDescent="0.2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 x14ac:dyDescent="0.2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 x14ac:dyDescent="0.2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 x14ac:dyDescent="0.2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 x14ac:dyDescent="0.2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 x14ac:dyDescent="0.2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 x14ac:dyDescent="0.2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 x14ac:dyDescent="0.2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 x14ac:dyDescent="0.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 x14ac:dyDescent="0.2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 x14ac:dyDescent="0.2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 x14ac:dyDescent="0.2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 x14ac:dyDescent="0.2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 x14ac:dyDescent="0.2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 x14ac:dyDescent="0.2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 x14ac:dyDescent="0.2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 x14ac:dyDescent="0.2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 x14ac:dyDescent="0.2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 x14ac:dyDescent="0.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 x14ac:dyDescent="0.2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 x14ac:dyDescent="0.2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 x14ac:dyDescent="0.2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 x14ac:dyDescent="0.2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 x14ac:dyDescent="0.2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 x14ac:dyDescent="0.2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 x14ac:dyDescent="0.2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 x14ac:dyDescent="0.2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 x14ac:dyDescent="0.2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 x14ac:dyDescent="0.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 x14ac:dyDescent="0.2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 x14ac:dyDescent="0.2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 x14ac:dyDescent="0.2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 x14ac:dyDescent="0.2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 x14ac:dyDescent="0.2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 x14ac:dyDescent="0.2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 x14ac:dyDescent="0.2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 x14ac:dyDescent="0.2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 x14ac:dyDescent="0.2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 x14ac:dyDescent="0.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 x14ac:dyDescent="0.2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 x14ac:dyDescent="0.2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 x14ac:dyDescent="0.2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 x14ac:dyDescent="0.2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 x14ac:dyDescent="0.2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 x14ac:dyDescent="0.2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 x14ac:dyDescent="0.2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 x14ac:dyDescent="0.2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 x14ac:dyDescent="0.2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 x14ac:dyDescent="0.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 x14ac:dyDescent="0.2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 x14ac:dyDescent="0.2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 x14ac:dyDescent="0.2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 x14ac:dyDescent="0.2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 x14ac:dyDescent="0.2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 x14ac:dyDescent="0.2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 x14ac:dyDescent="0.2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 x14ac:dyDescent="0.2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 x14ac:dyDescent="0.2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 x14ac:dyDescent="0.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 x14ac:dyDescent="0.2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 x14ac:dyDescent="0.2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 x14ac:dyDescent="0.2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 x14ac:dyDescent="0.2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 x14ac:dyDescent="0.2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 x14ac:dyDescent="0.2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 x14ac:dyDescent="0.2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 x14ac:dyDescent="0.2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 x14ac:dyDescent="0.2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 x14ac:dyDescent="0.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 x14ac:dyDescent="0.2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 x14ac:dyDescent="0.2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 x14ac:dyDescent="0.2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 x14ac:dyDescent="0.2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 x14ac:dyDescent="0.2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 x14ac:dyDescent="0.2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 x14ac:dyDescent="0.2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 x14ac:dyDescent="0.2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 x14ac:dyDescent="0.2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 x14ac:dyDescent="0.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 x14ac:dyDescent="0.2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 x14ac:dyDescent="0.2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 x14ac:dyDescent="0.2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 x14ac:dyDescent="0.2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 x14ac:dyDescent="0.2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 x14ac:dyDescent="0.2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 x14ac:dyDescent="0.2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 x14ac:dyDescent="0.2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 x14ac:dyDescent="0.2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 x14ac:dyDescent="0.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 x14ac:dyDescent="0.2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 x14ac:dyDescent="0.2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 x14ac:dyDescent="0.2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 x14ac:dyDescent="0.2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 x14ac:dyDescent="0.2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 x14ac:dyDescent="0.2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 x14ac:dyDescent="0.2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 x14ac:dyDescent="0.2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 x14ac:dyDescent="0.2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 x14ac:dyDescent="0.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 x14ac:dyDescent="0.2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 x14ac:dyDescent="0.2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 x14ac:dyDescent="0.2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 x14ac:dyDescent="0.2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 x14ac:dyDescent="0.2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 x14ac:dyDescent="0.2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 x14ac:dyDescent="0.2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 x14ac:dyDescent="0.2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 x14ac:dyDescent="0.2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 x14ac:dyDescent="0.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 x14ac:dyDescent="0.2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 x14ac:dyDescent="0.2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 x14ac:dyDescent="0.2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 x14ac:dyDescent="0.2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 x14ac:dyDescent="0.2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 x14ac:dyDescent="0.2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 x14ac:dyDescent="0.2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 x14ac:dyDescent="0.2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 x14ac:dyDescent="0.2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 x14ac:dyDescent="0.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 x14ac:dyDescent="0.2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 x14ac:dyDescent="0.2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 x14ac:dyDescent="0.2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 x14ac:dyDescent="0.2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 x14ac:dyDescent="0.2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 x14ac:dyDescent="0.2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 x14ac:dyDescent="0.2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 x14ac:dyDescent="0.2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 x14ac:dyDescent="0.2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 x14ac:dyDescent="0.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 x14ac:dyDescent="0.2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 x14ac:dyDescent="0.2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 x14ac:dyDescent="0.2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 x14ac:dyDescent="0.2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 x14ac:dyDescent="0.2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 x14ac:dyDescent="0.2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 x14ac:dyDescent="0.2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 x14ac:dyDescent="0.2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 x14ac:dyDescent="0.2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 x14ac:dyDescent="0.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 x14ac:dyDescent="0.2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 x14ac:dyDescent="0.2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 x14ac:dyDescent="0.2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 x14ac:dyDescent="0.2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 x14ac:dyDescent="0.2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 x14ac:dyDescent="0.2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 x14ac:dyDescent="0.2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 x14ac:dyDescent="0.2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 x14ac:dyDescent="0.2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 x14ac:dyDescent="0.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 x14ac:dyDescent="0.2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 x14ac:dyDescent="0.2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 x14ac:dyDescent="0.2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 x14ac:dyDescent="0.2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 x14ac:dyDescent="0.2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 x14ac:dyDescent="0.2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 x14ac:dyDescent="0.2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 x14ac:dyDescent="0.2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 x14ac:dyDescent="0.2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 x14ac:dyDescent="0.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 x14ac:dyDescent="0.2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 x14ac:dyDescent="0.2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 x14ac:dyDescent="0.2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 x14ac:dyDescent="0.2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 x14ac:dyDescent="0.2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 x14ac:dyDescent="0.2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 x14ac:dyDescent="0.2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 x14ac:dyDescent="0.2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 x14ac:dyDescent="0.2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 x14ac:dyDescent="0.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 x14ac:dyDescent="0.2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 x14ac:dyDescent="0.2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 x14ac:dyDescent="0.2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 x14ac:dyDescent="0.2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 x14ac:dyDescent="0.2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 x14ac:dyDescent="0.2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 x14ac:dyDescent="0.2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 x14ac:dyDescent="0.2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 x14ac:dyDescent="0.2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 x14ac:dyDescent="0.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 x14ac:dyDescent="0.2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 x14ac:dyDescent="0.2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 x14ac:dyDescent="0.2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 x14ac:dyDescent="0.2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 x14ac:dyDescent="0.2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 x14ac:dyDescent="0.2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 x14ac:dyDescent="0.2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 x14ac:dyDescent="0.2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 x14ac:dyDescent="0.2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 x14ac:dyDescent="0.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 x14ac:dyDescent="0.2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 x14ac:dyDescent="0.2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 x14ac:dyDescent="0.2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 x14ac:dyDescent="0.2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 x14ac:dyDescent="0.2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 x14ac:dyDescent="0.2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 x14ac:dyDescent="0.2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 x14ac:dyDescent="0.2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 x14ac:dyDescent="0.2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 x14ac:dyDescent="0.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 x14ac:dyDescent="0.2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 x14ac:dyDescent="0.2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 x14ac:dyDescent="0.2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 x14ac:dyDescent="0.2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1:27" x14ac:dyDescent="0.2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1:27" x14ac:dyDescent="0.2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1:27" x14ac:dyDescent="0.2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1:27" x14ac:dyDescent="0.2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1:27" x14ac:dyDescent="0.2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1:27" x14ac:dyDescent="0.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1:27" x14ac:dyDescent="0.2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1:27" x14ac:dyDescent="0.2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1:27" x14ac:dyDescent="0.2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1:27" x14ac:dyDescent="0.2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1:27" x14ac:dyDescent="0.2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1:27" x14ac:dyDescent="0.2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1:27" x14ac:dyDescent="0.2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1:27" x14ac:dyDescent="0.2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1:27" x14ac:dyDescent="0.2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1:27" x14ac:dyDescent="0.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1:27" x14ac:dyDescent="0.2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1:27" x14ac:dyDescent="0.2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1:27" x14ac:dyDescent="0.2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1:27" x14ac:dyDescent="0.2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1:27" x14ac:dyDescent="0.2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1:27" x14ac:dyDescent="0.2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1:27" x14ac:dyDescent="0.2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1:27" x14ac:dyDescent="0.2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1:27" x14ac:dyDescent="0.2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 x14ac:dyDescent="0.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1:27" x14ac:dyDescent="0.2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1:27" x14ac:dyDescent="0.2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1:27" x14ac:dyDescent="0.2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1:27" x14ac:dyDescent="0.2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1:27" x14ac:dyDescent="0.2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1:27" x14ac:dyDescent="0.2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1:27" x14ac:dyDescent="0.2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1:27" x14ac:dyDescent="0.2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1:27" x14ac:dyDescent="0.2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1:27" x14ac:dyDescent="0.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1:27" x14ac:dyDescent="0.2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 x14ac:dyDescent="0.2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1:27" x14ac:dyDescent="0.2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1:27" x14ac:dyDescent="0.2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1:27" x14ac:dyDescent="0.2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1:27" x14ac:dyDescent="0.2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1:27" x14ac:dyDescent="0.2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1:27" x14ac:dyDescent="0.2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1:27" x14ac:dyDescent="0.2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1:27" x14ac:dyDescent="0.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 x14ac:dyDescent="0.2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1:27" x14ac:dyDescent="0.2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1:27" x14ac:dyDescent="0.2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1:27" x14ac:dyDescent="0.2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1:27" x14ac:dyDescent="0.2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1:27" x14ac:dyDescent="0.2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1:27" x14ac:dyDescent="0.2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1:27" x14ac:dyDescent="0.2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1:27" x14ac:dyDescent="0.2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1:27" x14ac:dyDescent="0.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1:27" x14ac:dyDescent="0.2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 x14ac:dyDescent="0.2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1:27" x14ac:dyDescent="0.2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1:27" x14ac:dyDescent="0.2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1:27" x14ac:dyDescent="0.2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1:27" x14ac:dyDescent="0.2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1:27" x14ac:dyDescent="0.2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1:27" x14ac:dyDescent="0.2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1:27" x14ac:dyDescent="0.2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1:27" x14ac:dyDescent="0.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1:27" x14ac:dyDescent="0.2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1:27" x14ac:dyDescent="0.2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1:27" x14ac:dyDescent="0.2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 x14ac:dyDescent="0.2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1:27" x14ac:dyDescent="0.2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1:27" x14ac:dyDescent="0.2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1:27" x14ac:dyDescent="0.2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1:27" x14ac:dyDescent="0.2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1:27" x14ac:dyDescent="0.2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1:27" x14ac:dyDescent="0.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1:27" x14ac:dyDescent="0.2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1:27" x14ac:dyDescent="0.2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1:27" x14ac:dyDescent="0.2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1:27" x14ac:dyDescent="0.2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1:27" x14ac:dyDescent="0.2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1:27" x14ac:dyDescent="0.2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1:27" x14ac:dyDescent="0.2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1:27" x14ac:dyDescent="0.2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1:27" x14ac:dyDescent="0.2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 x14ac:dyDescent="0.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1:27" x14ac:dyDescent="0.2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1:27" x14ac:dyDescent="0.2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1:27" x14ac:dyDescent="0.2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1:27" x14ac:dyDescent="0.2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1:27" x14ac:dyDescent="0.2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1:27" x14ac:dyDescent="0.2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 x14ac:dyDescent="0.2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1:27" x14ac:dyDescent="0.2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1:27" x14ac:dyDescent="0.2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 x14ac:dyDescent="0.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1:27" x14ac:dyDescent="0.2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1:27" x14ac:dyDescent="0.2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1:27" x14ac:dyDescent="0.2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1:27" x14ac:dyDescent="0.2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1:27" x14ac:dyDescent="0.2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spans="1:27" x14ac:dyDescent="0.2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1:27" x14ac:dyDescent="0.2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spans="1:27" x14ac:dyDescent="0.2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spans="1:27" x14ac:dyDescent="0.2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spans="1:27" x14ac:dyDescent="0.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spans="1:27" x14ac:dyDescent="0.2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 spans="1:27" x14ac:dyDescent="0.2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 spans="1:27" x14ac:dyDescent="0.2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 spans="1:27" x14ac:dyDescent="0.2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 spans="1:27" x14ac:dyDescent="0.2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 spans="1:27" x14ac:dyDescent="0.2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 spans="1:27" x14ac:dyDescent="0.2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 spans="1:27" x14ac:dyDescent="0.2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 spans="1:27" x14ac:dyDescent="0.2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 spans="1:27" x14ac:dyDescent="0.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 spans="1:27" x14ac:dyDescent="0.2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 spans="1:27" x14ac:dyDescent="0.2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 spans="1:27" x14ac:dyDescent="0.2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 spans="1:27" x14ac:dyDescent="0.2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 spans="1:27" x14ac:dyDescent="0.2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 spans="1:27" x14ac:dyDescent="0.2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  <row r="999" spans="1:27" x14ac:dyDescent="0.2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</row>
    <row r="1000" spans="1:27" x14ac:dyDescent="0.2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</row>
    <row r="1001" spans="1:27" x14ac:dyDescent="0.2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</row>
  </sheetData>
  <sheetProtection sheet="1" objects="1" scenarios="1" selectLockedCells="1"/>
  <mergeCells count="4">
    <mergeCell ref="B2:D2"/>
    <mergeCell ref="E3:E6"/>
    <mergeCell ref="B8:C8"/>
    <mergeCell ref="G2:J2"/>
  </mergeCells>
  <pageMargins left="0" right="0" top="0" bottom="0" header="0" footer="0"/>
  <pageSetup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D9"/>
  <sheetViews>
    <sheetView workbookViewId="0">
      <selection activeCell="C6" sqref="C6"/>
    </sheetView>
  </sheetViews>
  <sheetFormatPr defaultColWidth="14.390625" defaultRowHeight="15" x14ac:dyDescent="0.2"/>
  <cols>
    <col min="1" max="1" width="3.765625" style="9" customWidth="1"/>
    <col min="2" max="2" width="27.7109375" style="9" bestFit="1" customWidth="1"/>
    <col min="3" max="3" width="8.875" style="9" bestFit="1" customWidth="1"/>
    <col min="4" max="4" width="17.21875" style="9" bestFit="1" customWidth="1"/>
    <col min="5" max="26" width="9.14453125" style="9" customWidth="1"/>
    <col min="27" max="16384" width="14.390625" style="9"/>
  </cols>
  <sheetData>
    <row r="1" spans="2:4" ht="15.75" thickBot="1" x14ac:dyDescent="0.25"/>
    <row r="2" spans="2:4" ht="15.75" thickBot="1" x14ac:dyDescent="0.25">
      <c r="B2" s="336" t="s">
        <v>181</v>
      </c>
      <c r="C2" s="269"/>
      <c r="D2" s="270"/>
    </row>
    <row r="3" spans="2:4" ht="15.75" thickBot="1" x14ac:dyDescent="0.25">
      <c r="B3" s="36"/>
      <c r="C3" s="37" t="s">
        <v>92</v>
      </c>
      <c r="D3" s="105" t="s">
        <v>96</v>
      </c>
    </row>
    <row r="4" spans="2:4" ht="15.75" thickBot="1" x14ac:dyDescent="0.25">
      <c r="B4" s="35" t="s">
        <v>19</v>
      </c>
      <c r="C4" s="109">
        <v>0.98</v>
      </c>
      <c r="D4" s="109">
        <f>54*12/16*C4*1.25</f>
        <v>49.612499999999997</v>
      </c>
    </row>
    <row r="6" spans="2:4" x14ac:dyDescent="0.2">
      <c r="B6" s="9" t="s">
        <v>20</v>
      </c>
      <c r="C6" s="78">
        <v>54</v>
      </c>
    </row>
    <row r="8" spans="2:4" x14ac:dyDescent="0.2">
      <c r="B8" s="9" t="s">
        <v>11</v>
      </c>
    </row>
    <row r="9" spans="2:4" x14ac:dyDescent="0.2">
      <c r="B9" s="9" t="s">
        <v>19</v>
      </c>
      <c r="C9" s="94">
        <f>((C6*12*C4/16)*1.25)</f>
        <v>49.612499999999997</v>
      </c>
      <c r="D9" s="9" t="s">
        <v>12</v>
      </c>
    </row>
  </sheetData>
  <sheetProtection sheet="1" objects="1" scenarios="1" selectLockedCells="1"/>
  <mergeCells count="1">
    <mergeCell ref="B2:D2"/>
  </mergeCells>
  <pageMargins left="0" right="0" top="0" bottom="0" header="0" footer="0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E18"/>
  <sheetViews>
    <sheetView workbookViewId="0">
      <selection activeCell="C13" sqref="C13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299" t="s">
        <v>75</v>
      </c>
      <c r="C2" s="300"/>
      <c r="D2" s="301"/>
      <c r="E2" s="38" t="s">
        <v>0</v>
      </c>
    </row>
    <row r="3" spans="2:5" ht="15.75" thickBot="1" x14ac:dyDescent="0.25">
      <c r="B3" s="43"/>
      <c r="C3" s="57" t="s">
        <v>92</v>
      </c>
      <c r="D3" s="217" t="s">
        <v>132</v>
      </c>
      <c r="E3" s="274">
        <f>ROUNDUP(C12/D6,1)</f>
        <v>1</v>
      </c>
    </row>
    <row r="4" spans="2:5" x14ac:dyDescent="0.2">
      <c r="B4" s="245" t="s">
        <v>182</v>
      </c>
      <c r="C4" s="168">
        <v>1.25</v>
      </c>
      <c r="D4" s="168">
        <f>54*12*C4/16*1.15</f>
        <v>58.218749999999993</v>
      </c>
      <c r="E4" s="275"/>
    </row>
    <row r="5" spans="2:5" ht="42" thickBot="1" x14ac:dyDescent="0.25">
      <c r="B5" s="246" t="s">
        <v>178</v>
      </c>
      <c r="C5" s="170">
        <v>0.5</v>
      </c>
      <c r="D5" s="170">
        <f>54*12*C5/16*1.15</f>
        <v>23.287499999999998</v>
      </c>
      <c r="E5" s="275"/>
    </row>
    <row r="6" spans="2:5" ht="15.75" thickBot="1" x14ac:dyDescent="0.25">
      <c r="B6" s="19" t="s">
        <v>17</v>
      </c>
      <c r="C6" s="171">
        <f>SUM(C4:C5)</f>
        <v>1.75</v>
      </c>
      <c r="D6" s="171">
        <f>SUM(D4:D5)</f>
        <v>81.506249999999994</v>
      </c>
      <c r="E6" s="276"/>
    </row>
    <row r="8" spans="2:5" x14ac:dyDescent="0.2">
      <c r="B8" s="258" t="s">
        <v>133</v>
      </c>
      <c r="C8" s="258"/>
      <c r="D8" s="94">
        <f>ROUNDDOWN(250/D6,2)</f>
        <v>3.06</v>
      </c>
    </row>
    <row r="10" spans="2:5" x14ac:dyDescent="0.2">
      <c r="B10" s="18" t="s">
        <v>29</v>
      </c>
      <c r="C10" s="64">
        <v>54</v>
      </c>
    </row>
    <row r="12" spans="2:5" x14ac:dyDescent="0.2">
      <c r="B12" s="18" t="s">
        <v>8</v>
      </c>
      <c r="C12" s="99">
        <f>((C10*12*C6/16)*1.15)-C13</f>
        <v>81.506249999999994</v>
      </c>
    </row>
    <row r="13" spans="2:5" x14ac:dyDescent="0.2">
      <c r="B13" s="18" t="s">
        <v>9</v>
      </c>
      <c r="C13" s="64">
        <v>0</v>
      </c>
    </row>
    <row r="14" spans="2:5" x14ac:dyDescent="0.2">
      <c r="B14" s="18" t="s">
        <v>10</v>
      </c>
      <c r="C14" s="99">
        <f>E3*D6</f>
        <v>81.506249999999994</v>
      </c>
    </row>
    <row r="16" spans="2:5" x14ac:dyDescent="0.2">
      <c r="B16" s="18" t="s">
        <v>11</v>
      </c>
    </row>
    <row r="17" spans="2:4" x14ac:dyDescent="0.2">
      <c r="B17" s="216" t="s">
        <v>182</v>
      </c>
      <c r="C17" s="99">
        <f>D4*E3</f>
        <v>58.218749999999993</v>
      </c>
      <c r="D17" s="18" t="s">
        <v>12</v>
      </c>
    </row>
    <row r="18" spans="2:4" ht="41.25" x14ac:dyDescent="0.2">
      <c r="B18" s="239" t="s">
        <v>178</v>
      </c>
      <c r="C18" s="99">
        <f>D5*E3</f>
        <v>23.287499999999998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J22"/>
  <sheetViews>
    <sheetView workbookViewId="0">
      <selection activeCell="C11" sqref="C11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1.1640625" style="18" bestFit="1" customWidth="1"/>
    <col min="6" max="6" width="9.14453125" style="18" customWidth="1"/>
    <col min="7" max="7" width="13.046875" style="18" customWidth="1"/>
    <col min="8" max="8" width="8.875" style="18" bestFit="1" customWidth="1"/>
    <col min="9" max="9" width="9.28125" style="18" bestFit="1" customWidth="1"/>
    <col min="10" max="10" width="13.1796875" style="18" bestFit="1" customWidth="1"/>
    <col min="11" max="27" width="9.14453125" style="18" customWidth="1"/>
    <col min="28" max="16384" width="14.390625" style="18"/>
  </cols>
  <sheetData>
    <row r="1" spans="2:10" ht="15.75" thickBot="1" x14ac:dyDescent="0.25"/>
    <row r="2" spans="2:10" ht="15.75" thickBot="1" x14ac:dyDescent="0.25">
      <c r="B2" s="299" t="s">
        <v>76</v>
      </c>
      <c r="C2" s="300"/>
      <c r="D2" s="301"/>
      <c r="E2" s="47" t="s">
        <v>30</v>
      </c>
      <c r="G2" s="284" t="s">
        <v>184</v>
      </c>
      <c r="H2" s="320"/>
      <c r="I2" s="320"/>
      <c r="J2" s="321"/>
    </row>
    <row r="3" spans="2:10" ht="15.75" thickBot="1" x14ac:dyDescent="0.25">
      <c r="B3" s="21"/>
      <c r="C3" s="22" t="s">
        <v>92</v>
      </c>
      <c r="D3" s="234" t="s">
        <v>132</v>
      </c>
      <c r="E3" s="274">
        <f>ROUNDUP(C13/D7,1)</f>
        <v>1</v>
      </c>
      <c r="G3" s="21"/>
      <c r="H3" s="22" t="s">
        <v>92</v>
      </c>
      <c r="I3" s="234" t="s">
        <v>132</v>
      </c>
      <c r="J3" s="217" t="s">
        <v>171</v>
      </c>
    </row>
    <row r="4" spans="2:10" ht="28.5" thickBot="1" x14ac:dyDescent="0.25">
      <c r="B4" s="23" t="s">
        <v>120</v>
      </c>
      <c r="C4" s="145">
        <v>1.3</v>
      </c>
      <c r="D4" s="145">
        <f>54*12*C4/16*1.15</f>
        <v>60.547499999999992</v>
      </c>
      <c r="E4" s="297"/>
      <c r="G4" s="249" t="s">
        <v>185</v>
      </c>
      <c r="H4" s="149">
        <v>3</v>
      </c>
      <c r="I4" s="149">
        <f>54*12*H4/16*1.15</f>
        <v>139.72499999999999</v>
      </c>
      <c r="J4" s="57" t="str">
        <f>ROUNDUP(C11*12*H4/16*1.15,0)&amp; " Pounds"</f>
        <v>140 Pounds</v>
      </c>
    </row>
    <row r="5" spans="2:10" x14ac:dyDescent="0.2">
      <c r="B5" s="26" t="s">
        <v>78</v>
      </c>
      <c r="C5" s="247">
        <v>0.75</v>
      </c>
      <c r="D5" s="247">
        <f>54*12*C5/16*1.15</f>
        <v>34.931249999999999</v>
      </c>
      <c r="E5" s="297"/>
    </row>
    <row r="6" spans="2:10" ht="15.75" thickBot="1" x14ac:dyDescent="0.25">
      <c r="B6" s="26" t="s">
        <v>14</v>
      </c>
      <c r="C6" s="231"/>
      <c r="D6" s="231">
        <v>5</v>
      </c>
      <c r="E6" s="297"/>
    </row>
    <row r="7" spans="2:10" ht="15.75" thickBot="1" x14ac:dyDescent="0.25">
      <c r="B7" s="28" t="s">
        <v>17</v>
      </c>
      <c r="C7" s="248">
        <f>SUM(C4:C6)</f>
        <v>2.0499999999999998</v>
      </c>
      <c r="D7" s="232">
        <f>SUM(D4:D5)</f>
        <v>95.478749999999991</v>
      </c>
      <c r="E7" s="276"/>
    </row>
    <row r="9" spans="2:10" x14ac:dyDescent="0.2">
      <c r="B9" s="258" t="s">
        <v>133</v>
      </c>
      <c r="C9" s="258"/>
      <c r="D9" s="94">
        <f>ROUNDDOWN(250/D7,2)</f>
        <v>2.61</v>
      </c>
    </row>
    <row r="11" spans="2:10" x14ac:dyDescent="0.2">
      <c r="B11" s="18" t="s">
        <v>29</v>
      </c>
      <c r="C11" s="64">
        <v>54</v>
      </c>
    </row>
    <row r="13" spans="2:10" x14ac:dyDescent="0.2">
      <c r="B13" s="18" t="s">
        <v>79</v>
      </c>
      <c r="C13" s="99">
        <f>((C11*12*C7/16)*1.15)-C14</f>
        <v>95.478749999999977</v>
      </c>
    </row>
    <row r="14" spans="2:10" x14ac:dyDescent="0.2">
      <c r="B14" s="18" t="s">
        <v>9</v>
      </c>
      <c r="C14" s="64">
        <v>0</v>
      </c>
    </row>
    <row r="15" spans="2:10" x14ac:dyDescent="0.2">
      <c r="B15" s="18" t="s">
        <v>10</v>
      </c>
      <c r="C15" s="99">
        <f>E3*D7</f>
        <v>95.478749999999991</v>
      </c>
    </row>
    <row r="17" spans="2:4" x14ac:dyDescent="0.2">
      <c r="B17" s="18" t="s">
        <v>11</v>
      </c>
    </row>
    <row r="18" spans="2:4" x14ac:dyDescent="0.2">
      <c r="B18" s="18" t="s">
        <v>77</v>
      </c>
      <c r="C18" s="99">
        <f>E3*D4</f>
        <v>60.547499999999992</v>
      </c>
      <c r="D18" s="18" t="s">
        <v>102</v>
      </c>
    </row>
    <row r="19" spans="2:4" x14ac:dyDescent="0.2">
      <c r="B19" s="18" t="s">
        <v>78</v>
      </c>
      <c r="C19" s="99">
        <f>E3*D5</f>
        <v>34.931249999999999</v>
      </c>
      <c r="D19" s="18" t="s">
        <v>12</v>
      </c>
    </row>
    <row r="20" spans="2:4" x14ac:dyDescent="0.2">
      <c r="B20" s="18" t="s">
        <v>14</v>
      </c>
      <c r="C20" s="99">
        <f>E3*D6</f>
        <v>5</v>
      </c>
      <c r="D20" s="18" t="s">
        <v>12</v>
      </c>
    </row>
    <row r="22" spans="2:4" x14ac:dyDescent="0.2">
      <c r="B22" s="280" t="s">
        <v>80</v>
      </c>
      <c r="C22" s="280"/>
      <c r="D22" s="280"/>
    </row>
  </sheetData>
  <sheetProtection sheet="1" objects="1" scenarios="1" selectLockedCells="1"/>
  <mergeCells count="5">
    <mergeCell ref="B2:D2"/>
    <mergeCell ref="E3:E7"/>
    <mergeCell ref="G2:J2"/>
    <mergeCell ref="B22:D22"/>
    <mergeCell ref="B9:C9"/>
  </mergeCells>
  <pageMargins left="0" right="0" top="0" bottom="0" header="0" footer="0"/>
  <pageSetup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J999"/>
  <sheetViews>
    <sheetView workbookViewId="0">
      <selection activeCell="C15" sqref="C15"/>
    </sheetView>
  </sheetViews>
  <sheetFormatPr defaultColWidth="9.14453125" defaultRowHeight="15" customHeight="1" x14ac:dyDescent="0.2"/>
  <cols>
    <col min="1" max="1" width="9.14453125" style="18"/>
    <col min="2" max="2" width="23.6757812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6" width="9.14453125" style="18"/>
    <col min="7" max="7" width="17.484375" style="18" bestFit="1" customWidth="1"/>
    <col min="8" max="8" width="8.875" style="18" bestFit="1" customWidth="1"/>
    <col min="9" max="9" width="8.203125" style="18" bestFit="1" customWidth="1"/>
    <col min="10" max="10" width="13.1796875" style="18" bestFit="1" customWidth="1"/>
    <col min="11" max="16384" width="9.14453125" style="18"/>
  </cols>
  <sheetData>
    <row r="1" spans="2:10" ht="15.75" thickBot="1" x14ac:dyDescent="0.25"/>
    <row r="2" spans="2:10" ht="15.75" thickBot="1" x14ac:dyDescent="0.25">
      <c r="B2" s="337" t="s">
        <v>183</v>
      </c>
      <c r="C2" s="294"/>
      <c r="D2" s="295"/>
      <c r="E2" s="38" t="s">
        <v>0</v>
      </c>
      <c r="G2" s="284" t="s">
        <v>46</v>
      </c>
      <c r="H2" s="320"/>
      <c r="I2" s="320"/>
      <c r="J2" s="321"/>
    </row>
    <row r="3" spans="2:10" ht="15.75" thickBot="1" x14ac:dyDescent="0.25">
      <c r="B3" s="38"/>
      <c r="C3" s="38" t="s">
        <v>92</v>
      </c>
      <c r="D3" s="155" t="s">
        <v>132</v>
      </c>
      <c r="E3" s="296">
        <f>ROUNDUP(C14/D8,1)</f>
        <v>1</v>
      </c>
      <c r="G3" s="220"/>
      <c r="H3" s="221" t="s">
        <v>92</v>
      </c>
      <c r="I3" s="222" t="s">
        <v>96</v>
      </c>
      <c r="J3" s="217" t="s">
        <v>171</v>
      </c>
    </row>
    <row r="4" spans="2:10" ht="15.75" thickBot="1" x14ac:dyDescent="0.25">
      <c r="B4" s="49" t="s">
        <v>113</v>
      </c>
      <c r="C4" s="194">
        <v>0.7</v>
      </c>
      <c r="D4" s="120">
        <f>54*12*C4/16*1.15</f>
        <v>32.602499999999992</v>
      </c>
      <c r="E4" s="297"/>
      <c r="G4" s="35" t="s">
        <v>173</v>
      </c>
      <c r="H4" s="109">
        <v>0.75</v>
      </c>
      <c r="I4" s="218">
        <f>48*12/16*H4*1.15</f>
        <v>31.049999999999997</v>
      </c>
      <c r="J4" s="57">
        <f>(C12*12*H4/16*1.25)+5</f>
        <v>42.96875</v>
      </c>
    </row>
    <row r="5" spans="2:10" x14ac:dyDescent="0.2">
      <c r="B5" s="44" t="s">
        <v>114</v>
      </c>
      <c r="C5" s="146">
        <v>0.6</v>
      </c>
      <c r="D5" s="113">
        <f>54*12*C5/16*1.15</f>
        <v>27.945</v>
      </c>
      <c r="E5" s="297"/>
    </row>
    <row r="6" spans="2:10" x14ac:dyDescent="0.2">
      <c r="B6" s="44" t="s">
        <v>44</v>
      </c>
      <c r="C6" s="146"/>
      <c r="D6" s="113">
        <v>5</v>
      </c>
      <c r="E6" s="297"/>
    </row>
    <row r="7" spans="2:10" ht="15.75" thickBot="1" x14ac:dyDescent="0.25">
      <c r="B7" s="51" t="s">
        <v>36</v>
      </c>
      <c r="C7" s="195">
        <v>0.2</v>
      </c>
      <c r="D7" s="114">
        <f>54*12*C7/16*1.15</f>
        <v>9.3149999999999995</v>
      </c>
      <c r="E7" s="297"/>
    </row>
    <row r="8" spans="2:10" ht="15.75" thickBot="1" x14ac:dyDescent="0.25">
      <c r="B8" s="54" t="s">
        <v>17</v>
      </c>
      <c r="C8" s="165">
        <f>SUM(C4:C7)</f>
        <v>1.4999999999999998</v>
      </c>
      <c r="D8" s="165">
        <f>SUM(D4,D5,D7)</f>
        <v>69.862499999999997</v>
      </c>
      <c r="E8" s="298"/>
    </row>
    <row r="9" spans="2:10" x14ac:dyDescent="0.2"/>
    <row r="10" spans="2:10" x14ac:dyDescent="0.2">
      <c r="B10" s="258" t="s">
        <v>133</v>
      </c>
      <c r="C10" s="258"/>
      <c r="D10" s="94">
        <f>ROUNDDOWN(250/D8,2)</f>
        <v>3.57</v>
      </c>
    </row>
    <row r="11" spans="2:10" x14ac:dyDescent="0.2"/>
    <row r="12" spans="2:10" x14ac:dyDescent="0.2">
      <c r="B12" s="18" t="s">
        <v>29</v>
      </c>
      <c r="C12" s="64">
        <v>54</v>
      </c>
    </row>
    <row r="13" spans="2:10" x14ac:dyDescent="0.2"/>
    <row r="14" spans="2:10" x14ac:dyDescent="0.2">
      <c r="B14" s="18" t="s">
        <v>45</v>
      </c>
      <c r="C14" s="99">
        <f>((C12*12*C8/16)*1.15)-C15</f>
        <v>69.862499999999983</v>
      </c>
    </row>
    <row r="15" spans="2:10" x14ac:dyDescent="0.2">
      <c r="B15" s="18" t="s">
        <v>9</v>
      </c>
      <c r="C15" s="64">
        <v>0</v>
      </c>
    </row>
    <row r="16" spans="2:10" x14ac:dyDescent="0.2">
      <c r="B16" s="18" t="s">
        <v>41</v>
      </c>
      <c r="C16" s="99">
        <f>E3*D8</f>
        <v>69.862499999999997</v>
      </c>
    </row>
    <row r="17" spans="2:5" x14ac:dyDescent="0.2"/>
    <row r="18" spans="2:5" x14ac:dyDescent="0.2">
      <c r="B18" s="18" t="s">
        <v>11</v>
      </c>
    </row>
    <row r="19" spans="2:5" x14ac:dyDescent="0.2">
      <c r="B19" s="18" t="s">
        <v>115</v>
      </c>
      <c r="C19" s="99">
        <f>D4*E3</f>
        <v>32.602499999999992</v>
      </c>
      <c r="D19" s="18" t="s">
        <v>12</v>
      </c>
    </row>
    <row r="20" spans="2:5" x14ac:dyDescent="0.2">
      <c r="B20" s="18" t="s">
        <v>114</v>
      </c>
      <c r="C20" s="99">
        <f>D5*E3</f>
        <v>27.945</v>
      </c>
      <c r="D20" s="18" t="s">
        <v>12</v>
      </c>
    </row>
    <row r="21" spans="2:5" x14ac:dyDescent="0.2">
      <c r="B21" s="18" t="s">
        <v>36</v>
      </c>
      <c r="C21" s="99">
        <f>D7*E3</f>
        <v>9.3149999999999995</v>
      </c>
      <c r="D21" s="18" t="s">
        <v>12</v>
      </c>
    </row>
    <row r="22" spans="2:5" x14ac:dyDescent="0.2">
      <c r="B22" s="18" t="s">
        <v>44</v>
      </c>
      <c r="C22" s="99">
        <f>E3*D6</f>
        <v>5</v>
      </c>
      <c r="D22" s="18" t="s">
        <v>12</v>
      </c>
    </row>
    <row r="23" spans="2:5" x14ac:dyDescent="0.2"/>
    <row r="24" spans="2:5" x14ac:dyDescent="0.2">
      <c r="B24" s="216" t="s">
        <v>46</v>
      </c>
      <c r="D24" s="216" t="s">
        <v>174</v>
      </c>
    </row>
    <row r="25" spans="2:5" x14ac:dyDescent="0.2">
      <c r="B25" s="18" t="s">
        <v>117</v>
      </c>
      <c r="C25" s="99">
        <f>J4/3.5*6</f>
        <v>73.660714285714278</v>
      </c>
      <c r="D25" s="99">
        <f>C25/6</f>
        <v>12.276785714285714</v>
      </c>
      <c r="E25" s="18" t="s">
        <v>118</v>
      </c>
    </row>
    <row r="26" spans="2:5" x14ac:dyDescent="0.2"/>
    <row r="27" spans="2:5" x14ac:dyDescent="0.2">
      <c r="B27" s="319" t="s">
        <v>116</v>
      </c>
      <c r="C27" s="319"/>
      <c r="D27" s="319"/>
      <c r="E27" s="319"/>
    </row>
    <row r="28" spans="2:5" x14ac:dyDescent="0.2"/>
    <row r="29" spans="2:5" x14ac:dyDescent="0.2"/>
    <row r="30" spans="2:5" x14ac:dyDescent="0.2"/>
    <row r="31" spans="2:5" x14ac:dyDescent="0.2"/>
    <row r="32" spans="2:5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</sheetData>
  <sheetProtection sheet="1" objects="1" scenarios="1" selectLockedCells="1"/>
  <mergeCells count="5">
    <mergeCell ref="B2:D2"/>
    <mergeCell ref="E3:E8"/>
    <mergeCell ref="B27:E27"/>
    <mergeCell ref="G2:J2"/>
    <mergeCell ref="B10:C10"/>
  </mergeCells>
  <pageMargins left="0" right="0" top="0" bottom="0" header="0" footer="0"/>
  <pageSetup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E20"/>
  <sheetViews>
    <sheetView workbookViewId="0">
      <selection activeCell="C11" sqref="C11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20312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2" spans="2:5" x14ac:dyDescent="0.2">
      <c r="B2" s="305" t="s">
        <v>82</v>
      </c>
      <c r="C2" s="294"/>
      <c r="D2" s="295"/>
      <c r="E2" s="47" t="s">
        <v>0</v>
      </c>
    </row>
    <row r="3" spans="2:5" x14ac:dyDescent="0.2">
      <c r="B3" s="47"/>
      <c r="C3" s="47" t="s">
        <v>96</v>
      </c>
      <c r="D3" s="237" t="s">
        <v>132</v>
      </c>
      <c r="E3" s="296">
        <f>ROUNDUP(C13/D7,1)</f>
        <v>1</v>
      </c>
    </row>
    <row r="4" spans="2:5" x14ac:dyDescent="0.2">
      <c r="B4" s="50" t="s">
        <v>31</v>
      </c>
      <c r="C4" s="120">
        <v>1</v>
      </c>
      <c r="D4" s="120">
        <f>54*12*C4/16*1.15</f>
        <v>46.574999999999996</v>
      </c>
      <c r="E4" s="297"/>
    </row>
    <row r="5" spans="2:5" ht="41.25" x14ac:dyDescent="0.2">
      <c r="B5" s="238" t="s">
        <v>178</v>
      </c>
      <c r="C5" s="113">
        <v>0.7</v>
      </c>
      <c r="D5" s="113">
        <f>54*12*C5/16*1.15</f>
        <v>32.602499999999992</v>
      </c>
      <c r="E5" s="297"/>
    </row>
    <row r="6" spans="2:5" x14ac:dyDescent="0.2">
      <c r="B6" s="52" t="s">
        <v>32</v>
      </c>
      <c r="C6" s="114">
        <v>0.15</v>
      </c>
      <c r="D6" s="114">
        <f>54*12*C6/16*1.15</f>
        <v>6.9862500000000001</v>
      </c>
      <c r="E6" s="297"/>
    </row>
    <row r="7" spans="2:5" x14ac:dyDescent="0.2">
      <c r="B7" s="41" t="s">
        <v>17</v>
      </c>
      <c r="C7" s="121">
        <f>SUM(C4:C6)</f>
        <v>1.8499999999999999</v>
      </c>
      <c r="D7" s="121">
        <f>SUM(D4:D6)</f>
        <v>86.163749999999979</v>
      </c>
      <c r="E7" s="298"/>
    </row>
    <row r="9" spans="2:5" x14ac:dyDescent="0.2">
      <c r="B9" s="258" t="s">
        <v>133</v>
      </c>
      <c r="C9" s="258"/>
      <c r="D9" s="94">
        <f>ROUNDDOWN(250/D7,2)</f>
        <v>2.9</v>
      </c>
    </row>
    <row r="11" spans="2:5" x14ac:dyDescent="0.2">
      <c r="B11" s="18" t="s">
        <v>29</v>
      </c>
      <c r="C11" s="64">
        <v>54</v>
      </c>
    </row>
    <row r="13" spans="2:5" x14ac:dyDescent="0.2">
      <c r="B13" s="18" t="s">
        <v>8</v>
      </c>
      <c r="C13" s="99">
        <f>((C11*12*C7/16)*1.15)-C14</f>
        <v>86.163749999999993</v>
      </c>
    </row>
    <row r="14" spans="2:5" x14ac:dyDescent="0.2">
      <c r="B14" s="18" t="s">
        <v>9</v>
      </c>
      <c r="C14" s="64">
        <v>0</v>
      </c>
    </row>
    <row r="15" spans="2:5" x14ac:dyDescent="0.2">
      <c r="B15" s="18" t="s">
        <v>83</v>
      </c>
      <c r="C15" s="99">
        <f>E3*D7</f>
        <v>86.163749999999979</v>
      </c>
    </row>
    <row r="17" spans="2:4" x14ac:dyDescent="0.2">
      <c r="B17" s="18" t="s">
        <v>11</v>
      </c>
    </row>
    <row r="18" spans="2:4" x14ac:dyDescent="0.2">
      <c r="B18" s="18" t="s">
        <v>31</v>
      </c>
      <c r="C18" s="99">
        <f>D4*E3</f>
        <v>46.574999999999996</v>
      </c>
      <c r="D18" s="18" t="s">
        <v>12</v>
      </c>
    </row>
    <row r="19" spans="2:4" ht="41.25" x14ac:dyDescent="0.2">
      <c r="B19" s="239" t="s">
        <v>178</v>
      </c>
      <c r="C19" s="99">
        <f>D5*E3</f>
        <v>32.602499999999992</v>
      </c>
      <c r="D19" s="18" t="s">
        <v>12</v>
      </c>
    </row>
    <row r="20" spans="2:4" x14ac:dyDescent="0.2">
      <c r="B20" s="18" t="s">
        <v>32</v>
      </c>
      <c r="C20" s="99">
        <f>D6*E3</f>
        <v>6.9862500000000001</v>
      </c>
      <c r="D20" s="18" t="s">
        <v>12</v>
      </c>
    </row>
  </sheetData>
  <sheetProtection sheet="1" objects="1" scenarios="1" selectLockedCells="1"/>
  <mergeCells count="3">
    <mergeCell ref="B2:D2"/>
    <mergeCell ref="E3:E7"/>
    <mergeCell ref="B9:C9"/>
  </mergeCells>
  <pageMargins left="0" right="0" top="0" bottom="0" header="0" footer="0"/>
  <pageSetup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B1:J20"/>
  <sheetViews>
    <sheetView workbookViewId="0">
      <selection activeCell="C10" sqref="C10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9.01171875" style="18" bestFit="1" customWidth="1"/>
    <col min="4" max="4" width="9.953125" style="18" bestFit="1" customWidth="1"/>
    <col min="5" max="5" width="10.76171875" style="18" bestFit="1" customWidth="1"/>
    <col min="6" max="6" width="9.14453125" style="18" customWidth="1"/>
    <col min="7" max="7" width="21.5234375" style="18" bestFit="1" customWidth="1"/>
    <col min="8" max="8" width="8.875" style="18" bestFit="1" customWidth="1"/>
    <col min="9" max="9" width="9.28125" style="18" bestFit="1" customWidth="1"/>
    <col min="10" max="10" width="13.1796875" style="18" bestFit="1" customWidth="1"/>
    <col min="11" max="28" width="9.14453125" style="18" customWidth="1"/>
    <col min="29" max="16384" width="14.390625" style="18"/>
  </cols>
  <sheetData>
    <row r="1" spans="2:10" ht="15.75" thickBot="1" x14ac:dyDescent="0.25"/>
    <row r="2" spans="2:10" ht="15.75" thickBot="1" x14ac:dyDescent="0.25">
      <c r="B2" s="299" t="s">
        <v>37</v>
      </c>
      <c r="C2" s="300"/>
      <c r="D2" s="301"/>
      <c r="E2" s="47" t="s">
        <v>0</v>
      </c>
      <c r="G2" s="299" t="s">
        <v>38</v>
      </c>
      <c r="H2" s="300"/>
      <c r="I2" s="301"/>
      <c r="J2" s="47" t="s">
        <v>0</v>
      </c>
    </row>
    <row r="3" spans="2:10" ht="15.75" thickBot="1" x14ac:dyDescent="0.25">
      <c r="B3" s="43"/>
      <c r="C3" s="57" t="s">
        <v>92</v>
      </c>
      <c r="D3" s="240" t="s">
        <v>132</v>
      </c>
      <c r="E3" s="274">
        <f>ROUNDUP(C12/D6,1)</f>
        <v>1</v>
      </c>
      <c r="G3" s="181"/>
      <c r="H3" s="55" t="s">
        <v>92</v>
      </c>
      <c r="I3" s="242" t="s">
        <v>132</v>
      </c>
      <c r="J3" s="274">
        <f>ROUNDUP(H12/I6,1)</f>
        <v>1.5</v>
      </c>
    </row>
    <row r="4" spans="2:10" x14ac:dyDescent="0.2">
      <c r="B4" s="24" t="s">
        <v>39</v>
      </c>
      <c r="C4" s="168">
        <v>7.0000000000000007E-2</v>
      </c>
      <c r="D4" s="185">
        <f>54*12*C4/16*1.15</f>
        <v>3.2602500000000001</v>
      </c>
      <c r="E4" s="275"/>
      <c r="G4" s="25" t="s">
        <v>36</v>
      </c>
      <c r="H4" s="96">
        <v>0.25</v>
      </c>
      <c r="I4" s="96">
        <f>54*12*H4/16*1.15</f>
        <v>11.643749999999999</v>
      </c>
      <c r="J4" s="275"/>
    </row>
    <row r="5" spans="2:10" ht="42" thickBot="1" x14ac:dyDescent="0.25">
      <c r="B5" s="241" t="s">
        <v>179</v>
      </c>
      <c r="C5" s="183">
        <v>2.4300000000000002</v>
      </c>
      <c r="D5" s="186">
        <f>54*12*C5/16*1.15</f>
        <v>113.17725</v>
      </c>
      <c r="E5" s="275"/>
      <c r="G5" s="244" t="s">
        <v>180</v>
      </c>
      <c r="H5" s="97">
        <v>0.5</v>
      </c>
      <c r="I5" s="97">
        <f>54*12*H5/16*1.15</f>
        <v>23.287499999999998</v>
      </c>
      <c r="J5" s="275"/>
    </row>
    <row r="6" spans="2:10" ht="15.75" thickBot="1" x14ac:dyDescent="0.25">
      <c r="B6" s="46" t="s">
        <v>2</v>
      </c>
      <c r="C6" s="184">
        <f>SUM(C4:C5)</f>
        <v>2.5</v>
      </c>
      <c r="D6" s="187">
        <f>SUM(D4:D5)</f>
        <v>116.4375</v>
      </c>
      <c r="E6" s="276"/>
      <c r="G6" s="42" t="s">
        <v>17</v>
      </c>
      <c r="H6" s="188">
        <f>SUM(H4:H5)</f>
        <v>0.75</v>
      </c>
      <c r="I6" s="243">
        <f>SUM(I5:I5)</f>
        <v>23.287499999999998</v>
      </c>
      <c r="J6" s="276"/>
    </row>
    <row r="8" spans="2:10" x14ac:dyDescent="0.2">
      <c r="B8" s="258" t="s">
        <v>133</v>
      </c>
      <c r="C8" s="258"/>
      <c r="D8" s="94">
        <f>ROUNDDOWN(250/D6,2)</f>
        <v>2.14</v>
      </c>
      <c r="G8" s="258" t="s">
        <v>133</v>
      </c>
      <c r="H8" s="258"/>
      <c r="I8" s="94">
        <f>ROUNDDOWN(250/I6,2)</f>
        <v>10.73</v>
      </c>
    </row>
    <row r="10" spans="2:10" x14ac:dyDescent="0.2">
      <c r="B10" s="18" t="s">
        <v>29</v>
      </c>
      <c r="C10" s="64">
        <v>54</v>
      </c>
    </row>
    <row r="12" spans="2:10" x14ac:dyDescent="0.2">
      <c r="B12" s="18" t="s">
        <v>8</v>
      </c>
      <c r="C12" s="99">
        <f>((C10*12*C6/16)*1.15)-C13</f>
        <v>116.43749999999999</v>
      </c>
      <c r="G12" s="18" t="s">
        <v>40</v>
      </c>
      <c r="H12" s="99">
        <f>((C10*12*H6/16)*1.15)-H13</f>
        <v>34.931249999999999</v>
      </c>
    </row>
    <row r="13" spans="2:10" x14ac:dyDescent="0.2">
      <c r="B13" s="18" t="s">
        <v>9</v>
      </c>
      <c r="C13" s="64">
        <v>0</v>
      </c>
      <c r="G13" s="18" t="s">
        <v>9</v>
      </c>
      <c r="H13" s="64">
        <v>0</v>
      </c>
    </row>
    <row r="14" spans="2:10" x14ac:dyDescent="0.2">
      <c r="B14" s="18" t="s">
        <v>10</v>
      </c>
      <c r="C14" s="99">
        <f>E3*D6</f>
        <v>116.4375</v>
      </c>
      <c r="G14" s="18" t="s">
        <v>41</v>
      </c>
      <c r="H14" s="99">
        <f>J3*I6</f>
        <v>34.931249999999999</v>
      </c>
    </row>
    <row r="15" spans="2:10" ht="15.75" thickBot="1" x14ac:dyDescent="0.25"/>
    <row r="16" spans="2:10" ht="15.75" thickBot="1" x14ac:dyDescent="0.25">
      <c r="B16" s="18" t="s">
        <v>11</v>
      </c>
      <c r="G16" s="302" t="s">
        <v>142</v>
      </c>
      <c r="H16" s="303"/>
      <c r="I16" s="303"/>
      <c r="J16" s="304"/>
    </row>
    <row r="17" spans="2:10" ht="15.75" thickBot="1" x14ac:dyDescent="0.25">
      <c r="B17" s="18" t="s">
        <v>36</v>
      </c>
      <c r="C17" s="99">
        <f>J3*I4</f>
        <v>17.465624999999999</v>
      </c>
      <c r="D17" s="18" t="s">
        <v>12</v>
      </c>
      <c r="G17" s="220"/>
      <c r="H17" s="223" t="s">
        <v>92</v>
      </c>
      <c r="I17" s="222" t="s">
        <v>96</v>
      </c>
      <c r="J17" s="12" t="s">
        <v>171</v>
      </c>
    </row>
    <row r="18" spans="2:10" ht="15.75" thickBot="1" x14ac:dyDescent="0.25">
      <c r="B18" s="18" t="s">
        <v>39</v>
      </c>
      <c r="C18" s="99">
        <f>D4*E3</f>
        <v>3.2602500000000001</v>
      </c>
      <c r="D18" s="18" t="s">
        <v>12</v>
      </c>
      <c r="G18" s="35" t="s">
        <v>141</v>
      </c>
      <c r="H18" s="109">
        <v>3</v>
      </c>
      <c r="I18" s="218">
        <f>54*12/16*H18*1.25</f>
        <v>151.875</v>
      </c>
      <c r="J18" s="12" t="str">
        <f>ROUNDUP(((((C10*12*H18/16)*1.25))/82),0)&amp; " Buckets"</f>
        <v>2 Buckets</v>
      </c>
    </row>
    <row r="19" spans="2:10" ht="41.25" x14ac:dyDescent="0.2">
      <c r="B19" s="239" t="s">
        <v>180</v>
      </c>
      <c r="C19" s="99">
        <f>J3*I5</f>
        <v>34.931249999999999</v>
      </c>
      <c r="D19" s="18" t="s">
        <v>12</v>
      </c>
    </row>
    <row r="20" spans="2:10" ht="41.25" x14ac:dyDescent="0.2">
      <c r="B20" s="239" t="s">
        <v>179</v>
      </c>
      <c r="C20" s="99">
        <f>D5*E3</f>
        <v>113.17725</v>
      </c>
      <c r="D20" s="18" t="s">
        <v>12</v>
      </c>
    </row>
  </sheetData>
  <sheetProtection sheet="1" objects="1" scenarios="1" selectLockedCells="1"/>
  <mergeCells count="7">
    <mergeCell ref="G16:J16"/>
    <mergeCell ref="B2:D2"/>
    <mergeCell ref="G2:I2"/>
    <mergeCell ref="E3:E6"/>
    <mergeCell ref="J3:J6"/>
    <mergeCell ref="B8:C8"/>
    <mergeCell ref="G8:H8"/>
  </mergeCells>
  <pageMargins left="0" right="0" top="0" bottom="0" header="0" footer="0"/>
  <pageSetup fitToHeight="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E998"/>
  <sheetViews>
    <sheetView workbookViewId="0">
      <selection activeCell="C14" sqref="C14"/>
    </sheetView>
  </sheetViews>
  <sheetFormatPr defaultColWidth="14.390625" defaultRowHeight="15" customHeight="1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x14ac:dyDescent="0.2"/>
    <row r="2" spans="2:5" x14ac:dyDescent="0.2">
      <c r="B2" s="305" t="s">
        <v>84</v>
      </c>
      <c r="C2" s="294"/>
      <c r="D2" s="294"/>
      <c r="E2" s="38" t="s">
        <v>0</v>
      </c>
    </row>
    <row r="3" spans="2:5" ht="15.75" customHeight="1" x14ac:dyDescent="0.2">
      <c r="B3" s="47"/>
      <c r="C3" s="47" t="s">
        <v>92</v>
      </c>
      <c r="D3" s="237" t="s">
        <v>132</v>
      </c>
      <c r="E3" s="296">
        <f>ROUNDUP(C16/D10,1)</f>
        <v>1</v>
      </c>
    </row>
    <row r="4" spans="2:5" ht="15" customHeight="1" x14ac:dyDescent="0.2">
      <c r="B4" s="23" t="s">
        <v>62</v>
      </c>
      <c r="C4" s="112">
        <v>0.74</v>
      </c>
      <c r="D4" s="112">
        <f t="shared" ref="D4:D9" si="0">54*12*C4/16*1.15</f>
        <v>34.465499999999999</v>
      </c>
      <c r="E4" s="297"/>
    </row>
    <row r="5" spans="2:5" ht="15" customHeight="1" x14ac:dyDescent="0.2">
      <c r="B5" s="251" t="s">
        <v>162</v>
      </c>
      <c r="C5" s="113">
        <v>0.71</v>
      </c>
      <c r="D5" s="112">
        <f t="shared" si="0"/>
        <v>33.068249999999999</v>
      </c>
      <c r="E5" s="297"/>
    </row>
    <row r="6" spans="2:5" ht="15" customHeight="1" x14ac:dyDescent="0.2">
      <c r="B6" s="45" t="s">
        <v>1</v>
      </c>
      <c r="C6" s="113">
        <v>0.71</v>
      </c>
      <c r="D6" s="112">
        <f t="shared" si="0"/>
        <v>33.068249999999999</v>
      </c>
      <c r="E6" s="297"/>
    </row>
    <row r="7" spans="2:5" ht="15" customHeight="1" x14ac:dyDescent="0.2">
      <c r="B7" s="45" t="s">
        <v>63</v>
      </c>
      <c r="C7" s="113">
        <v>0.63</v>
      </c>
      <c r="D7" s="112">
        <f t="shared" si="0"/>
        <v>29.34225</v>
      </c>
      <c r="E7" s="297"/>
    </row>
    <row r="8" spans="2:5" ht="15" customHeight="1" x14ac:dyDescent="0.2">
      <c r="B8" s="251" t="s">
        <v>129</v>
      </c>
      <c r="C8" s="113">
        <v>0.46</v>
      </c>
      <c r="D8" s="112">
        <f t="shared" si="0"/>
        <v>21.424500000000002</v>
      </c>
      <c r="E8" s="297"/>
    </row>
    <row r="9" spans="2:5" ht="15" customHeight="1" x14ac:dyDescent="0.2">
      <c r="B9" s="26" t="s">
        <v>64</v>
      </c>
      <c r="C9" s="250">
        <v>0.11</v>
      </c>
      <c r="D9" s="112">
        <f t="shared" si="0"/>
        <v>5.1232499999999996</v>
      </c>
      <c r="E9" s="297"/>
    </row>
    <row r="10" spans="2:5" ht="16.5" customHeight="1" x14ac:dyDescent="0.2">
      <c r="B10" s="41" t="s">
        <v>17</v>
      </c>
      <c r="C10" s="115">
        <f>SUM(C4:C9)</f>
        <v>3.36</v>
      </c>
      <c r="D10" s="115">
        <f>SUM(D4:D6,D7:D9)</f>
        <v>156.49200000000002</v>
      </c>
      <c r="E10" s="298"/>
    </row>
    <row r="11" spans="2:5" ht="15.75" customHeight="1" x14ac:dyDescent="0.2"/>
    <row r="12" spans="2:5" ht="15.75" customHeight="1" x14ac:dyDescent="0.2">
      <c r="B12" s="258" t="s">
        <v>133</v>
      </c>
      <c r="C12" s="258"/>
      <c r="D12" s="94">
        <f>ROUNDDOWN(250/D10,2)</f>
        <v>1.59</v>
      </c>
    </row>
    <row r="13" spans="2:5" ht="15.75" customHeight="1" x14ac:dyDescent="0.2"/>
    <row r="14" spans="2:5" x14ac:dyDescent="0.2">
      <c r="B14" s="18" t="s">
        <v>29</v>
      </c>
      <c r="C14" s="64">
        <v>54</v>
      </c>
    </row>
    <row r="15" spans="2:5" x14ac:dyDescent="0.2"/>
    <row r="16" spans="2:5" x14ac:dyDescent="0.2">
      <c r="B16" s="18" t="s">
        <v>8</v>
      </c>
      <c r="C16" s="99">
        <f>((C14*12*C10/16)*1.15)-C17</f>
        <v>156.49199999999996</v>
      </c>
    </row>
    <row r="17" spans="2:4" x14ac:dyDescent="0.2">
      <c r="B17" s="18" t="s">
        <v>9</v>
      </c>
      <c r="C17" s="64">
        <v>0</v>
      </c>
    </row>
    <row r="18" spans="2:4" x14ac:dyDescent="0.2">
      <c r="B18" s="18" t="s">
        <v>10</v>
      </c>
      <c r="C18" s="99">
        <f>E3*D10</f>
        <v>156.49200000000002</v>
      </c>
    </row>
    <row r="19" spans="2:4" x14ac:dyDescent="0.2"/>
    <row r="20" spans="2:4" ht="15.75" customHeight="1" x14ac:dyDescent="0.2">
      <c r="B20" s="18" t="s">
        <v>11</v>
      </c>
    </row>
    <row r="21" spans="2:4" ht="15.75" customHeight="1" x14ac:dyDescent="0.2">
      <c r="B21" s="18" t="s">
        <v>62</v>
      </c>
      <c r="C21" s="99">
        <f>D4*E3</f>
        <v>34.465499999999999</v>
      </c>
      <c r="D21" s="18" t="s">
        <v>12</v>
      </c>
    </row>
    <row r="22" spans="2:4" ht="15.75" customHeight="1" x14ac:dyDescent="0.2">
      <c r="B22" s="216" t="s">
        <v>162</v>
      </c>
      <c r="C22" s="99">
        <f>D5*E3</f>
        <v>33.068249999999999</v>
      </c>
      <c r="D22" s="18" t="s">
        <v>12</v>
      </c>
    </row>
    <row r="23" spans="2:4" ht="15.75" customHeight="1" x14ac:dyDescent="0.2">
      <c r="B23" s="18" t="s">
        <v>1</v>
      </c>
      <c r="C23" s="99">
        <f>D6*E3</f>
        <v>33.068249999999999</v>
      </c>
      <c r="D23" s="18" t="s">
        <v>12</v>
      </c>
    </row>
    <row r="24" spans="2:4" ht="15.75" customHeight="1" x14ac:dyDescent="0.2">
      <c r="B24" s="18" t="s">
        <v>63</v>
      </c>
      <c r="C24" s="99">
        <f>D7*E3</f>
        <v>29.34225</v>
      </c>
      <c r="D24" s="18" t="s">
        <v>12</v>
      </c>
    </row>
    <row r="25" spans="2:4" ht="15.75" customHeight="1" x14ac:dyDescent="0.2">
      <c r="B25" s="18" t="s">
        <v>129</v>
      </c>
      <c r="C25" s="99">
        <f>D8*E3</f>
        <v>21.424500000000002</v>
      </c>
      <c r="D25" s="18" t="s">
        <v>12</v>
      </c>
    </row>
    <row r="26" spans="2:4" ht="15.75" customHeight="1" x14ac:dyDescent="0.2">
      <c r="B26" s="18" t="s">
        <v>64</v>
      </c>
      <c r="C26" s="99">
        <f>D9*E3</f>
        <v>5.1232499999999996</v>
      </c>
      <c r="D26" s="18" t="s">
        <v>12</v>
      </c>
    </row>
    <row r="27" spans="2:4" ht="15.75" customHeight="1" x14ac:dyDescent="0.2"/>
    <row r="28" spans="2:4" ht="15.75" customHeight="1" x14ac:dyDescent="0.2"/>
    <row r="29" spans="2:4" ht="15.75" customHeight="1" x14ac:dyDescent="0.2"/>
    <row r="30" spans="2:4" ht="15.75" customHeight="1" x14ac:dyDescent="0.2"/>
    <row r="31" spans="2:4" ht="15.75" customHeight="1" x14ac:dyDescent="0.2"/>
    <row r="32" spans="2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sheetProtection sheet="1" objects="1" scenarios="1" selectLockedCells="1"/>
  <mergeCells count="3">
    <mergeCell ref="B2:D2"/>
    <mergeCell ref="E3:E10"/>
    <mergeCell ref="B12:C12"/>
  </mergeCells>
  <pageMargins left="0" right="0" top="0" bottom="0" header="0" footer="0"/>
  <pageSetup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AB1001"/>
  <sheetViews>
    <sheetView workbookViewId="0">
      <selection activeCell="C14" sqref="C14"/>
    </sheetView>
  </sheetViews>
  <sheetFormatPr defaultColWidth="14.390625" defaultRowHeight="15" x14ac:dyDescent="0.2"/>
  <cols>
    <col min="1" max="1" width="6.58984375" customWidth="1"/>
    <col min="2" max="2" width="29.0546875" bestFit="1" customWidth="1"/>
    <col min="3" max="3" width="8.875" bestFit="1" customWidth="1"/>
    <col min="4" max="4" width="9.28125" bestFit="1" customWidth="1"/>
    <col min="5" max="5" width="10.76171875" bestFit="1" customWidth="1"/>
    <col min="6" max="6" width="4.3046875" customWidth="1"/>
    <col min="7" max="7" width="27.7109375" bestFit="1" customWidth="1"/>
    <col min="8" max="8" width="9.55078125" bestFit="1" customWidth="1"/>
    <col min="9" max="9" width="9.28125" bestFit="1" customWidth="1"/>
    <col min="10" max="10" width="10.76171875" bestFit="1" customWidth="1"/>
    <col min="11" max="28" width="9.14453125" customWidth="1"/>
  </cols>
  <sheetData>
    <row r="1" spans="1:28" ht="15.75" thickBot="1" x14ac:dyDescent="0.25">
      <c r="A1" s="122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</row>
    <row r="2" spans="1:28" ht="15.75" thickBot="1" x14ac:dyDescent="0.25">
      <c r="A2" s="122"/>
      <c r="B2" s="259" t="s">
        <v>187</v>
      </c>
      <c r="C2" s="260"/>
      <c r="D2" s="261"/>
      <c r="E2" s="38" t="s">
        <v>0</v>
      </c>
      <c r="F2" s="122"/>
      <c r="G2" s="259" t="s">
        <v>186</v>
      </c>
      <c r="H2" s="260"/>
      <c r="I2" s="262"/>
      <c r="J2" s="38" t="s">
        <v>0</v>
      </c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</row>
    <row r="3" spans="1:28" ht="15.75" customHeight="1" thickBot="1" x14ac:dyDescent="0.25">
      <c r="A3" s="122"/>
      <c r="B3" s="123"/>
      <c r="C3" s="124" t="s">
        <v>92</v>
      </c>
      <c r="D3" s="125" t="s">
        <v>132</v>
      </c>
      <c r="E3" s="263">
        <f>ROUNDUP(C16/D10,1)</f>
        <v>1</v>
      </c>
      <c r="F3" s="122"/>
      <c r="G3" s="123"/>
      <c r="H3" s="124" t="s">
        <v>107</v>
      </c>
      <c r="I3" s="125" t="s">
        <v>132</v>
      </c>
      <c r="J3" s="266">
        <f>ROUNDUP(H16/I6,1)</f>
        <v>1</v>
      </c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</row>
    <row r="4" spans="1:28" ht="41.25" x14ac:dyDescent="0.2">
      <c r="A4" s="122"/>
      <c r="B4" s="126" t="s">
        <v>21</v>
      </c>
      <c r="C4" s="157">
        <v>0.37</v>
      </c>
      <c r="D4" s="127">
        <f>54*12*C4/16*1.15</f>
        <v>17.232749999999999</v>
      </c>
      <c r="E4" s="264"/>
      <c r="F4" s="122"/>
      <c r="G4" s="144" t="s">
        <v>179</v>
      </c>
      <c r="H4" s="161">
        <v>2</v>
      </c>
      <c r="I4" s="128">
        <f>54*12*H4/16*1.15</f>
        <v>93.149999999999991</v>
      </c>
      <c r="J4" s="264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 spans="1:28" ht="15" customHeight="1" thickBot="1" x14ac:dyDescent="0.25">
      <c r="A5" s="122"/>
      <c r="B5" s="129" t="s">
        <v>14</v>
      </c>
      <c r="C5" s="130"/>
      <c r="D5" s="131">
        <v>5</v>
      </c>
      <c r="E5" s="264"/>
      <c r="F5" s="122"/>
      <c r="G5" s="132" t="s">
        <v>33</v>
      </c>
      <c r="H5" s="162">
        <v>7.0000000000000007E-2</v>
      </c>
      <c r="I5" s="133">
        <f>54*12*H5/16*1.15</f>
        <v>3.2602500000000001</v>
      </c>
      <c r="J5" s="264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</row>
    <row r="6" spans="1:28" ht="15" customHeight="1" thickBot="1" x14ac:dyDescent="0.25">
      <c r="A6" s="122"/>
      <c r="B6" s="134" t="s">
        <v>22</v>
      </c>
      <c r="C6" s="158">
        <v>0.37</v>
      </c>
      <c r="D6" s="131">
        <f>54*12*C6/16*1.15</f>
        <v>17.232749999999999</v>
      </c>
      <c r="E6" s="264"/>
      <c r="F6" s="122"/>
      <c r="G6" s="136" t="s">
        <v>17</v>
      </c>
      <c r="H6" s="163">
        <f>SUM(H4:H5)</f>
        <v>2.0699999999999998</v>
      </c>
      <c r="I6" s="137">
        <f>SUM(I4:I5)</f>
        <v>96.410249999999991</v>
      </c>
      <c r="J6" s="267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</row>
    <row r="7" spans="1:28" ht="15.75" customHeight="1" x14ac:dyDescent="0.2">
      <c r="A7" s="122"/>
      <c r="B7" s="134" t="s">
        <v>13</v>
      </c>
      <c r="C7" s="135"/>
      <c r="D7" s="131">
        <v>5</v>
      </c>
      <c r="E7" s="264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</row>
    <row r="8" spans="1:28" ht="15.75" customHeight="1" x14ac:dyDescent="0.2">
      <c r="A8" s="122"/>
      <c r="B8" s="134" t="s">
        <v>23</v>
      </c>
      <c r="C8" s="158">
        <v>0.39</v>
      </c>
      <c r="D8" s="131">
        <f>54*12*C8/16*1.15</f>
        <v>18.164249999999999</v>
      </c>
      <c r="E8" s="264"/>
      <c r="F8" s="122"/>
      <c r="G8" s="258" t="s">
        <v>133</v>
      </c>
      <c r="H8" s="258"/>
      <c r="I8" s="94">
        <f>ROUNDDOWN(250/I6,2)</f>
        <v>2.59</v>
      </c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</row>
    <row r="9" spans="1:28" ht="15.75" customHeight="1" thickBot="1" x14ac:dyDescent="0.25">
      <c r="A9" s="122"/>
      <c r="B9" s="138" t="s">
        <v>24</v>
      </c>
      <c r="C9" s="159">
        <v>0.37</v>
      </c>
      <c r="D9" s="139">
        <f>54*12*C9/16*1.15</f>
        <v>17.232749999999999</v>
      </c>
      <c r="E9" s="264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</row>
    <row r="10" spans="1:28" ht="16.5" customHeight="1" thickBot="1" x14ac:dyDescent="0.25">
      <c r="A10" s="122"/>
      <c r="B10" s="140" t="s">
        <v>17</v>
      </c>
      <c r="C10" s="160">
        <f>SUM(C4:C9)</f>
        <v>1.5</v>
      </c>
      <c r="D10" s="141">
        <f>SUM(D4,D6,D8,D9)</f>
        <v>69.862499999999997</v>
      </c>
      <c r="E10" s="265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</row>
    <row r="11" spans="1:28" ht="16.5" customHeight="1" x14ac:dyDescent="0.2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</row>
    <row r="12" spans="1:28" ht="16.5" customHeight="1" x14ac:dyDescent="0.2">
      <c r="A12" s="122"/>
      <c r="B12" s="258" t="s">
        <v>133</v>
      </c>
      <c r="C12" s="258"/>
      <c r="D12" s="94">
        <f>ROUNDDOWN(250/D10,2)</f>
        <v>3.57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</row>
    <row r="13" spans="1:28" ht="16.5" customHeight="1" x14ac:dyDescent="0.2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</row>
    <row r="14" spans="1:28" ht="14.25" customHeight="1" x14ac:dyDescent="0.2">
      <c r="A14" s="122"/>
      <c r="B14" s="122" t="s">
        <v>29</v>
      </c>
      <c r="C14" s="142">
        <v>54</v>
      </c>
      <c r="D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</row>
    <row r="15" spans="1:28" ht="15.75" customHeight="1" x14ac:dyDescent="0.2">
      <c r="A15" s="122"/>
      <c r="B15" s="122"/>
      <c r="C15" s="122"/>
      <c r="D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</row>
    <row r="16" spans="1:28" ht="14.25" customHeight="1" x14ac:dyDescent="0.2">
      <c r="A16" s="122"/>
      <c r="B16" s="122" t="s">
        <v>8</v>
      </c>
      <c r="C16" s="143">
        <f>((C14*12*C10/16)*1.15)-C17</f>
        <v>69.862499999999997</v>
      </c>
      <c r="D16" s="122"/>
      <c r="F16" s="122"/>
      <c r="G16" s="122" t="s">
        <v>8</v>
      </c>
      <c r="H16" s="143">
        <f>((C14*12*H6/16)*1.15)-H17</f>
        <v>96.410249999999991</v>
      </c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</row>
    <row r="17" spans="1:28" ht="15" customHeight="1" x14ac:dyDescent="0.2">
      <c r="A17" s="122"/>
      <c r="B17" s="122" t="s">
        <v>9</v>
      </c>
      <c r="C17" s="142">
        <v>0</v>
      </c>
      <c r="D17" s="122"/>
      <c r="F17" s="122"/>
      <c r="G17" s="122" t="s">
        <v>9</v>
      </c>
      <c r="H17" s="142">
        <v>0</v>
      </c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</row>
    <row r="18" spans="1:28" x14ac:dyDescent="0.2">
      <c r="A18" s="122"/>
      <c r="B18" s="122" t="s">
        <v>10</v>
      </c>
      <c r="C18" s="143">
        <f>E3*D10</f>
        <v>69.862499999999997</v>
      </c>
      <c r="D18" s="122"/>
      <c r="F18" s="122"/>
      <c r="G18" s="122" t="s">
        <v>10</v>
      </c>
      <c r="H18" s="143">
        <f>J3*I6</f>
        <v>96.410249999999991</v>
      </c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</row>
    <row r="19" spans="1:28" x14ac:dyDescent="0.2">
      <c r="A19" s="122"/>
      <c r="B19" s="122"/>
      <c r="C19" s="122"/>
      <c r="D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</row>
    <row r="20" spans="1:28" x14ac:dyDescent="0.2">
      <c r="A20" s="122"/>
      <c r="B20" s="122" t="s">
        <v>11</v>
      </c>
      <c r="C20" s="122"/>
      <c r="D20" s="122"/>
      <c r="F20" s="122"/>
      <c r="G20" s="122" t="s">
        <v>11</v>
      </c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</row>
    <row r="21" spans="1:28" ht="41.25" x14ac:dyDescent="0.2">
      <c r="A21" s="122"/>
      <c r="B21" s="122" t="s">
        <v>21</v>
      </c>
      <c r="C21" s="143">
        <f>E3*D4</f>
        <v>17.232749999999999</v>
      </c>
      <c r="D21" s="122" t="s">
        <v>12</v>
      </c>
      <c r="F21" s="122"/>
      <c r="G21" s="198" t="s">
        <v>179</v>
      </c>
      <c r="H21" s="143">
        <f>J3*I4</f>
        <v>93.149999999999991</v>
      </c>
      <c r="I21" s="122" t="s">
        <v>12</v>
      </c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</row>
    <row r="22" spans="1:28" ht="15.75" customHeight="1" x14ac:dyDescent="0.2">
      <c r="A22" s="122"/>
      <c r="B22" s="122" t="s">
        <v>22</v>
      </c>
      <c r="C22" s="143">
        <f>E3*D6</f>
        <v>17.232749999999999</v>
      </c>
      <c r="D22" s="122" t="s">
        <v>12</v>
      </c>
      <c r="F22" s="122"/>
      <c r="G22" s="122" t="s">
        <v>33</v>
      </c>
      <c r="H22" s="143">
        <f>J3*I5</f>
        <v>3.2602500000000001</v>
      </c>
      <c r="I22" s="122" t="s">
        <v>12</v>
      </c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</row>
    <row r="23" spans="1:28" ht="15.75" customHeight="1" x14ac:dyDescent="0.2">
      <c r="A23" s="122"/>
      <c r="B23" s="122" t="s">
        <v>23</v>
      </c>
      <c r="C23" s="143">
        <f>E3*D8</f>
        <v>18.164249999999999</v>
      </c>
      <c r="D23" s="122" t="s">
        <v>12</v>
      </c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 spans="1:28" ht="15.75" customHeight="1" x14ac:dyDescent="0.2">
      <c r="A24" s="122"/>
      <c r="B24" s="122" t="s">
        <v>24</v>
      </c>
      <c r="C24" s="143">
        <f>E3*D9</f>
        <v>17.232749999999999</v>
      </c>
      <c r="D24" s="122" t="s">
        <v>12</v>
      </c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 spans="1:28" ht="15.75" customHeight="1" x14ac:dyDescent="0.2">
      <c r="A25" s="122"/>
      <c r="B25" s="122" t="s">
        <v>13</v>
      </c>
      <c r="C25" s="143">
        <f>D7*E3</f>
        <v>5</v>
      </c>
      <c r="D25" s="122" t="s">
        <v>12</v>
      </c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 spans="1:28" ht="15.75" customHeight="1" x14ac:dyDescent="0.2">
      <c r="A26" s="122"/>
      <c r="B26" s="122" t="s">
        <v>14</v>
      </c>
      <c r="C26" s="143">
        <f>D5*E3</f>
        <v>5</v>
      </c>
      <c r="D26" s="122" t="s">
        <v>12</v>
      </c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 spans="1:28" ht="15.75" customHeight="1" x14ac:dyDescent="0.2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 spans="1:28" ht="15.75" customHeight="1" x14ac:dyDescent="0.2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 spans="1:28" ht="15.75" customHeight="1" x14ac:dyDescent="0.2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 spans="1:28" ht="15.75" customHeight="1" x14ac:dyDescent="0.2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 spans="1:28" ht="15.75" customHeight="1" x14ac:dyDescent="0.2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</row>
    <row r="32" spans="1:28" ht="15.75" customHeight="1" x14ac:dyDescent="0.2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 spans="1:28" ht="15.75" customHeight="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</row>
    <row r="34" spans="1:28" ht="15.75" customHeight="1" x14ac:dyDescent="0.2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</row>
    <row r="35" spans="1:28" ht="15.75" customHeight="1" x14ac:dyDescent="0.2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</row>
    <row r="36" spans="1:28" ht="15.75" customHeight="1" x14ac:dyDescent="0.2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</row>
    <row r="37" spans="1:28" ht="15.75" customHeight="1" x14ac:dyDescent="0.2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</row>
    <row r="38" spans="1:28" ht="15.75" customHeight="1" x14ac:dyDescent="0.2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</row>
    <row r="39" spans="1:28" ht="15.75" customHeight="1" x14ac:dyDescent="0.2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</row>
    <row r="40" spans="1:28" ht="15.75" customHeight="1" x14ac:dyDescent="0.2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</row>
    <row r="41" spans="1:28" ht="15.75" customHeight="1" x14ac:dyDescent="0.2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</row>
    <row r="42" spans="1:28" ht="15.75" customHeight="1" x14ac:dyDescent="0.2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</row>
    <row r="43" spans="1:28" ht="15.75" customHeight="1" x14ac:dyDescent="0.2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</row>
    <row r="44" spans="1:28" ht="15.75" customHeight="1" x14ac:dyDescent="0.2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</row>
    <row r="45" spans="1:28" ht="15.75" customHeight="1" x14ac:dyDescent="0.2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</row>
    <row r="46" spans="1:28" ht="15.75" customHeight="1" x14ac:dyDescent="0.2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</row>
    <row r="47" spans="1:28" ht="15.75" customHeight="1" x14ac:dyDescent="0.2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</row>
    <row r="48" spans="1:28" ht="15.75" customHeight="1" x14ac:dyDescent="0.2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</row>
    <row r="49" spans="1:28" ht="15.75" customHeight="1" x14ac:dyDescent="0.2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</row>
    <row r="50" spans="1:28" ht="15.75" customHeight="1" x14ac:dyDescent="0.2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</row>
    <row r="51" spans="1:28" ht="15.75" customHeight="1" x14ac:dyDescent="0.2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</row>
    <row r="52" spans="1:28" ht="15.75" customHeight="1" x14ac:dyDescent="0.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</row>
    <row r="53" spans="1:28" ht="15.75" customHeight="1" x14ac:dyDescent="0.2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</row>
    <row r="54" spans="1:28" ht="15.75" customHeight="1" x14ac:dyDescent="0.2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</row>
    <row r="55" spans="1:28" ht="15.75" customHeight="1" x14ac:dyDescent="0.2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</row>
    <row r="56" spans="1:28" ht="15.75" customHeight="1" x14ac:dyDescent="0.2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</row>
    <row r="57" spans="1:28" ht="15.75" customHeight="1" x14ac:dyDescent="0.2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</row>
    <row r="58" spans="1:28" ht="15.75" customHeight="1" x14ac:dyDescent="0.2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</row>
    <row r="59" spans="1:28" ht="15.75" customHeight="1" x14ac:dyDescent="0.2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</row>
    <row r="60" spans="1:28" ht="15.75" customHeight="1" x14ac:dyDescent="0.2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</row>
    <row r="61" spans="1:28" ht="15.75" customHeight="1" x14ac:dyDescent="0.2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</row>
    <row r="62" spans="1:28" ht="15.75" customHeight="1" x14ac:dyDescent="0.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</row>
    <row r="63" spans="1:28" ht="15.75" customHeight="1" x14ac:dyDescent="0.2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</row>
    <row r="64" spans="1:28" ht="15.75" customHeight="1" x14ac:dyDescent="0.2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</row>
    <row r="65" spans="1:28" ht="15.75" customHeight="1" x14ac:dyDescent="0.2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</row>
    <row r="66" spans="1:28" ht="15.75" customHeight="1" x14ac:dyDescent="0.2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</row>
    <row r="67" spans="1:28" ht="15.75" customHeight="1" x14ac:dyDescent="0.2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</row>
    <row r="68" spans="1:28" ht="15.75" customHeight="1" x14ac:dyDescent="0.2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</row>
    <row r="69" spans="1:28" ht="15.75" customHeight="1" x14ac:dyDescent="0.2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</row>
    <row r="70" spans="1:28" ht="15.75" customHeight="1" x14ac:dyDescent="0.2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</row>
    <row r="71" spans="1:28" ht="15.75" customHeight="1" x14ac:dyDescent="0.2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</row>
    <row r="72" spans="1:28" ht="15.75" customHeight="1" x14ac:dyDescent="0.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</row>
    <row r="73" spans="1:28" ht="15.75" customHeight="1" x14ac:dyDescent="0.2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</row>
    <row r="74" spans="1:28" ht="15.75" customHeight="1" x14ac:dyDescent="0.2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</row>
    <row r="75" spans="1:28" ht="15.75" customHeight="1" x14ac:dyDescent="0.2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</row>
    <row r="76" spans="1:28" ht="15.75" customHeight="1" x14ac:dyDescent="0.2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</row>
    <row r="77" spans="1:28" ht="15.75" customHeight="1" x14ac:dyDescent="0.2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</row>
    <row r="78" spans="1:28" ht="15.75" customHeight="1" x14ac:dyDescent="0.2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</row>
    <row r="79" spans="1:28" ht="15.75" customHeight="1" x14ac:dyDescent="0.2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</row>
    <row r="80" spans="1:28" ht="15.75" customHeight="1" x14ac:dyDescent="0.2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</row>
    <row r="81" spans="1:28" ht="15.75" customHeight="1" x14ac:dyDescent="0.2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</row>
    <row r="82" spans="1:28" ht="15.75" customHeight="1" x14ac:dyDescent="0.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</row>
    <row r="83" spans="1:28" ht="15.75" customHeight="1" x14ac:dyDescent="0.2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</row>
    <row r="84" spans="1:28" ht="15.75" customHeight="1" x14ac:dyDescent="0.2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</row>
    <row r="85" spans="1:28" ht="15.75" customHeight="1" x14ac:dyDescent="0.2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</row>
    <row r="86" spans="1:28" ht="15.75" customHeight="1" x14ac:dyDescent="0.2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</row>
    <row r="87" spans="1:28" ht="15.75" customHeight="1" x14ac:dyDescent="0.2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</row>
    <row r="88" spans="1:28" ht="15.75" customHeight="1" x14ac:dyDescent="0.2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</row>
    <row r="89" spans="1:28" ht="15.75" customHeight="1" x14ac:dyDescent="0.2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</row>
    <row r="90" spans="1:28" ht="15.75" customHeight="1" x14ac:dyDescent="0.2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</row>
    <row r="91" spans="1:28" ht="15.75" customHeight="1" x14ac:dyDescent="0.2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</row>
    <row r="92" spans="1:28" ht="15.75" customHeight="1" x14ac:dyDescent="0.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</row>
    <row r="93" spans="1:28" ht="15.75" customHeight="1" x14ac:dyDescent="0.2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</row>
    <row r="94" spans="1:28" ht="15.75" customHeight="1" x14ac:dyDescent="0.2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</row>
    <row r="95" spans="1:28" ht="15.75" customHeight="1" x14ac:dyDescent="0.2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</row>
    <row r="96" spans="1:28" ht="15.75" customHeight="1" x14ac:dyDescent="0.2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</row>
    <row r="97" spans="1:28" ht="15.75" customHeight="1" x14ac:dyDescent="0.2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</row>
    <row r="98" spans="1:28" ht="15.75" customHeight="1" x14ac:dyDescent="0.2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</row>
    <row r="99" spans="1:28" ht="15.75" customHeight="1" x14ac:dyDescent="0.2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</row>
    <row r="100" spans="1:28" ht="15.75" customHeight="1" x14ac:dyDescent="0.2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</row>
    <row r="101" spans="1:28" ht="15.75" customHeight="1" x14ac:dyDescent="0.2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</row>
    <row r="102" spans="1:28" ht="15.75" customHeight="1" x14ac:dyDescent="0.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</row>
    <row r="103" spans="1:28" ht="15.75" customHeight="1" x14ac:dyDescent="0.2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</row>
    <row r="104" spans="1:28" ht="15.75" customHeight="1" x14ac:dyDescent="0.2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</row>
    <row r="105" spans="1:28" ht="15.75" customHeight="1" x14ac:dyDescent="0.2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</row>
    <row r="106" spans="1:28" ht="15.75" customHeight="1" x14ac:dyDescent="0.2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</row>
    <row r="107" spans="1:28" ht="15.75" customHeight="1" x14ac:dyDescent="0.2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</row>
    <row r="108" spans="1:28" ht="15.75" customHeight="1" x14ac:dyDescent="0.2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</row>
    <row r="109" spans="1:28" ht="15.75" customHeight="1" x14ac:dyDescent="0.2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</row>
    <row r="110" spans="1:28" ht="15.75" customHeight="1" x14ac:dyDescent="0.2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</row>
    <row r="111" spans="1:28" ht="15.75" customHeight="1" x14ac:dyDescent="0.2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</row>
    <row r="112" spans="1:28" ht="15.75" customHeight="1" x14ac:dyDescent="0.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</row>
    <row r="113" spans="1:28" ht="15.75" customHeight="1" x14ac:dyDescent="0.2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</row>
    <row r="114" spans="1:28" ht="15.75" customHeight="1" x14ac:dyDescent="0.2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</row>
    <row r="115" spans="1:28" ht="15.75" customHeight="1" x14ac:dyDescent="0.2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</row>
    <row r="116" spans="1:28" ht="15.75" customHeight="1" x14ac:dyDescent="0.2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</row>
    <row r="117" spans="1:28" ht="15.75" customHeight="1" x14ac:dyDescent="0.2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</row>
    <row r="118" spans="1:28" ht="15.75" customHeight="1" x14ac:dyDescent="0.2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</row>
    <row r="119" spans="1:28" ht="15.75" customHeight="1" x14ac:dyDescent="0.2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</row>
    <row r="120" spans="1:28" ht="15.75" customHeight="1" x14ac:dyDescent="0.2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</row>
    <row r="121" spans="1:28" ht="15.75" customHeight="1" x14ac:dyDescent="0.2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</row>
    <row r="122" spans="1:28" ht="15.75" customHeight="1" x14ac:dyDescent="0.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</row>
    <row r="123" spans="1:28" ht="15.75" customHeight="1" x14ac:dyDescent="0.2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</row>
    <row r="124" spans="1:28" ht="15.75" customHeight="1" x14ac:dyDescent="0.2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</row>
    <row r="125" spans="1:28" ht="15.75" customHeight="1" x14ac:dyDescent="0.2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</row>
    <row r="126" spans="1:28" ht="15.75" customHeight="1" x14ac:dyDescent="0.2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</row>
    <row r="127" spans="1:28" ht="15.75" customHeight="1" x14ac:dyDescent="0.2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</row>
    <row r="128" spans="1:28" ht="15.75" customHeight="1" x14ac:dyDescent="0.2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</row>
    <row r="129" spans="1:28" ht="15.75" customHeight="1" x14ac:dyDescent="0.2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</row>
    <row r="130" spans="1:28" ht="15.75" customHeight="1" x14ac:dyDescent="0.2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</row>
    <row r="131" spans="1:28" ht="15.75" customHeight="1" x14ac:dyDescent="0.2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</row>
    <row r="132" spans="1:28" ht="15.75" customHeight="1" x14ac:dyDescent="0.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</row>
    <row r="133" spans="1:28" ht="15.75" customHeight="1" x14ac:dyDescent="0.2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</row>
    <row r="134" spans="1:28" ht="15.75" customHeight="1" x14ac:dyDescent="0.2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</row>
    <row r="135" spans="1:28" ht="15.75" customHeight="1" x14ac:dyDescent="0.2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</row>
    <row r="136" spans="1:28" ht="15.75" customHeight="1" x14ac:dyDescent="0.2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</row>
    <row r="137" spans="1:28" ht="15.75" customHeight="1" x14ac:dyDescent="0.2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</row>
    <row r="138" spans="1:28" ht="15.75" customHeight="1" x14ac:dyDescent="0.2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</row>
    <row r="139" spans="1:28" ht="15.75" customHeight="1" x14ac:dyDescent="0.2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</row>
    <row r="140" spans="1:28" ht="15.75" customHeight="1" x14ac:dyDescent="0.2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</row>
    <row r="141" spans="1:28" ht="15.75" customHeight="1" x14ac:dyDescent="0.2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</row>
    <row r="142" spans="1:28" ht="15.75" customHeight="1" x14ac:dyDescent="0.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</row>
    <row r="143" spans="1:28" ht="15.75" customHeight="1" x14ac:dyDescent="0.2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</row>
    <row r="144" spans="1:28" ht="15.75" customHeight="1" x14ac:dyDescent="0.2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</row>
    <row r="145" spans="1:28" ht="15.75" customHeight="1" x14ac:dyDescent="0.2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</row>
    <row r="146" spans="1:28" ht="15.75" customHeight="1" x14ac:dyDescent="0.2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</row>
    <row r="147" spans="1:28" ht="15.75" customHeight="1" x14ac:dyDescent="0.2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</row>
    <row r="148" spans="1:28" ht="15.75" customHeight="1" x14ac:dyDescent="0.2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</row>
    <row r="149" spans="1:28" ht="15.75" customHeight="1" x14ac:dyDescent="0.2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</row>
    <row r="150" spans="1:28" ht="15.75" customHeight="1" x14ac:dyDescent="0.2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</row>
    <row r="151" spans="1:28" ht="15.75" customHeight="1" x14ac:dyDescent="0.2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</row>
    <row r="152" spans="1:28" ht="15.75" customHeight="1" x14ac:dyDescent="0.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</row>
    <row r="153" spans="1:28" ht="15.75" customHeight="1" x14ac:dyDescent="0.2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</row>
    <row r="154" spans="1:28" ht="15.75" customHeight="1" x14ac:dyDescent="0.2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</row>
    <row r="155" spans="1:28" ht="15.75" customHeight="1" x14ac:dyDescent="0.2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</row>
    <row r="156" spans="1:28" ht="15.75" customHeight="1" x14ac:dyDescent="0.2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</row>
    <row r="157" spans="1:28" ht="15.75" customHeight="1" x14ac:dyDescent="0.2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</row>
    <row r="158" spans="1:28" ht="15.75" customHeight="1" x14ac:dyDescent="0.2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</row>
    <row r="159" spans="1:28" ht="15.75" customHeight="1" x14ac:dyDescent="0.2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</row>
    <row r="160" spans="1:28" ht="15.75" customHeight="1" x14ac:dyDescent="0.2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</row>
    <row r="161" spans="1:28" ht="15.75" customHeight="1" x14ac:dyDescent="0.2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</row>
    <row r="162" spans="1:28" ht="15.75" customHeight="1" x14ac:dyDescent="0.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</row>
    <row r="163" spans="1:28" ht="15.75" customHeight="1" x14ac:dyDescent="0.2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</row>
    <row r="164" spans="1:28" ht="15.75" customHeight="1" x14ac:dyDescent="0.2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</row>
    <row r="165" spans="1:28" ht="15.75" customHeight="1" x14ac:dyDescent="0.2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</row>
    <row r="166" spans="1:28" ht="15.75" customHeight="1" x14ac:dyDescent="0.2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</row>
    <row r="167" spans="1:28" ht="15.75" customHeight="1" x14ac:dyDescent="0.2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</row>
    <row r="168" spans="1:28" ht="15.75" customHeight="1" x14ac:dyDescent="0.2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</row>
    <row r="169" spans="1:28" ht="15.75" customHeight="1" x14ac:dyDescent="0.2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</row>
    <row r="170" spans="1:28" ht="15.75" customHeight="1" x14ac:dyDescent="0.2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</row>
    <row r="171" spans="1:28" ht="15.75" customHeight="1" x14ac:dyDescent="0.2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</row>
    <row r="172" spans="1:28" ht="15.75" customHeight="1" x14ac:dyDescent="0.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</row>
    <row r="173" spans="1:28" ht="15.75" customHeight="1" x14ac:dyDescent="0.2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</row>
    <row r="174" spans="1:28" ht="15.75" customHeight="1" x14ac:dyDescent="0.2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</row>
    <row r="175" spans="1:28" ht="15.75" customHeight="1" x14ac:dyDescent="0.2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</row>
    <row r="176" spans="1:28" ht="15.75" customHeight="1" x14ac:dyDescent="0.2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</row>
    <row r="177" spans="1:28" ht="15.75" customHeight="1" x14ac:dyDescent="0.2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</row>
    <row r="178" spans="1:28" ht="15.75" customHeight="1" x14ac:dyDescent="0.2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</row>
    <row r="179" spans="1:28" ht="15.75" customHeight="1" x14ac:dyDescent="0.2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</row>
    <row r="180" spans="1:28" ht="15.75" customHeight="1" x14ac:dyDescent="0.2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</row>
    <row r="181" spans="1:28" ht="15.75" customHeight="1" x14ac:dyDescent="0.2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</row>
    <row r="182" spans="1:28" ht="15.75" customHeight="1" x14ac:dyDescent="0.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</row>
    <row r="183" spans="1:28" ht="15.75" customHeight="1" x14ac:dyDescent="0.2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</row>
    <row r="184" spans="1:28" ht="15.75" customHeight="1" x14ac:dyDescent="0.2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</row>
    <row r="185" spans="1:28" ht="15.75" customHeight="1" x14ac:dyDescent="0.2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</row>
    <row r="186" spans="1:28" ht="15.75" customHeight="1" x14ac:dyDescent="0.2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</row>
    <row r="187" spans="1:28" ht="15.75" customHeight="1" x14ac:dyDescent="0.2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</row>
    <row r="188" spans="1:28" ht="15.75" customHeight="1" x14ac:dyDescent="0.2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</row>
    <row r="189" spans="1:28" ht="15.75" customHeight="1" x14ac:dyDescent="0.2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</row>
    <row r="190" spans="1:28" ht="15.75" customHeight="1" x14ac:dyDescent="0.2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</row>
    <row r="191" spans="1:28" ht="15.75" customHeight="1" x14ac:dyDescent="0.2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</row>
    <row r="192" spans="1:28" ht="15.75" customHeight="1" x14ac:dyDescent="0.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</row>
    <row r="193" spans="1:28" ht="15.75" customHeight="1" x14ac:dyDescent="0.2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</row>
    <row r="194" spans="1:28" ht="15.75" customHeight="1" x14ac:dyDescent="0.2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</row>
    <row r="195" spans="1:28" ht="15.75" customHeight="1" x14ac:dyDescent="0.2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</row>
    <row r="196" spans="1:28" ht="15.75" customHeight="1" x14ac:dyDescent="0.2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</row>
    <row r="197" spans="1:28" ht="15.75" customHeight="1" x14ac:dyDescent="0.2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</row>
    <row r="198" spans="1:28" ht="15.75" customHeight="1" x14ac:dyDescent="0.2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</row>
    <row r="199" spans="1:28" ht="15.75" customHeight="1" x14ac:dyDescent="0.2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</row>
    <row r="200" spans="1:28" ht="15.75" customHeight="1" x14ac:dyDescent="0.2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</row>
    <row r="201" spans="1:28" ht="15.75" customHeight="1" x14ac:dyDescent="0.2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</row>
    <row r="202" spans="1:28" ht="15.75" customHeight="1" x14ac:dyDescent="0.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</row>
    <row r="203" spans="1:28" ht="15.75" customHeight="1" x14ac:dyDescent="0.2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</row>
    <row r="204" spans="1:28" ht="15.75" customHeight="1" x14ac:dyDescent="0.2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</row>
    <row r="205" spans="1:28" ht="15.75" customHeight="1" x14ac:dyDescent="0.2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</row>
    <row r="206" spans="1:28" ht="15.75" customHeight="1" x14ac:dyDescent="0.2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</row>
    <row r="207" spans="1:28" ht="15.75" customHeight="1" x14ac:dyDescent="0.2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</row>
    <row r="208" spans="1:28" ht="15.75" customHeight="1" x14ac:dyDescent="0.2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</row>
    <row r="209" spans="1:28" ht="15.75" customHeight="1" x14ac:dyDescent="0.2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</row>
    <row r="210" spans="1:28" ht="15.75" customHeight="1" x14ac:dyDescent="0.2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</row>
    <row r="211" spans="1:28" ht="15.75" customHeight="1" x14ac:dyDescent="0.2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</row>
    <row r="212" spans="1:28" ht="15.75" customHeight="1" x14ac:dyDescent="0.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</row>
    <row r="213" spans="1:28" ht="15.75" customHeight="1" x14ac:dyDescent="0.2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</row>
    <row r="214" spans="1:28" ht="15.75" customHeight="1" x14ac:dyDescent="0.2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</row>
    <row r="215" spans="1:28" ht="15.75" customHeight="1" x14ac:dyDescent="0.2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</row>
    <row r="216" spans="1:28" ht="15.75" customHeight="1" x14ac:dyDescent="0.2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</row>
    <row r="217" spans="1:28" ht="15.75" customHeight="1" x14ac:dyDescent="0.2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</row>
    <row r="218" spans="1:28" ht="15.75" customHeight="1" x14ac:dyDescent="0.2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</row>
    <row r="219" spans="1:28" ht="15.75" customHeight="1" x14ac:dyDescent="0.2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</row>
    <row r="220" spans="1:28" ht="15.75" customHeight="1" x14ac:dyDescent="0.2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</row>
    <row r="221" spans="1:28" ht="15.75" customHeight="1" x14ac:dyDescent="0.2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</row>
    <row r="222" spans="1:28" ht="15.75" customHeight="1" x14ac:dyDescent="0.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</row>
    <row r="223" spans="1:28" ht="15.75" customHeight="1" x14ac:dyDescent="0.2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</row>
    <row r="224" spans="1:28" ht="15.75" customHeight="1" x14ac:dyDescent="0.2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</row>
    <row r="225" spans="1:28" ht="15.75" customHeight="1" x14ac:dyDescent="0.2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</row>
    <row r="226" spans="1:28" ht="15.75" customHeight="1" x14ac:dyDescent="0.2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</row>
    <row r="227" spans="1:28" ht="15.75" customHeight="1" x14ac:dyDescent="0.2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</row>
    <row r="228" spans="1:28" ht="15.75" customHeight="1" x14ac:dyDescent="0.2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</row>
    <row r="229" spans="1:28" ht="15.75" customHeight="1" x14ac:dyDescent="0.2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</row>
    <row r="230" spans="1:28" ht="15.75" customHeight="1" x14ac:dyDescent="0.2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</row>
    <row r="231" spans="1:28" ht="15.75" customHeight="1" x14ac:dyDescent="0.2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</row>
    <row r="232" spans="1:28" ht="15.75" customHeight="1" x14ac:dyDescent="0.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</row>
    <row r="233" spans="1:28" ht="15.75" customHeight="1" x14ac:dyDescent="0.2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</row>
    <row r="234" spans="1:28" ht="15.75" customHeight="1" x14ac:dyDescent="0.2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</row>
    <row r="235" spans="1:28" ht="15.75" customHeight="1" x14ac:dyDescent="0.2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</row>
    <row r="236" spans="1:28" ht="15.75" customHeight="1" x14ac:dyDescent="0.2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</row>
    <row r="237" spans="1:28" ht="15.75" customHeight="1" x14ac:dyDescent="0.2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</row>
    <row r="238" spans="1:28" ht="15.75" customHeight="1" x14ac:dyDescent="0.2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</row>
    <row r="239" spans="1:28" ht="15.75" customHeight="1" x14ac:dyDescent="0.2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</row>
    <row r="240" spans="1:28" ht="15.75" customHeight="1" x14ac:dyDescent="0.2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</row>
    <row r="241" spans="1:28" ht="15.75" customHeight="1" x14ac:dyDescent="0.2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</row>
    <row r="242" spans="1:28" ht="15.75" customHeight="1" x14ac:dyDescent="0.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</row>
    <row r="243" spans="1:28" ht="15.75" customHeight="1" x14ac:dyDescent="0.2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</row>
    <row r="244" spans="1:28" ht="15.75" customHeight="1" x14ac:dyDescent="0.2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</row>
    <row r="245" spans="1:28" ht="15.75" customHeight="1" x14ac:dyDescent="0.2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</row>
    <row r="246" spans="1:28" ht="15.75" customHeight="1" x14ac:dyDescent="0.2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</row>
    <row r="247" spans="1:28" ht="15.75" customHeight="1" x14ac:dyDescent="0.2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</row>
    <row r="248" spans="1:28" ht="15.75" customHeight="1" x14ac:dyDescent="0.2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</row>
    <row r="249" spans="1:28" ht="15.75" customHeight="1" x14ac:dyDescent="0.2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</row>
    <row r="250" spans="1:28" ht="15.75" customHeight="1" x14ac:dyDescent="0.2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</row>
    <row r="251" spans="1:28" ht="15.75" customHeight="1" x14ac:dyDescent="0.2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</row>
    <row r="252" spans="1:28" ht="15.75" customHeight="1" x14ac:dyDescent="0.2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</row>
    <row r="253" spans="1:28" ht="15.75" customHeight="1" x14ac:dyDescent="0.2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</row>
    <row r="254" spans="1:28" ht="15.75" customHeight="1" x14ac:dyDescent="0.2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</row>
    <row r="255" spans="1:28" ht="15.75" customHeight="1" x14ac:dyDescent="0.2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</row>
    <row r="256" spans="1:28" ht="15.75" customHeight="1" x14ac:dyDescent="0.2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</row>
    <row r="257" spans="1:28" ht="15.75" customHeight="1" x14ac:dyDescent="0.2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</row>
    <row r="258" spans="1:28" ht="15.75" customHeight="1" x14ac:dyDescent="0.2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</row>
    <row r="259" spans="1:28" ht="15.75" customHeight="1" x14ac:dyDescent="0.2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</row>
    <row r="260" spans="1:28" ht="15.75" customHeight="1" x14ac:dyDescent="0.2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</row>
    <row r="261" spans="1:28" ht="15.75" customHeight="1" x14ac:dyDescent="0.2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</row>
    <row r="262" spans="1:28" ht="15.75" customHeight="1" x14ac:dyDescent="0.2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</row>
    <row r="263" spans="1:28" ht="15.75" customHeight="1" x14ac:dyDescent="0.2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</row>
    <row r="264" spans="1:28" ht="15.75" customHeight="1" x14ac:dyDescent="0.2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</row>
    <row r="265" spans="1:28" ht="15.75" customHeight="1" x14ac:dyDescent="0.2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</row>
    <row r="266" spans="1:28" ht="15.75" customHeight="1" x14ac:dyDescent="0.2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</row>
    <row r="267" spans="1:28" ht="15.75" customHeight="1" x14ac:dyDescent="0.2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</row>
    <row r="268" spans="1:28" ht="15.75" customHeight="1" x14ac:dyDescent="0.2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</row>
    <row r="269" spans="1:28" ht="15.75" customHeight="1" x14ac:dyDescent="0.2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</row>
    <row r="270" spans="1:28" ht="15.75" customHeight="1" x14ac:dyDescent="0.2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</row>
    <row r="271" spans="1:28" ht="15.75" customHeight="1" x14ac:dyDescent="0.2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</row>
    <row r="272" spans="1:28" ht="15.75" customHeight="1" x14ac:dyDescent="0.2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</row>
    <row r="273" spans="1:28" ht="15.75" customHeight="1" x14ac:dyDescent="0.2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</row>
    <row r="274" spans="1:28" ht="15.75" customHeight="1" x14ac:dyDescent="0.2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</row>
    <row r="275" spans="1:28" ht="15.75" customHeight="1" x14ac:dyDescent="0.2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</row>
    <row r="276" spans="1:28" ht="15.75" customHeight="1" x14ac:dyDescent="0.2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</row>
    <row r="277" spans="1:28" ht="15.75" customHeight="1" x14ac:dyDescent="0.2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</row>
    <row r="278" spans="1:28" ht="15.75" customHeight="1" x14ac:dyDescent="0.2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</row>
    <row r="279" spans="1:28" ht="15.75" customHeight="1" x14ac:dyDescent="0.2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</row>
    <row r="280" spans="1:28" ht="15.75" customHeight="1" x14ac:dyDescent="0.2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</row>
    <row r="281" spans="1:28" ht="15.75" customHeight="1" x14ac:dyDescent="0.2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</row>
    <row r="282" spans="1:28" ht="15.75" customHeight="1" x14ac:dyDescent="0.2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</row>
    <row r="283" spans="1:28" ht="15.75" customHeight="1" x14ac:dyDescent="0.2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</row>
    <row r="284" spans="1:28" ht="15.75" customHeight="1" x14ac:dyDescent="0.2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</row>
    <row r="285" spans="1:28" ht="15.75" customHeight="1" x14ac:dyDescent="0.2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</row>
    <row r="286" spans="1:28" ht="15.75" customHeight="1" x14ac:dyDescent="0.2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</row>
    <row r="287" spans="1:28" ht="15.75" customHeight="1" x14ac:dyDescent="0.2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</row>
    <row r="288" spans="1:28" ht="15.75" customHeight="1" x14ac:dyDescent="0.2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</row>
    <row r="289" spans="1:28" ht="15.75" customHeight="1" x14ac:dyDescent="0.2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</row>
    <row r="290" spans="1:28" ht="15.75" customHeight="1" x14ac:dyDescent="0.2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</row>
    <row r="291" spans="1:28" ht="15.75" customHeight="1" x14ac:dyDescent="0.2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</row>
    <row r="292" spans="1:28" ht="15.75" customHeight="1" x14ac:dyDescent="0.2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</row>
    <row r="293" spans="1:28" ht="15.75" customHeight="1" x14ac:dyDescent="0.2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</row>
    <row r="294" spans="1:28" ht="15.75" customHeight="1" x14ac:dyDescent="0.2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</row>
    <row r="295" spans="1:28" ht="15.75" customHeight="1" x14ac:dyDescent="0.2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</row>
    <row r="296" spans="1:28" ht="15.75" customHeight="1" x14ac:dyDescent="0.2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</row>
    <row r="297" spans="1:28" ht="15.75" customHeight="1" x14ac:dyDescent="0.2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</row>
    <row r="298" spans="1:28" ht="15.75" customHeight="1" x14ac:dyDescent="0.2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</row>
    <row r="299" spans="1:28" ht="15.75" customHeight="1" x14ac:dyDescent="0.2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</row>
    <row r="300" spans="1:28" ht="15.75" customHeight="1" x14ac:dyDescent="0.2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</row>
    <row r="301" spans="1:28" ht="15.75" customHeight="1" x14ac:dyDescent="0.2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</row>
    <row r="302" spans="1:28" ht="15.75" customHeight="1" x14ac:dyDescent="0.2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</row>
    <row r="303" spans="1:28" ht="15.75" customHeight="1" x14ac:dyDescent="0.2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</row>
    <row r="304" spans="1:28" ht="15.75" customHeight="1" x14ac:dyDescent="0.2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</row>
    <row r="305" spans="1:28" ht="15.75" customHeight="1" x14ac:dyDescent="0.2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</row>
    <row r="306" spans="1:28" ht="15.75" customHeight="1" x14ac:dyDescent="0.2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</row>
    <row r="307" spans="1:28" ht="15.75" customHeight="1" x14ac:dyDescent="0.2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</row>
    <row r="308" spans="1:28" ht="15.75" customHeight="1" x14ac:dyDescent="0.2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</row>
    <row r="309" spans="1:28" ht="15.75" customHeight="1" x14ac:dyDescent="0.2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</row>
    <row r="310" spans="1:28" ht="15.75" customHeight="1" x14ac:dyDescent="0.2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</row>
    <row r="311" spans="1:28" ht="15.75" customHeight="1" x14ac:dyDescent="0.2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</row>
    <row r="312" spans="1:28" ht="15.75" customHeight="1" x14ac:dyDescent="0.2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</row>
    <row r="313" spans="1:28" ht="15.75" customHeight="1" x14ac:dyDescent="0.2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</row>
    <row r="314" spans="1:28" ht="15.75" customHeight="1" x14ac:dyDescent="0.2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</row>
    <row r="315" spans="1:28" ht="15.75" customHeight="1" x14ac:dyDescent="0.2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</row>
    <row r="316" spans="1:28" ht="15.75" customHeight="1" x14ac:dyDescent="0.2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</row>
    <row r="317" spans="1:28" ht="15.75" customHeight="1" x14ac:dyDescent="0.2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</row>
    <row r="318" spans="1:28" ht="15.75" customHeight="1" x14ac:dyDescent="0.2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</row>
    <row r="319" spans="1:28" ht="15.75" customHeight="1" x14ac:dyDescent="0.2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</row>
    <row r="320" spans="1:28" ht="15.75" customHeight="1" x14ac:dyDescent="0.2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</row>
    <row r="321" spans="1:28" ht="15.75" customHeight="1" x14ac:dyDescent="0.2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</row>
    <row r="322" spans="1:28" ht="15.75" customHeight="1" x14ac:dyDescent="0.2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</row>
    <row r="323" spans="1:28" ht="15.75" customHeight="1" x14ac:dyDescent="0.2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</row>
    <row r="324" spans="1:28" ht="15.75" customHeight="1" x14ac:dyDescent="0.2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</row>
    <row r="325" spans="1:28" ht="15.75" customHeight="1" x14ac:dyDescent="0.2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</row>
    <row r="326" spans="1:28" ht="15.75" customHeight="1" x14ac:dyDescent="0.2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</row>
    <row r="327" spans="1:28" ht="15.75" customHeight="1" x14ac:dyDescent="0.2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</row>
    <row r="328" spans="1:28" ht="15.75" customHeight="1" x14ac:dyDescent="0.2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</row>
    <row r="329" spans="1:28" ht="15.75" customHeight="1" x14ac:dyDescent="0.2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</row>
    <row r="330" spans="1:28" ht="15.75" customHeight="1" x14ac:dyDescent="0.2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</row>
    <row r="331" spans="1:28" ht="15.75" customHeight="1" x14ac:dyDescent="0.2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</row>
    <row r="332" spans="1:28" ht="15.75" customHeight="1" x14ac:dyDescent="0.2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</row>
    <row r="333" spans="1:28" ht="15.75" customHeight="1" x14ac:dyDescent="0.2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</row>
    <row r="334" spans="1:28" ht="15.75" customHeight="1" x14ac:dyDescent="0.2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</row>
    <row r="335" spans="1:28" ht="15.75" customHeight="1" x14ac:dyDescent="0.2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</row>
    <row r="336" spans="1:28" ht="15.75" customHeight="1" x14ac:dyDescent="0.2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</row>
    <row r="337" spans="1:28" ht="15.75" customHeight="1" x14ac:dyDescent="0.2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</row>
    <row r="338" spans="1:28" ht="15.75" customHeight="1" x14ac:dyDescent="0.2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</row>
    <row r="339" spans="1:28" ht="15.75" customHeight="1" x14ac:dyDescent="0.2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</row>
    <row r="340" spans="1:28" ht="15.75" customHeight="1" x14ac:dyDescent="0.2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</row>
    <row r="341" spans="1:28" ht="15.75" customHeight="1" x14ac:dyDescent="0.2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</row>
    <row r="342" spans="1:28" ht="15.75" customHeight="1" x14ac:dyDescent="0.2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</row>
    <row r="343" spans="1:28" ht="15.75" customHeight="1" x14ac:dyDescent="0.2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</row>
    <row r="344" spans="1:28" ht="15.75" customHeight="1" x14ac:dyDescent="0.2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</row>
    <row r="345" spans="1:28" ht="15.75" customHeight="1" x14ac:dyDescent="0.2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</row>
    <row r="346" spans="1:28" ht="15.75" customHeight="1" x14ac:dyDescent="0.2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</row>
    <row r="347" spans="1:28" ht="15.75" customHeight="1" x14ac:dyDescent="0.2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</row>
    <row r="348" spans="1:28" ht="15.75" customHeight="1" x14ac:dyDescent="0.2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</row>
    <row r="349" spans="1:28" ht="15.75" customHeight="1" x14ac:dyDescent="0.2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</row>
    <row r="350" spans="1:28" ht="15.75" customHeight="1" x14ac:dyDescent="0.2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</row>
    <row r="351" spans="1:28" ht="15.75" customHeight="1" x14ac:dyDescent="0.2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</row>
    <row r="352" spans="1:28" ht="15.75" customHeight="1" x14ac:dyDescent="0.2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</row>
    <row r="353" spans="1:28" ht="15.75" customHeight="1" x14ac:dyDescent="0.2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</row>
    <row r="354" spans="1:28" ht="15.75" customHeight="1" x14ac:dyDescent="0.2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</row>
    <row r="355" spans="1:28" ht="15.75" customHeight="1" x14ac:dyDescent="0.2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</row>
    <row r="356" spans="1:28" ht="15.75" customHeight="1" x14ac:dyDescent="0.2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</row>
    <row r="357" spans="1:28" ht="15.75" customHeight="1" x14ac:dyDescent="0.2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</row>
    <row r="358" spans="1:28" ht="15.75" customHeight="1" x14ac:dyDescent="0.2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</row>
    <row r="359" spans="1:28" ht="15.75" customHeight="1" x14ac:dyDescent="0.2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</row>
    <row r="360" spans="1:28" ht="15.75" customHeight="1" x14ac:dyDescent="0.2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</row>
    <row r="361" spans="1:28" ht="15.75" customHeight="1" x14ac:dyDescent="0.2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</row>
    <row r="362" spans="1:28" ht="15.75" customHeight="1" x14ac:dyDescent="0.2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</row>
    <row r="363" spans="1:28" ht="15.75" customHeight="1" x14ac:dyDescent="0.2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</row>
    <row r="364" spans="1:28" ht="15.75" customHeight="1" x14ac:dyDescent="0.2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</row>
    <row r="365" spans="1:28" ht="15.75" customHeight="1" x14ac:dyDescent="0.2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</row>
    <row r="366" spans="1:28" ht="15.75" customHeight="1" x14ac:dyDescent="0.2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</row>
    <row r="367" spans="1:28" ht="15.75" customHeight="1" x14ac:dyDescent="0.2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</row>
    <row r="368" spans="1:28" ht="15.75" customHeight="1" x14ac:dyDescent="0.2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</row>
    <row r="369" spans="1:28" ht="15.75" customHeight="1" x14ac:dyDescent="0.2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</row>
    <row r="370" spans="1:28" ht="15.75" customHeight="1" x14ac:dyDescent="0.2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</row>
    <row r="371" spans="1:28" ht="15.75" customHeight="1" x14ac:dyDescent="0.2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</row>
    <row r="372" spans="1:28" ht="15.75" customHeight="1" x14ac:dyDescent="0.2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</row>
    <row r="373" spans="1:28" ht="15.75" customHeight="1" x14ac:dyDescent="0.2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</row>
    <row r="374" spans="1:28" ht="15.75" customHeight="1" x14ac:dyDescent="0.2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</row>
    <row r="375" spans="1:28" ht="15.75" customHeight="1" x14ac:dyDescent="0.2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</row>
    <row r="376" spans="1:28" ht="15.75" customHeight="1" x14ac:dyDescent="0.2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</row>
    <row r="377" spans="1:28" ht="15.75" customHeight="1" x14ac:dyDescent="0.2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</row>
    <row r="378" spans="1:28" ht="15.75" customHeight="1" x14ac:dyDescent="0.2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</row>
    <row r="379" spans="1:28" ht="15.75" customHeight="1" x14ac:dyDescent="0.2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</row>
    <row r="380" spans="1:28" ht="15.75" customHeight="1" x14ac:dyDescent="0.2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</row>
    <row r="381" spans="1:28" ht="15.75" customHeight="1" x14ac:dyDescent="0.2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</row>
    <row r="382" spans="1:28" ht="15.75" customHeight="1" x14ac:dyDescent="0.2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</row>
    <row r="383" spans="1:28" ht="15.75" customHeight="1" x14ac:dyDescent="0.2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</row>
    <row r="384" spans="1:28" ht="15.75" customHeight="1" x14ac:dyDescent="0.2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</row>
    <row r="385" spans="1:28" ht="15.75" customHeight="1" x14ac:dyDescent="0.2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</row>
    <row r="386" spans="1:28" ht="15.75" customHeight="1" x14ac:dyDescent="0.2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</row>
    <row r="387" spans="1:28" ht="15.75" customHeight="1" x14ac:dyDescent="0.2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</row>
    <row r="388" spans="1:28" ht="15.75" customHeight="1" x14ac:dyDescent="0.2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</row>
    <row r="389" spans="1:28" ht="15.75" customHeight="1" x14ac:dyDescent="0.2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</row>
    <row r="390" spans="1:28" ht="15.75" customHeight="1" x14ac:dyDescent="0.2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</row>
    <row r="391" spans="1:28" ht="15.75" customHeight="1" x14ac:dyDescent="0.2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</row>
    <row r="392" spans="1:28" ht="15.75" customHeight="1" x14ac:dyDescent="0.2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</row>
    <row r="393" spans="1:28" ht="15.75" customHeight="1" x14ac:dyDescent="0.2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</row>
    <row r="394" spans="1:28" ht="15.75" customHeight="1" x14ac:dyDescent="0.2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</row>
    <row r="395" spans="1:28" ht="15.75" customHeight="1" x14ac:dyDescent="0.2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</row>
    <row r="396" spans="1:28" ht="15.75" customHeight="1" x14ac:dyDescent="0.2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</row>
    <row r="397" spans="1:28" ht="15.75" customHeight="1" x14ac:dyDescent="0.2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</row>
    <row r="398" spans="1:28" ht="15.75" customHeight="1" x14ac:dyDescent="0.2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</row>
    <row r="399" spans="1:28" ht="15.75" customHeight="1" x14ac:dyDescent="0.2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</row>
    <row r="400" spans="1:28" ht="15.75" customHeight="1" x14ac:dyDescent="0.2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</row>
    <row r="401" spans="1:28" ht="15.75" customHeight="1" x14ac:dyDescent="0.2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</row>
    <row r="402" spans="1:28" ht="15.75" customHeight="1" x14ac:dyDescent="0.2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</row>
    <row r="403" spans="1:28" ht="15.75" customHeight="1" x14ac:dyDescent="0.2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</row>
    <row r="404" spans="1:28" ht="15.75" customHeight="1" x14ac:dyDescent="0.2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</row>
    <row r="405" spans="1:28" ht="15.75" customHeight="1" x14ac:dyDescent="0.2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</row>
    <row r="406" spans="1:28" ht="15.75" customHeight="1" x14ac:dyDescent="0.2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</row>
    <row r="407" spans="1:28" ht="15.75" customHeight="1" x14ac:dyDescent="0.2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</row>
    <row r="408" spans="1:28" ht="15.75" customHeight="1" x14ac:dyDescent="0.2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</row>
    <row r="409" spans="1:28" ht="15.75" customHeight="1" x14ac:dyDescent="0.2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</row>
    <row r="410" spans="1:28" ht="15.75" customHeight="1" x14ac:dyDescent="0.2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</row>
    <row r="411" spans="1:28" ht="15.75" customHeight="1" x14ac:dyDescent="0.2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</row>
    <row r="412" spans="1:28" ht="15.75" customHeight="1" x14ac:dyDescent="0.2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</row>
    <row r="413" spans="1:28" ht="15.75" customHeight="1" x14ac:dyDescent="0.2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</row>
    <row r="414" spans="1:28" ht="15.75" customHeight="1" x14ac:dyDescent="0.2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</row>
    <row r="415" spans="1:28" ht="15.75" customHeight="1" x14ac:dyDescent="0.2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</row>
    <row r="416" spans="1:28" ht="15.75" customHeight="1" x14ac:dyDescent="0.2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</row>
    <row r="417" spans="1:28" ht="15.75" customHeight="1" x14ac:dyDescent="0.2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</row>
    <row r="418" spans="1:28" ht="15.75" customHeight="1" x14ac:dyDescent="0.2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</row>
    <row r="419" spans="1:28" ht="15.75" customHeight="1" x14ac:dyDescent="0.2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</row>
    <row r="420" spans="1:28" ht="15.75" customHeight="1" x14ac:dyDescent="0.2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</row>
    <row r="421" spans="1:28" ht="15.75" customHeight="1" x14ac:dyDescent="0.2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</row>
    <row r="422" spans="1:28" ht="15.75" customHeight="1" x14ac:dyDescent="0.2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</row>
    <row r="423" spans="1:28" ht="15.75" customHeight="1" x14ac:dyDescent="0.2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</row>
    <row r="424" spans="1:28" ht="15.75" customHeight="1" x14ac:dyDescent="0.2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</row>
    <row r="425" spans="1:28" ht="15.75" customHeight="1" x14ac:dyDescent="0.2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</row>
    <row r="426" spans="1:28" ht="15.75" customHeight="1" x14ac:dyDescent="0.2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</row>
    <row r="427" spans="1:28" ht="15.75" customHeight="1" x14ac:dyDescent="0.2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</row>
    <row r="428" spans="1:28" ht="15.75" customHeight="1" x14ac:dyDescent="0.2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</row>
    <row r="429" spans="1:28" ht="15.75" customHeight="1" x14ac:dyDescent="0.2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</row>
    <row r="430" spans="1:28" ht="15.75" customHeight="1" x14ac:dyDescent="0.2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</row>
    <row r="431" spans="1:28" ht="15.75" customHeight="1" x14ac:dyDescent="0.2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</row>
    <row r="432" spans="1:28" ht="15.75" customHeight="1" x14ac:dyDescent="0.2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</row>
    <row r="433" spans="1:28" ht="15.75" customHeight="1" x14ac:dyDescent="0.2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</row>
    <row r="434" spans="1:28" ht="15.75" customHeight="1" x14ac:dyDescent="0.2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</row>
    <row r="435" spans="1:28" ht="15.75" customHeight="1" x14ac:dyDescent="0.2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</row>
    <row r="436" spans="1:28" ht="15.75" customHeight="1" x14ac:dyDescent="0.2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</row>
    <row r="437" spans="1:28" ht="15.75" customHeight="1" x14ac:dyDescent="0.2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</row>
    <row r="438" spans="1:28" ht="15.75" customHeight="1" x14ac:dyDescent="0.2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</row>
    <row r="439" spans="1:28" ht="15.75" customHeight="1" x14ac:dyDescent="0.2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</row>
    <row r="440" spans="1:28" ht="15.75" customHeight="1" x14ac:dyDescent="0.2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</row>
    <row r="441" spans="1:28" ht="15.75" customHeight="1" x14ac:dyDescent="0.2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</row>
    <row r="442" spans="1:28" ht="15.75" customHeight="1" x14ac:dyDescent="0.2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</row>
    <row r="443" spans="1:28" ht="15.75" customHeight="1" x14ac:dyDescent="0.2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</row>
    <row r="444" spans="1:28" ht="15.75" customHeight="1" x14ac:dyDescent="0.2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</row>
    <row r="445" spans="1:28" ht="15.75" customHeight="1" x14ac:dyDescent="0.2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</row>
    <row r="446" spans="1:28" ht="15.75" customHeight="1" x14ac:dyDescent="0.2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</row>
    <row r="447" spans="1:28" ht="15.75" customHeight="1" x14ac:dyDescent="0.2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</row>
    <row r="448" spans="1:28" ht="15.75" customHeight="1" x14ac:dyDescent="0.2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</row>
    <row r="449" spans="1:28" ht="15.75" customHeight="1" x14ac:dyDescent="0.2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</row>
    <row r="450" spans="1:28" ht="15.75" customHeight="1" x14ac:dyDescent="0.2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</row>
    <row r="451" spans="1:28" ht="15.75" customHeight="1" x14ac:dyDescent="0.2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</row>
    <row r="452" spans="1:28" ht="15.75" customHeight="1" x14ac:dyDescent="0.2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</row>
    <row r="453" spans="1:28" ht="15.75" customHeight="1" x14ac:dyDescent="0.2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</row>
    <row r="454" spans="1:28" ht="15.75" customHeight="1" x14ac:dyDescent="0.2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</row>
    <row r="455" spans="1:28" ht="15.75" customHeight="1" x14ac:dyDescent="0.2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</row>
    <row r="456" spans="1:28" ht="15.75" customHeight="1" x14ac:dyDescent="0.2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</row>
    <row r="457" spans="1:28" ht="15.75" customHeight="1" x14ac:dyDescent="0.2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</row>
    <row r="458" spans="1:28" ht="15.75" customHeight="1" x14ac:dyDescent="0.2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</row>
    <row r="459" spans="1:28" ht="15.75" customHeight="1" x14ac:dyDescent="0.2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</row>
    <row r="460" spans="1:28" ht="15.75" customHeight="1" x14ac:dyDescent="0.2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</row>
    <row r="461" spans="1:28" ht="15.75" customHeight="1" x14ac:dyDescent="0.2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</row>
    <row r="462" spans="1:28" ht="15.75" customHeight="1" x14ac:dyDescent="0.2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</row>
    <row r="463" spans="1:28" ht="15.75" customHeight="1" x14ac:dyDescent="0.2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</row>
    <row r="464" spans="1:28" ht="15.75" customHeight="1" x14ac:dyDescent="0.2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</row>
    <row r="465" spans="1:28" ht="15.75" customHeight="1" x14ac:dyDescent="0.2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</row>
    <row r="466" spans="1:28" ht="15.75" customHeight="1" x14ac:dyDescent="0.2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</row>
    <row r="467" spans="1:28" ht="15.75" customHeight="1" x14ac:dyDescent="0.2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</row>
    <row r="468" spans="1:28" ht="15.75" customHeight="1" x14ac:dyDescent="0.2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</row>
    <row r="469" spans="1:28" ht="15.75" customHeight="1" x14ac:dyDescent="0.2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</row>
    <row r="470" spans="1:28" ht="15.75" customHeight="1" x14ac:dyDescent="0.2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</row>
    <row r="471" spans="1:28" ht="15.75" customHeight="1" x14ac:dyDescent="0.2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</row>
    <row r="472" spans="1:28" ht="15.75" customHeight="1" x14ac:dyDescent="0.2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</row>
    <row r="473" spans="1:28" ht="15.75" customHeight="1" x14ac:dyDescent="0.2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</row>
    <row r="474" spans="1:28" ht="15.75" customHeight="1" x14ac:dyDescent="0.2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</row>
    <row r="475" spans="1:28" ht="15.75" customHeight="1" x14ac:dyDescent="0.2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</row>
    <row r="476" spans="1:28" ht="15.75" customHeight="1" x14ac:dyDescent="0.2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</row>
    <row r="477" spans="1:28" ht="15.75" customHeight="1" x14ac:dyDescent="0.2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</row>
    <row r="478" spans="1:28" ht="15.75" customHeight="1" x14ac:dyDescent="0.2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</row>
    <row r="479" spans="1:28" ht="15.75" customHeight="1" x14ac:dyDescent="0.2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</row>
    <row r="480" spans="1:28" ht="15.75" customHeight="1" x14ac:dyDescent="0.2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</row>
    <row r="481" spans="1:28" ht="15.75" customHeight="1" x14ac:dyDescent="0.2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</row>
    <row r="482" spans="1:28" ht="15.75" customHeight="1" x14ac:dyDescent="0.2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</row>
    <row r="483" spans="1:28" ht="15.75" customHeight="1" x14ac:dyDescent="0.2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</row>
    <row r="484" spans="1:28" ht="15.75" customHeight="1" x14ac:dyDescent="0.2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</row>
    <row r="485" spans="1:28" ht="15.75" customHeight="1" x14ac:dyDescent="0.2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</row>
    <row r="486" spans="1:28" ht="15.75" customHeight="1" x14ac:dyDescent="0.2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</row>
    <row r="487" spans="1:28" ht="15.75" customHeight="1" x14ac:dyDescent="0.2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</row>
    <row r="488" spans="1:28" ht="15.75" customHeight="1" x14ac:dyDescent="0.2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</row>
    <row r="489" spans="1:28" ht="15.75" customHeight="1" x14ac:dyDescent="0.2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</row>
    <row r="490" spans="1:28" ht="15.75" customHeight="1" x14ac:dyDescent="0.2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</row>
    <row r="491" spans="1:28" ht="15.75" customHeight="1" x14ac:dyDescent="0.2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</row>
    <row r="492" spans="1:28" ht="15.75" customHeight="1" x14ac:dyDescent="0.2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</row>
    <row r="493" spans="1:28" ht="15.75" customHeight="1" x14ac:dyDescent="0.2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</row>
    <row r="494" spans="1:28" ht="15.75" customHeight="1" x14ac:dyDescent="0.2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</row>
    <row r="495" spans="1:28" ht="15.75" customHeight="1" x14ac:dyDescent="0.2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</row>
    <row r="496" spans="1:28" ht="15.75" customHeight="1" x14ac:dyDescent="0.2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</row>
    <row r="497" spans="1:28" ht="15.75" customHeight="1" x14ac:dyDescent="0.2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</row>
    <row r="498" spans="1:28" ht="15.75" customHeight="1" x14ac:dyDescent="0.2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</row>
    <row r="499" spans="1:28" ht="15.75" customHeight="1" x14ac:dyDescent="0.2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</row>
    <row r="500" spans="1:28" ht="15.75" customHeight="1" x14ac:dyDescent="0.2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</row>
    <row r="501" spans="1:28" ht="15.75" customHeight="1" x14ac:dyDescent="0.2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</row>
    <row r="502" spans="1:28" ht="15.75" customHeight="1" x14ac:dyDescent="0.2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</row>
    <row r="503" spans="1:28" ht="15.75" customHeight="1" x14ac:dyDescent="0.2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</row>
    <row r="504" spans="1:28" ht="15.75" customHeight="1" x14ac:dyDescent="0.2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</row>
    <row r="505" spans="1:28" ht="15.75" customHeight="1" x14ac:dyDescent="0.2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</row>
    <row r="506" spans="1:28" ht="15.75" customHeight="1" x14ac:dyDescent="0.2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</row>
    <row r="507" spans="1:28" ht="15.75" customHeight="1" x14ac:dyDescent="0.2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</row>
    <row r="508" spans="1:28" ht="15.75" customHeight="1" x14ac:dyDescent="0.2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</row>
    <row r="509" spans="1:28" ht="15.75" customHeight="1" x14ac:dyDescent="0.2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</row>
    <row r="510" spans="1:28" ht="15.75" customHeight="1" x14ac:dyDescent="0.2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</row>
    <row r="511" spans="1:28" ht="15.75" customHeight="1" x14ac:dyDescent="0.2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</row>
    <row r="512" spans="1:28" ht="15.75" customHeight="1" x14ac:dyDescent="0.2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</row>
    <row r="513" spans="1:28" ht="15.75" customHeight="1" x14ac:dyDescent="0.2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</row>
    <row r="514" spans="1:28" ht="15.75" customHeight="1" x14ac:dyDescent="0.2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</row>
    <row r="515" spans="1:28" ht="15.75" customHeight="1" x14ac:dyDescent="0.2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</row>
    <row r="516" spans="1:28" ht="15.75" customHeight="1" x14ac:dyDescent="0.2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</row>
    <row r="517" spans="1:28" ht="15.75" customHeight="1" x14ac:dyDescent="0.2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</row>
    <row r="518" spans="1:28" ht="15.75" customHeight="1" x14ac:dyDescent="0.2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</row>
    <row r="519" spans="1:28" ht="15.75" customHeight="1" x14ac:dyDescent="0.2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</row>
    <row r="520" spans="1:28" ht="15.75" customHeight="1" x14ac:dyDescent="0.2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</row>
    <row r="521" spans="1:28" ht="15.75" customHeight="1" x14ac:dyDescent="0.2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</row>
    <row r="522" spans="1:28" ht="15.75" customHeight="1" x14ac:dyDescent="0.2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</row>
    <row r="523" spans="1:28" ht="15.75" customHeight="1" x14ac:dyDescent="0.2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</row>
    <row r="524" spans="1:28" ht="15.75" customHeight="1" x14ac:dyDescent="0.2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</row>
    <row r="525" spans="1:28" ht="15.75" customHeight="1" x14ac:dyDescent="0.2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</row>
    <row r="526" spans="1:28" ht="15.75" customHeight="1" x14ac:dyDescent="0.2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</row>
    <row r="527" spans="1:28" ht="15.75" customHeight="1" x14ac:dyDescent="0.2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</row>
    <row r="528" spans="1:28" ht="15.75" customHeight="1" x14ac:dyDescent="0.2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</row>
    <row r="529" spans="1:28" ht="15.75" customHeight="1" x14ac:dyDescent="0.2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</row>
    <row r="530" spans="1:28" ht="15.75" customHeight="1" x14ac:dyDescent="0.2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</row>
    <row r="531" spans="1:28" ht="15.75" customHeight="1" x14ac:dyDescent="0.2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</row>
    <row r="532" spans="1:28" ht="15.75" customHeight="1" x14ac:dyDescent="0.2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</row>
    <row r="533" spans="1:28" ht="15.75" customHeight="1" x14ac:dyDescent="0.2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</row>
    <row r="534" spans="1:28" ht="15.75" customHeight="1" x14ac:dyDescent="0.2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</row>
    <row r="535" spans="1:28" ht="15.75" customHeight="1" x14ac:dyDescent="0.2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</row>
    <row r="536" spans="1:28" ht="15.75" customHeight="1" x14ac:dyDescent="0.2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</row>
    <row r="537" spans="1:28" ht="15.75" customHeight="1" x14ac:dyDescent="0.2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</row>
    <row r="538" spans="1:28" ht="15.75" customHeight="1" x14ac:dyDescent="0.2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</row>
    <row r="539" spans="1:28" ht="15.75" customHeight="1" x14ac:dyDescent="0.2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</row>
    <row r="540" spans="1:28" ht="15.75" customHeight="1" x14ac:dyDescent="0.2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</row>
    <row r="541" spans="1:28" ht="15.75" customHeight="1" x14ac:dyDescent="0.2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</row>
    <row r="542" spans="1:28" ht="15.75" customHeight="1" x14ac:dyDescent="0.2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</row>
    <row r="543" spans="1:28" ht="15.75" customHeight="1" x14ac:dyDescent="0.2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</row>
    <row r="544" spans="1:28" ht="15.75" customHeight="1" x14ac:dyDescent="0.2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</row>
    <row r="545" spans="1:28" ht="15.75" customHeight="1" x14ac:dyDescent="0.2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</row>
    <row r="546" spans="1:28" ht="15.75" customHeight="1" x14ac:dyDescent="0.2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</row>
    <row r="547" spans="1:28" ht="15.75" customHeight="1" x14ac:dyDescent="0.2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</row>
    <row r="548" spans="1:28" ht="15.75" customHeight="1" x14ac:dyDescent="0.2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</row>
    <row r="549" spans="1:28" ht="15.75" customHeight="1" x14ac:dyDescent="0.2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</row>
    <row r="550" spans="1:28" ht="15.75" customHeight="1" x14ac:dyDescent="0.2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</row>
    <row r="551" spans="1:28" ht="15.75" customHeight="1" x14ac:dyDescent="0.2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</row>
    <row r="552" spans="1:28" ht="15.75" customHeight="1" x14ac:dyDescent="0.2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</row>
    <row r="553" spans="1:28" ht="15.75" customHeight="1" x14ac:dyDescent="0.2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</row>
    <row r="554" spans="1:28" ht="15.75" customHeight="1" x14ac:dyDescent="0.2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</row>
    <row r="555" spans="1:28" ht="15.75" customHeight="1" x14ac:dyDescent="0.2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</row>
    <row r="556" spans="1:28" ht="15.75" customHeight="1" x14ac:dyDescent="0.2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</row>
    <row r="557" spans="1:28" ht="15.75" customHeight="1" x14ac:dyDescent="0.2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</row>
    <row r="558" spans="1:28" ht="15.75" customHeight="1" x14ac:dyDescent="0.2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</row>
    <row r="559" spans="1:28" ht="15.75" customHeight="1" x14ac:dyDescent="0.2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</row>
    <row r="560" spans="1:28" ht="15.75" customHeight="1" x14ac:dyDescent="0.2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</row>
    <row r="561" spans="1:28" ht="15.75" customHeight="1" x14ac:dyDescent="0.2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</row>
    <row r="562" spans="1:28" ht="15.75" customHeight="1" x14ac:dyDescent="0.2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</row>
    <row r="563" spans="1:28" ht="15.75" customHeight="1" x14ac:dyDescent="0.2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</row>
    <row r="564" spans="1:28" ht="15.75" customHeight="1" x14ac:dyDescent="0.2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</row>
    <row r="565" spans="1:28" ht="15.75" customHeight="1" x14ac:dyDescent="0.2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</row>
    <row r="566" spans="1:28" ht="15.75" customHeight="1" x14ac:dyDescent="0.2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</row>
    <row r="567" spans="1:28" ht="15.75" customHeight="1" x14ac:dyDescent="0.2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</row>
    <row r="568" spans="1:28" ht="15.75" customHeight="1" x14ac:dyDescent="0.2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</row>
    <row r="569" spans="1:28" ht="15.75" customHeight="1" x14ac:dyDescent="0.2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</row>
    <row r="570" spans="1:28" ht="15.75" customHeight="1" x14ac:dyDescent="0.2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</row>
    <row r="571" spans="1:28" ht="15.75" customHeight="1" x14ac:dyDescent="0.2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</row>
    <row r="572" spans="1:28" ht="15.75" customHeight="1" x14ac:dyDescent="0.2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</row>
    <row r="573" spans="1:28" ht="15.75" customHeight="1" x14ac:dyDescent="0.2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</row>
    <row r="574" spans="1:28" ht="15.75" customHeight="1" x14ac:dyDescent="0.2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</row>
    <row r="575" spans="1:28" ht="15.75" customHeight="1" x14ac:dyDescent="0.2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</row>
    <row r="576" spans="1:28" ht="15.75" customHeight="1" x14ac:dyDescent="0.2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</row>
    <row r="577" spans="1:28" ht="15.75" customHeight="1" x14ac:dyDescent="0.2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</row>
    <row r="578" spans="1:28" ht="15.75" customHeight="1" x14ac:dyDescent="0.2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</row>
    <row r="579" spans="1:28" ht="15.75" customHeight="1" x14ac:dyDescent="0.2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</row>
    <row r="580" spans="1:28" ht="15.75" customHeight="1" x14ac:dyDescent="0.2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</row>
    <row r="581" spans="1:28" ht="15.75" customHeight="1" x14ac:dyDescent="0.2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</row>
    <row r="582" spans="1:28" ht="15.75" customHeight="1" x14ac:dyDescent="0.2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</row>
    <row r="583" spans="1:28" ht="15.75" customHeight="1" x14ac:dyDescent="0.2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</row>
    <row r="584" spans="1:28" ht="15.75" customHeight="1" x14ac:dyDescent="0.2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</row>
    <row r="585" spans="1:28" ht="15.75" customHeight="1" x14ac:dyDescent="0.2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</row>
    <row r="586" spans="1:28" ht="15.75" customHeight="1" x14ac:dyDescent="0.2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</row>
    <row r="587" spans="1:28" ht="15.75" customHeight="1" x14ac:dyDescent="0.2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</row>
    <row r="588" spans="1:28" ht="15.75" customHeight="1" x14ac:dyDescent="0.2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</row>
    <row r="589" spans="1:28" ht="15.75" customHeight="1" x14ac:dyDescent="0.2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</row>
    <row r="590" spans="1:28" ht="15.75" customHeight="1" x14ac:dyDescent="0.2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</row>
    <row r="591" spans="1:28" ht="15.75" customHeight="1" x14ac:dyDescent="0.2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</row>
    <row r="592" spans="1:28" ht="15.75" customHeight="1" x14ac:dyDescent="0.2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</row>
    <row r="593" spans="1:28" ht="15.75" customHeight="1" x14ac:dyDescent="0.2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</row>
    <row r="594" spans="1:28" ht="15.75" customHeight="1" x14ac:dyDescent="0.2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</row>
    <row r="595" spans="1:28" ht="15.75" customHeight="1" x14ac:dyDescent="0.2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</row>
    <row r="596" spans="1:28" ht="15.75" customHeight="1" x14ac:dyDescent="0.2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</row>
    <row r="597" spans="1:28" ht="15.75" customHeight="1" x14ac:dyDescent="0.2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</row>
    <row r="598" spans="1:28" ht="15.75" customHeight="1" x14ac:dyDescent="0.2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</row>
    <row r="599" spans="1:28" ht="15.75" customHeight="1" x14ac:dyDescent="0.2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</row>
    <row r="600" spans="1:28" ht="15.75" customHeight="1" x14ac:dyDescent="0.2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</row>
    <row r="601" spans="1:28" ht="15.75" customHeight="1" x14ac:dyDescent="0.2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</row>
    <row r="602" spans="1:28" ht="15.75" customHeight="1" x14ac:dyDescent="0.2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</row>
    <row r="603" spans="1:28" ht="15.75" customHeight="1" x14ac:dyDescent="0.2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</row>
    <row r="604" spans="1:28" ht="15.75" customHeight="1" x14ac:dyDescent="0.2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</row>
    <row r="605" spans="1:28" ht="15.75" customHeight="1" x14ac:dyDescent="0.2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</row>
    <row r="606" spans="1:28" ht="15.75" customHeight="1" x14ac:dyDescent="0.2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</row>
    <row r="607" spans="1:28" ht="15.75" customHeight="1" x14ac:dyDescent="0.2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</row>
    <row r="608" spans="1:28" ht="15.75" customHeight="1" x14ac:dyDescent="0.2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</row>
    <row r="609" spans="1:28" ht="15.75" customHeight="1" x14ac:dyDescent="0.2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</row>
    <row r="610" spans="1:28" ht="15.75" customHeight="1" x14ac:dyDescent="0.2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</row>
    <row r="611" spans="1:28" ht="15.75" customHeight="1" x14ac:dyDescent="0.2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</row>
    <row r="612" spans="1:28" ht="15.75" customHeight="1" x14ac:dyDescent="0.2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</row>
    <row r="613" spans="1:28" ht="15.75" customHeight="1" x14ac:dyDescent="0.2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</row>
    <row r="614" spans="1:28" ht="15.75" customHeight="1" x14ac:dyDescent="0.2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</row>
    <row r="615" spans="1:28" ht="15.75" customHeight="1" x14ac:dyDescent="0.2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</row>
    <row r="616" spans="1:28" ht="15.75" customHeight="1" x14ac:dyDescent="0.2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</row>
    <row r="617" spans="1:28" ht="15.75" customHeight="1" x14ac:dyDescent="0.2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</row>
    <row r="618" spans="1:28" ht="15.75" customHeight="1" x14ac:dyDescent="0.2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</row>
    <row r="619" spans="1:28" ht="15.75" customHeight="1" x14ac:dyDescent="0.2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</row>
    <row r="620" spans="1:28" ht="15.75" customHeight="1" x14ac:dyDescent="0.2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</row>
    <row r="621" spans="1:28" ht="15.75" customHeight="1" x14ac:dyDescent="0.2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</row>
    <row r="622" spans="1:28" ht="15.75" customHeight="1" x14ac:dyDescent="0.2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</row>
    <row r="623" spans="1:28" ht="15.75" customHeight="1" x14ac:dyDescent="0.2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</row>
    <row r="624" spans="1:28" ht="15.75" customHeight="1" x14ac:dyDescent="0.2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</row>
    <row r="625" spans="1:28" ht="15.75" customHeight="1" x14ac:dyDescent="0.2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</row>
    <row r="626" spans="1:28" ht="15.75" customHeight="1" x14ac:dyDescent="0.2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</row>
    <row r="627" spans="1:28" ht="15.75" customHeight="1" x14ac:dyDescent="0.2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</row>
    <row r="628" spans="1:28" ht="15.75" customHeight="1" x14ac:dyDescent="0.2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</row>
    <row r="629" spans="1:28" ht="15.75" customHeight="1" x14ac:dyDescent="0.2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</row>
    <row r="630" spans="1:28" ht="15.75" customHeight="1" x14ac:dyDescent="0.2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</row>
    <row r="631" spans="1:28" ht="15.75" customHeight="1" x14ac:dyDescent="0.2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</row>
    <row r="632" spans="1:28" ht="15.75" customHeight="1" x14ac:dyDescent="0.2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</row>
    <row r="633" spans="1:28" ht="15.75" customHeight="1" x14ac:dyDescent="0.2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</row>
    <row r="634" spans="1:28" ht="15.75" customHeight="1" x14ac:dyDescent="0.2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</row>
    <row r="635" spans="1:28" ht="15.75" customHeight="1" x14ac:dyDescent="0.2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</row>
    <row r="636" spans="1:28" ht="15.75" customHeight="1" x14ac:dyDescent="0.2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</row>
    <row r="637" spans="1:28" ht="15.75" customHeight="1" x14ac:dyDescent="0.2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</row>
    <row r="638" spans="1:28" ht="15.75" customHeight="1" x14ac:dyDescent="0.2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</row>
    <row r="639" spans="1:28" ht="15.75" customHeight="1" x14ac:dyDescent="0.2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</row>
    <row r="640" spans="1:28" ht="15.75" customHeight="1" x14ac:dyDescent="0.2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</row>
    <row r="641" spans="1:28" ht="15.75" customHeight="1" x14ac:dyDescent="0.2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</row>
    <row r="642" spans="1:28" ht="15.75" customHeight="1" x14ac:dyDescent="0.2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</row>
    <row r="643" spans="1:28" ht="15.75" customHeight="1" x14ac:dyDescent="0.2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</row>
    <row r="644" spans="1:28" ht="15.75" customHeight="1" x14ac:dyDescent="0.2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</row>
    <row r="645" spans="1:28" ht="15.75" customHeight="1" x14ac:dyDescent="0.2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</row>
    <row r="646" spans="1:28" ht="15.75" customHeight="1" x14ac:dyDescent="0.2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</row>
    <row r="647" spans="1:28" ht="15.75" customHeight="1" x14ac:dyDescent="0.2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</row>
    <row r="648" spans="1:28" ht="15.75" customHeight="1" x14ac:dyDescent="0.2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</row>
    <row r="649" spans="1:28" ht="15.75" customHeight="1" x14ac:dyDescent="0.2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</row>
    <row r="650" spans="1:28" ht="15.75" customHeight="1" x14ac:dyDescent="0.2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</row>
    <row r="651" spans="1:28" ht="15.75" customHeight="1" x14ac:dyDescent="0.2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</row>
    <row r="652" spans="1:28" ht="15.75" customHeight="1" x14ac:dyDescent="0.2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</row>
    <row r="653" spans="1:28" ht="15.75" customHeight="1" x14ac:dyDescent="0.2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</row>
    <row r="654" spans="1:28" ht="15.75" customHeight="1" x14ac:dyDescent="0.2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</row>
    <row r="655" spans="1:28" ht="15.75" customHeight="1" x14ac:dyDescent="0.2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</row>
    <row r="656" spans="1:28" ht="15.75" customHeight="1" x14ac:dyDescent="0.2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</row>
    <row r="657" spans="1:28" ht="15.75" customHeight="1" x14ac:dyDescent="0.2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</row>
    <row r="658" spans="1:28" ht="15.75" customHeight="1" x14ac:dyDescent="0.2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</row>
    <row r="659" spans="1:28" ht="15.75" customHeight="1" x14ac:dyDescent="0.2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</row>
    <row r="660" spans="1:28" ht="15.75" customHeight="1" x14ac:dyDescent="0.2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</row>
    <row r="661" spans="1:28" ht="15.75" customHeight="1" x14ac:dyDescent="0.2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</row>
    <row r="662" spans="1:28" ht="15.75" customHeight="1" x14ac:dyDescent="0.2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</row>
    <row r="663" spans="1:28" ht="15.75" customHeight="1" x14ac:dyDescent="0.2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</row>
    <row r="664" spans="1:28" ht="15.75" customHeight="1" x14ac:dyDescent="0.2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</row>
    <row r="665" spans="1:28" ht="15.75" customHeight="1" x14ac:dyDescent="0.2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</row>
    <row r="666" spans="1:28" ht="15.75" customHeight="1" x14ac:dyDescent="0.2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</row>
    <row r="667" spans="1:28" ht="15.75" customHeight="1" x14ac:dyDescent="0.2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</row>
    <row r="668" spans="1:28" ht="15.75" customHeight="1" x14ac:dyDescent="0.2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</row>
    <row r="669" spans="1:28" ht="15.75" customHeight="1" x14ac:dyDescent="0.2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</row>
    <row r="670" spans="1:28" ht="15.75" customHeight="1" x14ac:dyDescent="0.2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</row>
    <row r="671" spans="1:28" ht="15.75" customHeight="1" x14ac:dyDescent="0.2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</row>
    <row r="672" spans="1:28" ht="15.75" customHeight="1" x14ac:dyDescent="0.2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</row>
    <row r="673" spans="1:28" ht="15.75" customHeight="1" x14ac:dyDescent="0.2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</row>
    <row r="674" spans="1:28" ht="15.75" customHeight="1" x14ac:dyDescent="0.2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</row>
    <row r="675" spans="1:28" ht="15.75" customHeight="1" x14ac:dyDescent="0.2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</row>
    <row r="676" spans="1:28" ht="15.75" customHeight="1" x14ac:dyDescent="0.2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</row>
    <row r="677" spans="1:28" ht="15.75" customHeight="1" x14ac:dyDescent="0.2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</row>
    <row r="678" spans="1:28" ht="15.75" customHeight="1" x14ac:dyDescent="0.2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</row>
    <row r="679" spans="1:28" ht="15.75" customHeight="1" x14ac:dyDescent="0.2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</row>
    <row r="680" spans="1:28" ht="15.75" customHeight="1" x14ac:dyDescent="0.2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</row>
    <row r="681" spans="1:28" ht="15.75" customHeight="1" x14ac:dyDescent="0.2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</row>
    <row r="682" spans="1:28" ht="15.75" customHeight="1" x14ac:dyDescent="0.2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</row>
    <row r="683" spans="1:28" ht="15.75" customHeight="1" x14ac:dyDescent="0.2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</row>
    <row r="684" spans="1:28" ht="15.75" customHeight="1" x14ac:dyDescent="0.2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</row>
    <row r="685" spans="1:28" ht="15.75" customHeight="1" x14ac:dyDescent="0.2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</row>
    <row r="686" spans="1:28" ht="15.75" customHeight="1" x14ac:dyDescent="0.2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</row>
    <row r="687" spans="1:28" ht="15.75" customHeight="1" x14ac:dyDescent="0.2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</row>
    <row r="688" spans="1:28" ht="15.75" customHeight="1" x14ac:dyDescent="0.2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</row>
    <row r="689" spans="1:28" ht="15.75" customHeight="1" x14ac:dyDescent="0.2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</row>
    <row r="690" spans="1:28" ht="15.75" customHeight="1" x14ac:dyDescent="0.2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</row>
    <row r="691" spans="1:28" ht="15.75" customHeight="1" x14ac:dyDescent="0.2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</row>
    <row r="692" spans="1:28" ht="15.75" customHeight="1" x14ac:dyDescent="0.2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</row>
    <row r="693" spans="1:28" ht="15.75" customHeight="1" x14ac:dyDescent="0.2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</row>
    <row r="694" spans="1:28" ht="15.75" customHeight="1" x14ac:dyDescent="0.2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</row>
    <row r="695" spans="1:28" ht="15.75" customHeight="1" x14ac:dyDescent="0.2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</row>
    <row r="696" spans="1:28" ht="15.75" customHeight="1" x14ac:dyDescent="0.2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</row>
    <row r="697" spans="1:28" ht="15.75" customHeight="1" x14ac:dyDescent="0.2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</row>
    <row r="698" spans="1:28" ht="15.75" customHeight="1" x14ac:dyDescent="0.2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</row>
    <row r="699" spans="1:28" ht="15.75" customHeight="1" x14ac:dyDescent="0.2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</row>
    <row r="700" spans="1:28" ht="15.75" customHeight="1" x14ac:dyDescent="0.2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</row>
    <row r="701" spans="1:28" ht="15.75" customHeight="1" x14ac:dyDescent="0.2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</row>
    <row r="702" spans="1:28" ht="15.75" customHeight="1" x14ac:dyDescent="0.2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</row>
    <row r="703" spans="1:28" ht="15.75" customHeight="1" x14ac:dyDescent="0.2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</row>
    <row r="704" spans="1:28" ht="15.75" customHeight="1" x14ac:dyDescent="0.2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</row>
    <row r="705" spans="1:28" ht="15.75" customHeight="1" x14ac:dyDescent="0.2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</row>
    <row r="706" spans="1:28" ht="15.75" customHeight="1" x14ac:dyDescent="0.2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</row>
    <row r="707" spans="1:28" ht="15.75" customHeight="1" x14ac:dyDescent="0.2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</row>
    <row r="708" spans="1:28" ht="15.75" customHeight="1" x14ac:dyDescent="0.2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</row>
    <row r="709" spans="1:28" ht="15.75" customHeight="1" x14ac:dyDescent="0.2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</row>
    <row r="710" spans="1:28" ht="15.75" customHeight="1" x14ac:dyDescent="0.2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</row>
    <row r="711" spans="1:28" ht="15.75" customHeight="1" x14ac:dyDescent="0.2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</row>
    <row r="712" spans="1:28" ht="15.75" customHeight="1" x14ac:dyDescent="0.2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</row>
    <row r="713" spans="1:28" ht="15.75" customHeight="1" x14ac:dyDescent="0.2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</row>
    <row r="714" spans="1:28" ht="15.75" customHeight="1" x14ac:dyDescent="0.2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</row>
    <row r="715" spans="1:28" ht="15.75" customHeight="1" x14ac:dyDescent="0.2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</row>
    <row r="716" spans="1:28" ht="15.75" customHeight="1" x14ac:dyDescent="0.2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</row>
    <row r="717" spans="1:28" ht="15.75" customHeight="1" x14ac:dyDescent="0.2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</row>
    <row r="718" spans="1:28" ht="15.75" customHeight="1" x14ac:dyDescent="0.2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</row>
    <row r="719" spans="1:28" ht="15.75" customHeight="1" x14ac:dyDescent="0.2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</row>
    <row r="720" spans="1:28" ht="15.75" customHeight="1" x14ac:dyDescent="0.2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</row>
    <row r="721" spans="1:28" ht="15.75" customHeight="1" x14ac:dyDescent="0.2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</row>
    <row r="722" spans="1:28" ht="15.75" customHeight="1" x14ac:dyDescent="0.2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</row>
    <row r="723" spans="1:28" ht="15.75" customHeight="1" x14ac:dyDescent="0.2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</row>
    <row r="724" spans="1:28" ht="15.75" customHeight="1" x14ac:dyDescent="0.2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</row>
    <row r="725" spans="1:28" ht="15.75" customHeight="1" x14ac:dyDescent="0.2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</row>
    <row r="726" spans="1:28" ht="15.75" customHeight="1" x14ac:dyDescent="0.2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</row>
    <row r="727" spans="1:28" ht="15.75" customHeight="1" x14ac:dyDescent="0.2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</row>
    <row r="728" spans="1:28" ht="15.75" customHeight="1" x14ac:dyDescent="0.2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</row>
    <row r="729" spans="1:28" ht="15.75" customHeight="1" x14ac:dyDescent="0.2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</row>
    <row r="730" spans="1:28" ht="15.75" customHeight="1" x14ac:dyDescent="0.2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</row>
    <row r="731" spans="1:28" ht="15.75" customHeight="1" x14ac:dyDescent="0.2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</row>
    <row r="732" spans="1:28" ht="15.75" customHeight="1" x14ac:dyDescent="0.2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</row>
    <row r="733" spans="1:28" ht="15.75" customHeight="1" x14ac:dyDescent="0.2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</row>
    <row r="734" spans="1:28" ht="15.75" customHeight="1" x14ac:dyDescent="0.2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</row>
    <row r="735" spans="1:28" ht="15.75" customHeight="1" x14ac:dyDescent="0.2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</row>
    <row r="736" spans="1:28" ht="15.75" customHeight="1" x14ac:dyDescent="0.2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</row>
    <row r="737" spans="1:28" ht="15.75" customHeight="1" x14ac:dyDescent="0.2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</row>
    <row r="738" spans="1:28" ht="15.75" customHeight="1" x14ac:dyDescent="0.2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</row>
    <row r="739" spans="1:28" ht="15.75" customHeight="1" x14ac:dyDescent="0.2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</row>
    <row r="740" spans="1:28" ht="15.75" customHeight="1" x14ac:dyDescent="0.2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</row>
    <row r="741" spans="1:28" ht="15.75" customHeight="1" x14ac:dyDescent="0.2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</row>
    <row r="742" spans="1:28" ht="15.75" customHeight="1" x14ac:dyDescent="0.2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</row>
    <row r="743" spans="1:28" ht="15.75" customHeight="1" x14ac:dyDescent="0.2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</row>
    <row r="744" spans="1:28" ht="15.75" customHeight="1" x14ac:dyDescent="0.2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</row>
    <row r="745" spans="1:28" ht="15.75" customHeight="1" x14ac:dyDescent="0.2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</row>
    <row r="746" spans="1:28" ht="15.75" customHeight="1" x14ac:dyDescent="0.2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</row>
    <row r="747" spans="1:28" ht="15.75" customHeight="1" x14ac:dyDescent="0.2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</row>
    <row r="748" spans="1:28" ht="15.75" customHeight="1" x14ac:dyDescent="0.2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</row>
    <row r="749" spans="1:28" ht="15.75" customHeight="1" x14ac:dyDescent="0.2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</row>
    <row r="750" spans="1:28" ht="15.75" customHeight="1" x14ac:dyDescent="0.2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</row>
    <row r="751" spans="1:28" ht="15.75" customHeight="1" x14ac:dyDescent="0.2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</row>
    <row r="752" spans="1:28" ht="15.75" customHeight="1" x14ac:dyDescent="0.2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</row>
    <row r="753" spans="1:28" ht="15.75" customHeight="1" x14ac:dyDescent="0.2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</row>
    <row r="754" spans="1:28" ht="15.75" customHeight="1" x14ac:dyDescent="0.2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</row>
    <row r="755" spans="1:28" ht="15.75" customHeight="1" x14ac:dyDescent="0.2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</row>
    <row r="756" spans="1:28" ht="15.75" customHeight="1" x14ac:dyDescent="0.2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</row>
    <row r="757" spans="1:28" ht="15.75" customHeight="1" x14ac:dyDescent="0.2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</row>
    <row r="758" spans="1:28" ht="15.75" customHeight="1" x14ac:dyDescent="0.2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</row>
    <row r="759" spans="1:28" ht="15.75" customHeight="1" x14ac:dyDescent="0.2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</row>
    <row r="760" spans="1:28" ht="15.75" customHeight="1" x14ac:dyDescent="0.2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</row>
    <row r="761" spans="1:28" ht="15.75" customHeight="1" x14ac:dyDescent="0.2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</row>
    <row r="762" spans="1:28" ht="15.75" customHeight="1" x14ac:dyDescent="0.2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</row>
    <row r="763" spans="1:28" ht="15.75" customHeight="1" x14ac:dyDescent="0.2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</row>
    <row r="764" spans="1:28" ht="15.75" customHeight="1" x14ac:dyDescent="0.2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</row>
    <row r="765" spans="1:28" ht="15.75" customHeight="1" x14ac:dyDescent="0.2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</row>
    <row r="766" spans="1:28" ht="15.75" customHeight="1" x14ac:dyDescent="0.2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</row>
    <row r="767" spans="1:28" ht="15.75" customHeight="1" x14ac:dyDescent="0.2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</row>
    <row r="768" spans="1:28" ht="15.75" customHeight="1" x14ac:dyDescent="0.2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</row>
    <row r="769" spans="1:28" ht="15.75" customHeight="1" x14ac:dyDescent="0.2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</row>
    <row r="770" spans="1:28" ht="15.75" customHeight="1" x14ac:dyDescent="0.2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</row>
    <row r="771" spans="1:28" ht="15.75" customHeight="1" x14ac:dyDescent="0.2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</row>
    <row r="772" spans="1:28" ht="15.75" customHeight="1" x14ac:dyDescent="0.2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</row>
    <row r="773" spans="1:28" ht="15.75" customHeight="1" x14ac:dyDescent="0.2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</row>
    <row r="774" spans="1:28" ht="15.75" customHeight="1" x14ac:dyDescent="0.2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</row>
    <row r="775" spans="1:28" ht="15.75" customHeight="1" x14ac:dyDescent="0.2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</row>
    <row r="776" spans="1:28" ht="15.75" customHeight="1" x14ac:dyDescent="0.2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</row>
    <row r="777" spans="1:28" ht="15.75" customHeight="1" x14ac:dyDescent="0.2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</row>
    <row r="778" spans="1:28" ht="15.75" customHeight="1" x14ac:dyDescent="0.2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</row>
    <row r="779" spans="1:28" ht="15.75" customHeight="1" x14ac:dyDescent="0.2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</row>
    <row r="780" spans="1:28" ht="15.75" customHeight="1" x14ac:dyDescent="0.2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</row>
    <row r="781" spans="1:28" ht="15.75" customHeight="1" x14ac:dyDescent="0.2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</row>
    <row r="782" spans="1:28" ht="15.75" customHeight="1" x14ac:dyDescent="0.2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</row>
    <row r="783" spans="1:28" ht="15.75" customHeight="1" x14ac:dyDescent="0.2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</row>
    <row r="784" spans="1:28" ht="15.75" customHeight="1" x14ac:dyDescent="0.2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</row>
    <row r="785" spans="1:28" ht="15.75" customHeight="1" x14ac:dyDescent="0.2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</row>
    <row r="786" spans="1:28" ht="15.75" customHeight="1" x14ac:dyDescent="0.2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</row>
    <row r="787" spans="1:28" ht="15.75" customHeight="1" x14ac:dyDescent="0.2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</row>
    <row r="788" spans="1:28" ht="15.75" customHeight="1" x14ac:dyDescent="0.2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</row>
    <row r="789" spans="1:28" ht="15.75" customHeight="1" x14ac:dyDescent="0.2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</row>
    <row r="790" spans="1:28" ht="15.75" customHeight="1" x14ac:dyDescent="0.2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</row>
    <row r="791" spans="1:28" ht="15.75" customHeight="1" x14ac:dyDescent="0.2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</row>
    <row r="792" spans="1:28" ht="15.75" customHeight="1" x14ac:dyDescent="0.2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</row>
    <row r="793" spans="1:28" ht="15.75" customHeight="1" x14ac:dyDescent="0.2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</row>
    <row r="794" spans="1:28" ht="15.75" customHeight="1" x14ac:dyDescent="0.2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</row>
    <row r="795" spans="1:28" ht="15.75" customHeight="1" x14ac:dyDescent="0.2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</row>
    <row r="796" spans="1:28" ht="15.75" customHeight="1" x14ac:dyDescent="0.2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</row>
    <row r="797" spans="1:28" ht="15.75" customHeight="1" x14ac:dyDescent="0.2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</row>
    <row r="798" spans="1:28" ht="15.75" customHeight="1" x14ac:dyDescent="0.2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</row>
    <row r="799" spans="1:28" ht="15.75" customHeight="1" x14ac:dyDescent="0.2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</row>
    <row r="800" spans="1:28" ht="15.75" customHeight="1" x14ac:dyDescent="0.2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</row>
    <row r="801" spans="1:28" ht="15.75" customHeight="1" x14ac:dyDescent="0.2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</row>
    <row r="802" spans="1:28" ht="15.75" customHeight="1" x14ac:dyDescent="0.2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</row>
    <row r="803" spans="1:28" ht="15.75" customHeight="1" x14ac:dyDescent="0.2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</row>
    <row r="804" spans="1:28" ht="15.75" customHeight="1" x14ac:dyDescent="0.2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</row>
    <row r="805" spans="1:28" ht="15.75" customHeight="1" x14ac:dyDescent="0.2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</row>
    <row r="806" spans="1:28" ht="15.75" customHeight="1" x14ac:dyDescent="0.2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</row>
    <row r="807" spans="1:28" ht="15.75" customHeight="1" x14ac:dyDescent="0.2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</row>
    <row r="808" spans="1:28" ht="15.75" customHeight="1" x14ac:dyDescent="0.2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</row>
    <row r="809" spans="1:28" ht="15.75" customHeight="1" x14ac:dyDescent="0.2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</row>
    <row r="810" spans="1:28" ht="15.75" customHeight="1" x14ac:dyDescent="0.2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</row>
    <row r="811" spans="1:28" ht="15.75" customHeight="1" x14ac:dyDescent="0.2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</row>
    <row r="812" spans="1:28" ht="15.75" customHeight="1" x14ac:dyDescent="0.2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</row>
    <row r="813" spans="1:28" ht="15.75" customHeight="1" x14ac:dyDescent="0.2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</row>
    <row r="814" spans="1:28" ht="15.75" customHeight="1" x14ac:dyDescent="0.2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</row>
    <row r="815" spans="1:28" ht="15.75" customHeight="1" x14ac:dyDescent="0.2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</row>
    <row r="816" spans="1:28" ht="15.75" customHeight="1" x14ac:dyDescent="0.2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</row>
    <row r="817" spans="1:28" ht="15.75" customHeight="1" x14ac:dyDescent="0.2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</row>
    <row r="818" spans="1:28" ht="15.75" customHeight="1" x14ac:dyDescent="0.2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</row>
    <row r="819" spans="1:28" ht="15.75" customHeight="1" x14ac:dyDescent="0.2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</row>
    <row r="820" spans="1:28" ht="15.75" customHeight="1" x14ac:dyDescent="0.2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</row>
    <row r="821" spans="1:28" ht="15.75" customHeight="1" x14ac:dyDescent="0.2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</row>
    <row r="822" spans="1:28" ht="15.75" customHeight="1" x14ac:dyDescent="0.2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</row>
    <row r="823" spans="1:28" ht="15.75" customHeight="1" x14ac:dyDescent="0.2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</row>
    <row r="824" spans="1:28" ht="15.75" customHeight="1" x14ac:dyDescent="0.2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</row>
    <row r="825" spans="1:28" ht="15.75" customHeight="1" x14ac:dyDescent="0.2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</row>
    <row r="826" spans="1:28" ht="15.75" customHeight="1" x14ac:dyDescent="0.2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</row>
    <row r="827" spans="1:28" ht="15.75" customHeight="1" x14ac:dyDescent="0.2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</row>
    <row r="828" spans="1:28" ht="15.75" customHeight="1" x14ac:dyDescent="0.2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</row>
    <row r="829" spans="1:28" ht="15.75" customHeight="1" x14ac:dyDescent="0.2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</row>
    <row r="830" spans="1:28" ht="15.75" customHeight="1" x14ac:dyDescent="0.2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</row>
    <row r="831" spans="1:28" ht="15.75" customHeight="1" x14ac:dyDescent="0.2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</row>
    <row r="832" spans="1:28" ht="15.75" customHeight="1" x14ac:dyDescent="0.2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</row>
    <row r="833" spans="1:28" ht="15.75" customHeight="1" x14ac:dyDescent="0.2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</row>
    <row r="834" spans="1:28" ht="15.75" customHeight="1" x14ac:dyDescent="0.2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</row>
    <row r="835" spans="1:28" ht="15.75" customHeight="1" x14ac:dyDescent="0.2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</row>
    <row r="836" spans="1:28" ht="15.75" customHeight="1" x14ac:dyDescent="0.2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</row>
    <row r="837" spans="1:28" ht="15.75" customHeight="1" x14ac:dyDescent="0.2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</row>
    <row r="838" spans="1:28" ht="15.75" customHeight="1" x14ac:dyDescent="0.2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</row>
    <row r="839" spans="1:28" ht="15.75" customHeight="1" x14ac:dyDescent="0.2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</row>
    <row r="840" spans="1:28" ht="15.75" customHeight="1" x14ac:dyDescent="0.2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</row>
    <row r="841" spans="1:28" ht="15.75" customHeight="1" x14ac:dyDescent="0.2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</row>
    <row r="842" spans="1:28" ht="15.75" customHeight="1" x14ac:dyDescent="0.2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</row>
    <row r="843" spans="1:28" ht="15.75" customHeight="1" x14ac:dyDescent="0.2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</row>
    <row r="844" spans="1:28" ht="15.75" customHeight="1" x14ac:dyDescent="0.2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</row>
    <row r="845" spans="1:28" ht="15.75" customHeight="1" x14ac:dyDescent="0.2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</row>
    <row r="846" spans="1:28" ht="15.75" customHeight="1" x14ac:dyDescent="0.2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</row>
    <row r="847" spans="1:28" ht="15.75" customHeight="1" x14ac:dyDescent="0.2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</row>
    <row r="848" spans="1:28" ht="15.75" customHeight="1" x14ac:dyDescent="0.2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</row>
    <row r="849" spans="1:28" ht="15.75" customHeight="1" x14ac:dyDescent="0.2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</row>
    <row r="850" spans="1:28" ht="15.75" customHeight="1" x14ac:dyDescent="0.2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</row>
    <row r="851" spans="1:28" ht="15.75" customHeight="1" x14ac:dyDescent="0.2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</row>
    <row r="852" spans="1:28" ht="15.75" customHeight="1" x14ac:dyDescent="0.2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</row>
    <row r="853" spans="1:28" ht="15.75" customHeight="1" x14ac:dyDescent="0.2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</row>
    <row r="854" spans="1:28" ht="15.75" customHeight="1" x14ac:dyDescent="0.2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</row>
    <row r="855" spans="1:28" ht="15.75" customHeight="1" x14ac:dyDescent="0.2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</row>
    <row r="856" spans="1:28" ht="15.75" customHeight="1" x14ac:dyDescent="0.2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</row>
    <row r="857" spans="1:28" ht="15.75" customHeight="1" x14ac:dyDescent="0.2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</row>
    <row r="858" spans="1:28" ht="15.75" customHeight="1" x14ac:dyDescent="0.2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</row>
    <row r="859" spans="1:28" ht="15.75" customHeight="1" x14ac:dyDescent="0.2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</row>
    <row r="860" spans="1:28" ht="15.75" customHeight="1" x14ac:dyDescent="0.2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</row>
    <row r="861" spans="1:28" ht="15.75" customHeight="1" x14ac:dyDescent="0.2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</row>
    <row r="862" spans="1:28" ht="15.75" customHeight="1" x14ac:dyDescent="0.2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</row>
    <row r="863" spans="1:28" ht="15.75" customHeight="1" x14ac:dyDescent="0.2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</row>
    <row r="864" spans="1:28" ht="15.75" customHeight="1" x14ac:dyDescent="0.2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</row>
    <row r="865" spans="1:28" ht="15.75" customHeight="1" x14ac:dyDescent="0.2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</row>
    <row r="866" spans="1:28" ht="15.75" customHeight="1" x14ac:dyDescent="0.2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</row>
    <row r="867" spans="1:28" ht="15.75" customHeight="1" x14ac:dyDescent="0.2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</row>
    <row r="868" spans="1:28" ht="15.75" customHeight="1" x14ac:dyDescent="0.2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</row>
    <row r="869" spans="1:28" ht="15.75" customHeight="1" x14ac:dyDescent="0.2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</row>
    <row r="870" spans="1:28" ht="15.75" customHeight="1" x14ac:dyDescent="0.2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</row>
    <row r="871" spans="1:28" ht="15.75" customHeight="1" x14ac:dyDescent="0.2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</row>
    <row r="872" spans="1:28" ht="15.75" customHeight="1" x14ac:dyDescent="0.2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</row>
    <row r="873" spans="1:28" ht="15.75" customHeight="1" x14ac:dyDescent="0.2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</row>
    <row r="874" spans="1:28" ht="15.75" customHeight="1" x14ac:dyDescent="0.2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</row>
    <row r="875" spans="1:28" ht="15.75" customHeight="1" x14ac:dyDescent="0.2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</row>
    <row r="876" spans="1:28" ht="15.75" customHeight="1" x14ac:dyDescent="0.2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</row>
    <row r="877" spans="1:28" ht="15.75" customHeight="1" x14ac:dyDescent="0.2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</row>
    <row r="878" spans="1:28" ht="15.75" customHeight="1" x14ac:dyDescent="0.2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</row>
    <row r="879" spans="1:28" ht="15.75" customHeight="1" x14ac:dyDescent="0.2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</row>
    <row r="880" spans="1:28" ht="15.75" customHeight="1" x14ac:dyDescent="0.2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</row>
    <row r="881" spans="1:28" ht="15.75" customHeight="1" x14ac:dyDescent="0.2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</row>
    <row r="882" spans="1:28" ht="15.75" customHeight="1" x14ac:dyDescent="0.2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</row>
    <row r="883" spans="1:28" ht="15.75" customHeight="1" x14ac:dyDescent="0.2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</row>
    <row r="884" spans="1:28" ht="15.75" customHeight="1" x14ac:dyDescent="0.2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</row>
    <row r="885" spans="1:28" ht="15.75" customHeight="1" x14ac:dyDescent="0.2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</row>
    <row r="886" spans="1:28" ht="15.75" customHeight="1" x14ac:dyDescent="0.2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</row>
    <row r="887" spans="1:28" ht="15.75" customHeight="1" x14ac:dyDescent="0.2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</row>
    <row r="888" spans="1:28" ht="15.75" customHeight="1" x14ac:dyDescent="0.2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</row>
    <row r="889" spans="1:28" ht="15.75" customHeight="1" x14ac:dyDescent="0.2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</row>
    <row r="890" spans="1:28" ht="15.75" customHeight="1" x14ac:dyDescent="0.2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</row>
    <row r="891" spans="1:28" ht="15.75" customHeight="1" x14ac:dyDescent="0.2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</row>
    <row r="892" spans="1:28" ht="15.75" customHeight="1" x14ac:dyDescent="0.2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</row>
    <row r="893" spans="1:28" ht="15.75" customHeight="1" x14ac:dyDescent="0.2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</row>
    <row r="894" spans="1:28" ht="15.75" customHeight="1" x14ac:dyDescent="0.2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</row>
    <row r="895" spans="1:28" ht="15.75" customHeight="1" x14ac:dyDescent="0.2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</row>
    <row r="896" spans="1:28" ht="15.75" customHeight="1" x14ac:dyDescent="0.2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</row>
    <row r="897" spans="1:28" ht="15.75" customHeight="1" x14ac:dyDescent="0.2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</row>
    <row r="898" spans="1:28" ht="15.75" customHeight="1" x14ac:dyDescent="0.2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</row>
    <row r="899" spans="1:28" ht="15.75" customHeight="1" x14ac:dyDescent="0.2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</row>
    <row r="900" spans="1:28" ht="15.75" customHeight="1" x14ac:dyDescent="0.2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</row>
    <row r="901" spans="1:28" ht="15.75" customHeight="1" x14ac:dyDescent="0.2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</row>
    <row r="902" spans="1:28" ht="15.75" customHeight="1" x14ac:dyDescent="0.2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</row>
    <row r="903" spans="1:28" ht="15.75" customHeight="1" x14ac:dyDescent="0.2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</row>
    <row r="904" spans="1:28" ht="15.75" customHeight="1" x14ac:dyDescent="0.2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</row>
    <row r="905" spans="1:28" ht="15.75" customHeight="1" x14ac:dyDescent="0.2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</row>
    <row r="906" spans="1:28" ht="15.75" customHeight="1" x14ac:dyDescent="0.2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</row>
    <row r="907" spans="1:28" ht="15.75" customHeight="1" x14ac:dyDescent="0.2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</row>
    <row r="908" spans="1:28" ht="15.75" customHeight="1" x14ac:dyDescent="0.2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</row>
    <row r="909" spans="1:28" ht="15.75" customHeight="1" x14ac:dyDescent="0.2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</row>
    <row r="910" spans="1:28" ht="15.75" customHeight="1" x14ac:dyDescent="0.2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</row>
    <row r="911" spans="1:28" ht="15.75" customHeight="1" x14ac:dyDescent="0.2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</row>
    <row r="912" spans="1:28" ht="15.75" customHeight="1" x14ac:dyDescent="0.2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</row>
    <row r="913" spans="1:28" ht="15.75" customHeight="1" x14ac:dyDescent="0.2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</row>
    <row r="914" spans="1:28" ht="15.75" customHeight="1" x14ac:dyDescent="0.2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</row>
    <row r="915" spans="1:28" ht="15.75" customHeight="1" x14ac:dyDescent="0.2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</row>
    <row r="916" spans="1:28" ht="15.75" customHeight="1" x14ac:dyDescent="0.2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</row>
    <row r="917" spans="1:28" ht="15.75" customHeight="1" x14ac:dyDescent="0.2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</row>
    <row r="918" spans="1:28" ht="15.75" customHeight="1" x14ac:dyDescent="0.2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</row>
    <row r="919" spans="1:28" ht="15.75" customHeight="1" x14ac:dyDescent="0.2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</row>
    <row r="920" spans="1:28" ht="15.75" customHeight="1" x14ac:dyDescent="0.2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</row>
    <row r="921" spans="1:28" ht="15.75" customHeight="1" x14ac:dyDescent="0.2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</row>
    <row r="922" spans="1:28" ht="15.75" customHeight="1" x14ac:dyDescent="0.2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</row>
    <row r="923" spans="1:28" ht="15.75" customHeight="1" x14ac:dyDescent="0.2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</row>
    <row r="924" spans="1:28" ht="15.75" customHeight="1" x14ac:dyDescent="0.2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</row>
    <row r="925" spans="1:28" ht="15.75" customHeight="1" x14ac:dyDescent="0.2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</row>
    <row r="926" spans="1:28" ht="15.75" customHeight="1" x14ac:dyDescent="0.2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</row>
    <row r="927" spans="1:28" ht="15.75" customHeight="1" x14ac:dyDescent="0.2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</row>
    <row r="928" spans="1:28" ht="15.75" customHeight="1" x14ac:dyDescent="0.2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</row>
    <row r="929" spans="1:28" ht="15.75" customHeight="1" x14ac:dyDescent="0.2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</row>
    <row r="930" spans="1:28" ht="15.75" customHeight="1" x14ac:dyDescent="0.2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</row>
    <row r="931" spans="1:28" ht="15.75" customHeight="1" x14ac:dyDescent="0.2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</row>
    <row r="932" spans="1:28" ht="15.75" customHeight="1" x14ac:dyDescent="0.2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</row>
    <row r="933" spans="1:28" ht="15.75" customHeight="1" x14ac:dyDescent="0.2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</row>
    <row r="934" spans="1:28" ht="15.75" customHeight="1" x14ac:dyDescent="0.2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</row>
    <row r="935" spans="1:28" ht="15.75" customHeight="1" x14ac:dyDescent="0.2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</row>
    <row r="936" spans="1:28" ht="15.75" customHeight="1" x14ac:dyDescent="0.2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</row>
    <row r="937" spans="1:28" ht="15.75" customHeight="1" x14ac:dyDescent="0.2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</row>
    <row r="938" spans="1:28" ht="15.75" customHeight="1" x14ac:dyDescent="0.2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</row>
    <row r="939" spans="1:28" ht="15.75" customHeight="1" x14ac:dyDescent="0.2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</row>
    <row r="940" spans="1:28" ht="15.75" customHeight="1" x14ac:dyDescent="0.2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</row>
    <row r="941" spans="1:28" ht="15.75" customHeight="1" x14ac:dyDescent="0.2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</row>
    <row r="942" spans="1:28" ht="15.75" customHeight="1" x14ac:dyDescent="0.2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</row>
    <row r="943" spans="1:28" ht="15.75" customHeight="1" x14ac:dyDescent="0.2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</row>
    <row r="944" spans="1:28" ht="15.75" customHeight="1" x14ac:dyDescent="0.2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</row>
    <row r="945" spans="1:28" ht="15.75" customHeight="1" x14ac:dyDescent="0.2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</row>
    <row r="946" spans="1:28" ht="15.75" customHeight="1" x14ac:dyDescent="0.2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</row>
    <row r="947" spans="1:28" ht="15.75" customHeight="1" x14ac:dyDescent="0.2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</row>
    <row r="948" spans="1:28" ht="15.75" customHeight="1" x14ac:dyDescent="0.2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</row>
    <row r="949" spans="1:28" ht="15.75" customHeight="1" x14ac:dyDescent="0.2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</row>
    <row r="950" spans="1:28" ht="15.75" customHeight="1" x14ac:dyDescent="0.2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</row>
    <row r="951" spans="1:28" ht="15.75" customHeight="1" x14ac:dyDescent="0.2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</row>
    <row r="952" spans="1:28" ht="15.75" customHeight="1" x14ac:dyDescent="0.2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</row>
    <row r="953" spans="1:28" ht="15.75" customHeight="1" x14ac:dyDescent="0.2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</row>
    <row r="954" spans="1:28" ht="15.75" customHeight="1" x14ac:dyDescent="0.2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</row>
    <row r="955" spans="1:28" ht="15.75" customHeight="1" x14ac:dyDescent="0.2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</row>
    <row r="956" spans="1:28" ht="15.75" customHeight="1" x14ac:dyDescent="0.2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</row>
    <row r="957" spans="1:28" ht="15.75" customHeight="1" x14ac:dyDescent="0.2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</row>
    <row r="958" spans="1:28" ht="15.75" customHeight="1" x14ac:dyDescent="0.2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</row>
    <row r="959" spans="1:28" ht="15.75" customHeight="1" x14ac:dyDescent="0.2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</row>
    <row r="960" spans="1:28" ht="15.75" customHeight="1" x14ac:dyDescent="0.2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</row>
    <row r="961" spans="1:28" ht="15.75" customHeight="1" x14ac:dyDescent="0.2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</row>
    <row r="962" spans="1:28" ht="15.75" customHeight="1" x14ac:dyDescent="0.2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</row>
    <row r="963" spans="1:28" ht="15.75" customHeight="1" x14ac:dyDescent="0.2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</row>
    <row r="964" spans="1:28" ht="15.75" customHeight="1" x14ac:dyDescent="0.2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</row>
    <row r="965" spans="1:28" ht="15.75" customHeight="1" x14ac:dyDescent="0.2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</row>
    <row r="966" spans="1:28" ht="15.75" customHeight="1" x14ac:dyDescent="0.2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</row>
    <row r="967" spans="1:28" ht="15.75" customHeight="1" x14ac:dyDescent="0.2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</row>
    <row r="968" spans="1:28" ht="15.75" customHeight="1" x14ac:dyDescent="0.2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</row>
    <row r="969" spans="1:28" ht="15.75" customHeight="1" x14ac:dyDescent="0.2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</row>
    <row r="970" spans="1:28" ht="15.75" customHeight="1" x14ac:dyDescent="0.2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</row>
    <row r="971" spans="1:28" ht="15.75" customHeight="1" x14ac:dyDescent="0.2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</row>
    <row r="972" spans="1:28" ht="15.75" customHeight="1" x14ac:dyDescent="0.2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</row>
    <row r="973" spans="1:28" ht="15.75" customHeight="1" x14ac:dyDescent="0.2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</row>
    <row r="974" spans="1:28" ht="15.75" customHeight="1" x14ac:dyDescent="0.2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</row>
    <row r="975" spans="1:28" ht="15.75" customHeight="1" x14ac:dyDescent="0.2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</row>
    <row r="976" spans="1:28" ht="15.75" customHeight="1" x14ac:dyDescent="0.2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</row>
    <row r="977" spans="1:28" ht="15.75" customHeight="1" x14ac:dyDescent="0.2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</row>
    <row r="978" spans="1:28" ht="15.75" customHeight="1" x14ac:dyDescent="0.2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</row>
    <row r="979" spans="1:28" ht="15.75" customHeight="1" x14ac:dyDescent="0.2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</row>
    <row r="980" spans="1:28" ht="15.75" customHeight="1" x14ac:dyDescent="0.2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</row>
    <row r="981" spans="1:28" ht="15.75" customHeight="1" x14ac:dyDescent="0.2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</row>
    <row r="982" spans="1:28" ht="15.75" customHeight="1" x14ac:dyDescent="0.2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</row>
    <row r="983" spans="1:28" ht="15.75" customHeight="1" x14ac:dyDescent="0.2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</row>
    <row r="984" spans="1:28" ht="15.75" customHeight="1" x14ac:dyDescent="0.2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</row>
    <row r="985" spans="1:28" ht="15.75" customHeight="1" x14ac:dyDescent="0.2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</row>
    <row r="986" spans="1:28" ht="15.75" customHeight="1" x14ac:dyDescent="0.2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</row>
    <row r="987" spans="1:28" ht="15.75" customHeight="1" x14ac:dyDescent="0.2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</row>
    <row r="988" spans="1:28" ht="15.75" customHeight="1" x14ac:dyDescent="0.2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</row>
    <row r="989" spans="1:28" ht="15.75" customHeight="1" x14ac:dyDescent="0.2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</row>
    <row r="990" spans="1:28" ht="15.75" customHeight="1" x14ac:dyDescent="0.2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</row>
    <row r="991" spans="1:28" ht="15.75" customHeight="1" x14ac:dyDescent="0.2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</row>
    <row r="992" spans="1:28" ht="15.75" customHeight="1" x14ac:dyDescent="0.2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</row>
    <row r="993" spans="1:28" ht="15.75" customHeight="1" x14ac:dyDescent="0.2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</row>
    <row r="994" spans="1:28" ht="15.75" customHeight="1" x14ac:dyDescent="0.2">
      <c r="A994" s="122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  <c r="AB994" s="122"/>
    </row>
    <row r="995" spans="1:28" ht="15.75" customHeight="1" x14ac:dyDescent="0.2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  <c r="AB995" s="122"/>
    </row>
    <row r="996" spans="1:28" ht="15.75" customHeight="1" x14ac:dyDescent="0.2">
      <c r="A996" s="122"/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  <c r="AA996" s="122"/>
      <c r="AB996" s="122"/>
    </row>
    <row r="997" spans="1:28" ht="15.75" customHeight="1" x14ac:dyDescent="0.2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  <c r="AA997" s="122"/>
      <c r="AB997" s="122"/>
    </row>
    <row r="998" spans="1:28" ht="15.75" customHeight="1" x14ac:dyDescent="0.2">
      <c r="A998" s="122"/>
      <c r="B998" s="122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  <c r="AA998" s="122"/>
      <c r="AB998" s="122"/>
    </row>
    <row r="999" spans="1:28" ht="15.75" customHeight="1" x14ac:dyDescent="0.2">
      <c r="A999" s="122"/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  <c r="AA999" s="122"/>
      <c r="AB999" s="122"/>
    </row>
    <row r="1000" spans="1:28" ht="15.75" customHeight="1" x14ac:dyDescent="0.2">
      <c r="A1000" s="122"/>
      <c r="B1000" s="122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  <c r="AA1000" s="122"/>
      <c r="AB1000" s="122"/>
    </row>
    <row r="1001" spans="1:28" ht="15.75" customHeight="1" x14ac:dyDescent="0.2">
      <c r="A1001" s="122"/>
      <c r="F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  <c r="AA1001" s="122"/>
      <c r="AB1001" s="122"/>
    </row>
  </sheetData>
  <sheetProtection sheet="1" objects="1" scenarios="1" selectLockedCells="1"/>
  <mergeCells count="6">
    <mergeCell ref="B12:C12"/>
    <mergeCell ref="B2:D2"/>
    <mergeCell ref="G2:I2"/>
    <mergeCell ref="E3:E10"/>
    <mergeCell ref="J3:J6"/>
    <mergeCell ref="G8:H8"/>
  </mergeCells>
  <pageMargins left="0" right="0" top="0" bottom="0" header="0" footer="0"/>
  <pageSetup fitToHeight="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E18"/>
  <sheetViews>
    <sheetView workbookViewId="0">
      <selection activeCell="C13" sqref="C13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299" t="s">
        <v>85</v>
      </c>
      <c r="C2" s="300"/>
      <c r="D2" s="301"/>
      <c r="E2" s="38" t="s">
        <v>0</v>
      </c>
    </row>
    <row r="3" spans="2:5" ht="15.75" thickBot="1" x14ac:dyDescent="0.25">
      <c r="B3" s="21"/>
      <c r="C3" s="76" t="s">
        <v>92</v>
      </c>
      <c r="D3" s="234" t="s">
        <v>132</v>
      </c>
      <c r="E3" s="274">
        <f>ROUNDUP(C12/D6,1)</f>
        <v>1</v>
      </c>
    </row>
    <row r="4" spans="2:5" ht="41.25" x14ac:dyDescent="0.2">
      <c r="B4" s="230" t="s">
        <v>177</v>
      </c>
      <c r="C4" s="145">
        <v>2.4</v>
      </c>
      <c r="D4" s="145">
        <f>60*12*C4/16*1.15</f>
        <v>124.19999999999999</v>
      </c>
      <c r="E4" s="297"/>
    </row>
    <row r="5" spans="2:5" ht="15.75" thickBot="1" x14ac:dyDescent="0.25">
      <c r="B5" s="26" t="s">
        <v>86</v>
      </c>
      <c r="C5" s="231">
        <v>0.1</v>
      </c>
      <c r="D5" s="231">
        <f>60*12*C5/16*1.15</f>
        <v>5.1749999999999998</v>
      </c>
      <c r="E5" s="297"/>
    </row>
    <row r="6" spans="2:5" ht="15.75" thickBot="1" x14ac:dyDescent="0.25">
      <c r="B6" s="28" t="s">
        <v>17</v>
      </c>
      <c r="C6" s="233">
        <f>SUM(C4:C5)</f>
        <v>2.5</v>
      </c>
      <c r="D6" s="232">
        <f>SUM(D4:D5)</f>
        <v>129.375</v>
      </c>
      <c r="E6" s="276"/>
    </row>
    <row r="8" spans="2:5" x14ac:dyDescent="0.2">
      <c r="B8" s="258" t="s">
        <v>133</v>
      </c>
      <c r="C8" s="258"/>
      <c r="D8" s="94">
        <f>ROUNDDOWN(250/D6,2)</f>
        <v>1.93</v>
      </c>
    </row>
    <row r="10" spans="2:5" x14ac:dyDescent="0.2">
      <c r="B10" s="18" t="s">
        <v>29</v>
      </c>
      <c r="C10" s="64">
        <v>60</v>
      </c>
    </row>
    <row r="12" spans="2:5" x14ac:dyDescent="0.2">
      <c r="B12" s="18" t="s">
        <v>8</v>
      </c>
      <c r="C12" s="99">
        <f>((C10*12*C6/16)*1.15)-C13</f>
        <v>129.375</v>
      </c>
    </row>
    <row r="13" spans="2:5" x14ac:dyDescent="0.2">
      <c r="B13" s="18" t="s">
        <v>9</v>
      </c>
      <c r="C13" s="64">
        <v>0</v>
      </c>
    </row>
    <row r="14" spans="2:5" x14ac:dyDescent="0.2">
      <c r="B14" s="18" t="s">
        <v>10</v>
      </c>
      <c r="C14" s="99">
        <f>E3*D6</f>
        <v>129.375</v>
      </c>
    </row>
    <row r="16" spans="2:5" x14ac:dyDescent="0.2">
      <c r="B16" s="18" t="s">
        <v>11</v>
      </c>
    </row>
    <row r="17" spans="2:4" x14ac:dyDescent="0.2">
      <c r="B17" s="18" t="s">
        <v>81</v>
      </c>
      <c r="C17" s="99">
        <f>E3*D4</f>
        <v>124.19999999999999</v>
      </c>
      <c r="D17" s="18" t="s">
        <v>12</v>
      </c>
    </row>
    <row r="18" spans="2:4" x14ac:dyDescent="0.2">
      <c r="B18" s="18" t="s">
        <v>86</v>
      </c>
      <c r="C18" s="99">
        <f>E3*D5</f>
        <v>5.1749999999999998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2:E24"/>
  <sheetViews>
    <sheetView workbookViewId="0">
      <selection activeCell="C13" sqref="C13"/>
    </sheetView>
  </sheetViews>
  <sheetFormatPr defaultColWidth="14.390625" defaultRowHeight="15" x14ac:dyDescent="0.2"/>
  <cols>
    <col min="1" max="1" width="9.14453125" style="18" customWidth="1"/>
    <col min="2" max="2" width="29.05468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2" spans="2:5" ht="15.75" thickBot="1" x14ac:dyDescent="0.25">
      <c r="B2" s="305" t="s">
        <v>121</v>
      </c>
      <c r="C2" s="294"/>
      <c r="D2" s="295"/>
      <c r="E2" s="47" t="s">
        <v>0</v>
      </c>
    </row>
    <row r="3" spans="2:5" ht="15.75" thickBot="1" x14ac:dyDescent="0.25">
      <c r="B3" s="47"/>
      <c r="C3" s="47" t="s">
        <v>92</v>
      </c>
      <c r="D3" s="236" t="s">
        <v>132</v>
      </c>
      <c r="E3" s="274">
        <f>ROUNDUP(C15/D9,1)</f>
        <v>3</v>
      </c>
    </row>
    <row r="4" spans="2:5" x14ac:dyDescent="0.2">
      <c r="B4" s="23" t="s">
        <v>87</v>
      </c>
      <c r="C4" s="145">
        <v>0.75</v>
      </c>
      <c r="D4" s="96">
        <f>60*12*C4/16*1.15</f>
        <v>38.8125</v>
      </c>
      <c r="E4" s="275"/>
    </row>
    <row r="5" spans="2:5" x14ac:dyDescent="0.2">
      <c r="B5" s="45" t="s">
        <v>22</v>
      </c>
      <c r="C5" s="146">
        <v>0.75</v>
      </c>
      <c r="D5" s="235">
        <f>60*12*C5/16*1.15</f>
        <v>38.8125</v>
      </c>
      <c r="E5" s="275"/>
    </row>
    <row r="6" spans="2:5" x14ac:dyDescent="0.2">
      <c r="B6" s="45" t="s">
        <v>13</v>
      </c>
      <c r="C6" s="146"/>
      <c r="D6" s="235">
        <v>10</v>
      </c>
      <c r="E6" s="275"/>
    </row>
    <row r="7" spans="2:5" x14ac:dyDescent="0.2">
      <c r="B7" s="45" t="s">
        <v>23</v>
      </c>
      <c r="C7" s="146">
        <v>0.75</v>
      </c>
      <c r="D7" s="235">
        <f>60*12*C7/16*1.15</f>
        <v>38.8125</v>
      </c>
      <c r="E7" s="275"/>
    </row>
    <row r="8" spans="2:5" ht="15.75" thickBot="1" x14ac:dyDescent="0.25">
      <c r="B8" s="26" t="s">
        <v>24</v>
      </c>
      <c r="C8" s="231">
        <v>0.75</v>
      </c>
      <c r="D8" s="97">
        <f>60*12*C8/16*1.15</f>
        <v>38.8125</v>
      </c>
      <c r="E8" s="275"/>
    </row>
    <row r="9" spans="2:5" ht="15.75" thickBot="1" x14ac:dyDescent="0.25">
      <c r="B9" s="41" t="s">
        <v>17</v>
      </c>
      <c r="C9" s="115">
        <f>SUM(C4:C8)</f>
        <v>3</v>
      </c>
      <c r="D9" s="121">
        <f>SUM(D4,D5,D7,D8)</f>
        <v>155.25</v>
      </c>
      <c r="E9" s="276"/>
    </row>
    <row r="11" spans="2:5" x14ac:dyDescent="0.2">
      <c r="B11" s="258" t="s">
        <v>133</v>
      </c>
      <c r="C11" s="258"/>
      <c r="D11" s="94">
        <f>ROUNDDOWN(250/D9,2)</f>
        <v>1.61</v>
      </c>
    </row>
    <row r="13" spans="2:5" x14ac:dyDescent="0.2">
      <c r="B13" s="18" t="s">
        <v>29</v>
      </c>
      <c r="C13" s="64">
        <v>180</v>
      </c>
    </row>
    <row r="15" spans="2:5" x14ac:dyDescent="0.2">
      <c r="B15" s="18" t="s">
        <v>8</v>
      </c>
      <c r="C15" s="99">
        <f>((C13*12*C9/16)*1.15)-C16</f>
        <v>465.74999999999994</v>
      </c>
    </row>
    <row r="16" spans="2:5" x14ac:dyDescent="0.2">
      <c r="B16" s="18" t="s">
        <v>9</v>
      </c>
      <c r="C16" s="64">
        <v>0</v>
      </c>
    </row>
    <row r="17" spans="2:4" x14ac:dyDescent="0.2">
      <c r="B17" s="18" t="s">
        <v>10</v>
      </c>
      <c r="C17" s="99">
        <f>E3*D9</f>
        <v>465.75</v>
      </c>
    </row>
    <row r="19" spans="2:4" x14ac:dyDescent="0.2">
      <c r="B19" s="18" t="s">
        <v>11</v>
      </c>
    </row>
    <row r="20" spans="2:4" x14ac:dyDescent="0.2">
      <c r="B20" s="18" t="s">
        <v>34</v>
      </c>
      <c r="C20" s="99">
        <f>E3*D4</f>
        <v>116.4375</v>
      </c>
      <c r="D20" s="18" t="s">
        <v>12</v>
      </c>
    </row>
    <row r="21" spans="2:4" x14ac:dyDescent="0.2">
      <c r="B21" s="18" t="s">
        <v>22</v>
      </c>
      <c r="C21" s="99">
        <f>E3*D5</f>
        <v>116.4375</v>
      </c>
      <c r="D21" s="18" t="s">
        <v>12</v>
      </c>
    </row>
    <row r="22" spans="2:4" x14ac:dyDescent="0.2">
      <c r="B22" s="18" t="s">
        <v>23</v>
      </c>
      <c r="C22" s="99">
        <f>E3*D7</f>
        <v>116.4375</v>
      </c>
      <c r="D22" s="18" t="s">
        <v>12</v>
      </c>
    </row>
    <row r="23" spans="2:4" x14ac:dyDescent="0.2">
      <c r="B23" s="18" t="s">
        <v>24</v>
      </c>
      <c r="C23" s="99">
        <f>E3*D8</f>
        <v>116.4375</v>
      </c>
      <c r="D23" s="18" t="s">
        <v>12</v>
      </c>
    </row>
    <row r="24" spans="2:4" x14ac:dyDescent="0.2">
      <c r="B24" s="18" t="s">
        <v>13</v>
      </c>
      <c r="C24" s="99">
        <f>D6*E3</f>
        <v>30</v>
      </c>
      <c r="D24" s="18" t="s">
        <v>12</v>
      </c>
    </row>
  </sheetData>
  <sheetProtection sheet="1" objects="1" scenarios="1" selectLockedCells="1"/>
  <mergeCells count="3">
    <mergeCell ref="B2:D2"/>
    <mergeCell ref="B11:C11"/>
    <mergeCell ref="E3:E9"/>
  </mergeCells>
  <pageMargins left="0" right="0" top="0" bottom="0" header="0" footer="0"/>
  <pageSetup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7241-AC52-4EC8-AFED-55C48687ACB3}">
  <dimension ref="A1:AB1001"/>
  <sheetViews>
    <sheetView tabSelected="1" workbookViewId="0">
      <selection activeCell="C17" sqref="C17"/>
    </sheetView>
  </sheetViews>
  <sheetFormatPr defaultColWidth="14.390625" defaultRowHeight="15" x14ac:dyDescent="0.2"/>
  <cols>
    <col min="1" max="1" width="6.58984375" customWidth="1"/>
    <col min="2" max="2" width="29.0546875" bestFit="1" customWidth="1"/>
    <col min="3" max="3" width="8.875" bestFit="1" customWidth="1"/>
    <col min="4" max="4" width="9.28125" bestFit="1" customWidth="1"/>
    <col min="5" max="5" width="10.76171875" bestFit="1" customWidth="1"/>
    <col min="6" max="6" width="4.3046875" customWidth="1"/>
    <col min="7" max="7" width="27.7109375" bestFit="1" customWidth="1"/>
    <col min="8" max="8" width="9.55078125" bestFit="1" customWidth="1"/>
    <col min="9" max="9" width="9.28125" bestFit="1" customWidth="1"/>
    <col min="10" max="10" width="10.76171875" bestFit="1" customWidth="1"/>
    <col min="11" max="28" width="9.14453125" customWidth="1"/>
  </cols>
  <sheetData>
    <row r="1" spans="1:28" ht="15.75" thickBot="1" x14ac:dyDescent="0.25">
      <c r="A1" s="122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</row>
    <row r="2" spans="1:28" ht="15.75" thickBot="1" x14ac:dyDescent="0.25">
      <c r="A2" s="122"/>
      <c r="B2" s="259" t="s">
        <v>195</v>
      </c>
      <c r="C2" s="260"/>
      <c r="D2" s="261"/>
      <c r="E2" s="38" t="s">
        <v>0</v>
      </c>
      <c r="F2" s="122"/>
      <c r="G2" s="259" t="s">
        <v>196</v>
      </c>
      <c r="H2" s="260"/>
      <c r="I2" s="262"/>
      <c r="J2" s="38" t="s">
        <v>0</v>
      </c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</row>
    <row r="3" spans="1:28" ht="15.75" customHeight="1" thickBot="1" x14ac:dyDescent="0.25">
      <c r="A3" s="122"/>
      <c r="B3" s="123"/>
      <c r="C3" s="124" t="s">
        <v>92</v>
      </c>
      <c r="D3" s="125" t="s">
        <v>132</v>
      </c>
      <c r="E3" s="263">
        <f>ROUNDUP(C16/D10,1)</f>
        <v>7</v>
      </c>
      <c r="F3" s="122"/>
      <c r="G3" s="123"/>
      <c r="H3" s="124" t="s">
        <v>107</v>
      </c>
      <c r="I3" s="125" t="s">
        <v>132</v>
      </c>
      <c r="J3" s="266">
        <f>ROUNDUP(H16/I6,1)</f>
        <v>7</v>
      </c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</row>
    <row r="4" spans="1:28" ht="41.25" x14ac:dyDescent="0.2">
      <c r="A4" s="122"/>
      <c r="B4" s="126" t="s">
        <v>21</v>
      </c>
      <c r="C4" s="157">
        <v>0.52500000000000002</v>
      </c>
      <c r="D4" s="127">
        <f>48*12*C4/16*1.15</f>
        <v>21.734999999999999</v>
      </c>
      <c r="E4" s="264"/>
      <c r="F4" s="122"/>
      <c r="G4" s="144" t="s">
        <v>179</v>
      </c>
      <c r="H4" s="161">
        <v>1.93</v>
      </c>
      <c r="I4" s="128">
        <f>48*12*H4/16*1.15</f>
        <v>79.902000000000001</v>
      </c>
      <c r="J4" s="264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 spans="1:28" ht="15" customHeight="1" thickBot="1" x14ac:dyDescent="0.25">
      <c r="A5" s="122"/>
      <c r="B5" s="129" t="s">
        <v>14</v>
      </c>
      <c r="C5" s="130"/>
      <c r="D5" s="131">
        <v>5</v>
      </c>
      <c r="E5" s="264"/>
      <c r="F5" s="122"/>
      <c r="G5" s="132" t="s">
        <v>33</v>
      </c>
      <c r="H5" s="162">
        <v>7.0000000000000007E-2</v>
      </c>
      <c r="I5" s="133">
        <f>48*12*H5/16*1.15</f>
        <v>2.8980000000000001</v>
      </c>
      <c r="J5" s="264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</row>
    <row r="6" spans="1:28" ht="15" customHeight="1" thickBot="1" x14ac:dyDescent="0.25">
      <c r="A6" s="122"/>
      <c r="B6" s="134" t="s">
        <v>22</v>
      </c>
      <c r="C6" s="158">
        <v>0.52500000000000002</v>
      </c>
      <c r="D6" s="131">
        <f>48*12*C6/16*1.15</f>
        <v>21.734999999999999</v>
      </c>
      <c r="E6" s="264"/>
      <c r="F6" s="122"/>
      <c r="G6" s="136" t="s">
        <v>17</v>
      </c>
      <c r="H6" s="163">
        <f>SUM(H4:H5)</f>
        <v>2</v>
      </c>
      <c r="I6" s="137">
        <f>SUM(I4:I5)</f>
        <v>82.8</v>
      </c>
      <c r="J6" s="267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</row>
    <row r="7" spans="1:28" ht="15.75" customHeight="1" x14ac:dyDescent="0.2">
      <c r="A7" s="122"/>
      <c r="B7" s="134" t="s">
        <v>13</v>
      </c>
      <c r="C7" s="135"/>
      <c r="D7" s="131">
        <v>5</v>
      </c>
      <c r="E7" s="264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</row>
    <row r="8" spans="1:28" ht="15.75" customHeight="1" x14ac:dyDescent="0.2">
      <c r="A8" s="122"/>
      <c r="B8" s="134" t="s">
        <v>23</v>
      </c>
      <c r="C8" s="158">
        <v>0.52500000000000002</v>
      </c>
      <c r="D8" s="131">
        <f>48*12*C8/16*1.15</f>
        <v>21.734999999999999</v>
      </c>
      <c r="E8" s="264"/>
      <c r="F8" s="122"/>
      <c r="G8" s="258" t="s">
        <v>133</v>
      </c>
      <c r="H8" s="258"/>
      <c r="I8" s="94">
        <f>ROUNDDOWN(250/I6,2)</f>
        <v>3.01</v>
      </c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</row>
    <row r="9" spans="1:28" ht="15.75" customHeight="1" thickBot="1" x14ac:dyDescent="0.25">
      <c r="A9" s="122"/>
      <c r="B9" s="138" t="s">
        <v>24</v>
      </c>
      <c r="C9" s="159">
        <v>0.52500000000000002</v>
      </c>
      <c r="D9" s="139">
        <f>48*12*C9/16*1.15</f>
        <v>21.734999999999999</v>
      </c>
      <c r="E9" s="264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</row>
    <row r="10" spans="1:28" ht="16.5" customHeight="1" thickBot="1" x14ac:dyDescent="0.25">
      <c r="A10" s="122"/>
      <c r="B10" s="140" t="s">
        <v>17</v>
      </c>
      <c r="C10" s="160">
        <f>SUM(C4:C9)</f>
        <v>2.1</v>
      </c>
      <c r="D10" s="141">
        <f>SUM(D4,D6,D8,D9)</f>
        <v>86.94</v>
      </c>
      <c r="E10" s="265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</row>
    <row r="11" spans="1:28" ht="16.5" customHeight="1" x14ac:dyDescent="0.2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</row>
    <row r="12" spans="1:28" ht="16.5" customHeight="1" x14ac:dyDescent="0.2">
      <c r="A12" s="122"/>
      <c r="B12" s="258" t="s">
        <v>133</v>
      </c>
      <c r="C12" s="258"/>
      <c r="D12" s="94">
        <f>ROUNDDOWN(250/D10,2)</f>
        <v>2.87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</row>
    <row r="13" spans="1:28" ht="16.5" customHeight="1" x14ac:dyDescent="0.2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</row>
    <row r="14" spans="1:28" ht="14.25" customHeight="1" x14ac:dyDescent="0.2">
      <c r="A14" s="122"/>
      <c r="B14" s="122" t="s">
        <v>29</v>
      </c>
      <c r="C14" s="142">
        <v>336</v>
      </c>
      <c r="D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</row>
    <row r="15" spans="1:28" ht="15.75" customHeight="1" x14ac:dyDescent="0.2">
      <c r="A15" s="122"/>
      <c r="B15" s="122"/>
      <c r="C15" s="122"/>
      <c r="D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</row>
    <row r="16" spans="1:28" ht="14.25" customHeight="1" x14ac:dyDescent="0.2">
      <c r="A16" s="122"/>
      <c r="B16" s="122" t="s">
        <v>8</v>
      </c>
      <c r="C16" s="143">
        <f>((C14*12*C10/16)*1.15)-C17</f>
        <v>608.58000000000004</v>
      </c>
      <c r="D16" s="122"/>
      <c r="F16" s="122"/>
      <c r="G16" s="122" t="s">
        <v>8</v>
      </c>
      <c r="H16" s="143">
        <f>((C14*12*H6/16)*1.15)-H17</f>
        <v>579.59999999999991</v>
      </c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</row>
    <row r="17" spans="1:28" ht="15" customHeight="1" x14ac:dyDescent="0.2">
      <c r="A17" s="122"/>
      <c r="B17" s="122" t="s">
        <v>9</v>
      </c>
      <c r="C17" s="142">
        <v>0</v>
      </c>
      <c r="D17" s="122"/>
      <c r="F17" s="122"/>
      <c r="G17" s="122" t="s">
        <v>9</v>
      </c>
      <c r="H17" s="142">
        <v>0</v>
      </c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</row>
    <row r="18" spans="1:28" x14ac:dyDescent="0.2">
      <c r="A18" s="122"/>
      <c r="B18" s="122" t="s">
        <v>10</v>
      </c>
      <c r="C18" s="143">
        <f>E3*D10</f>
        <v>608.57999999999993</v>
      </c>
      <c r="D18" s="122"/>
      <c r="F18" s="122"/>
      <c r="G18" s="122" t="s">
        <v>10</v>
      </c>
      <c r="H18" s="143">
        <f>J3*I6</f>
        <v>579.6</v>
      </c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</row>
    <row r="19" spans="1:28" x14ac:dyDescent="0.2">
      <c r="A19" s="122"/>
      <c r="B19" s="122"/>
      <c r="C19" s="122"/>
      <c r="D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</row>
    <row r="20" spans="1:28" x14ac:dyDescent="0.2">
      <c r="A20" s="122"/>
      <c r="B20" s="122" t="s">
        <v>11</v>
      </c>
      <c r="C20" s="122"/>
      <c r="D20" s="122"/>
      <c r="F20" s="122"/>
      <c r="G20" s="122" t="s">
        <v>11</v>
      </c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</row>
    <row r="21" spans="1:28" ht="41.25" x14ac:dyDescent="0.2">
      <c r="A21" s="122"/>
      <c r="B21" s="122" t="s">
        <v>21</v>
      </c>
      <c r="C21" s="143">
        <f>E3*D4</f>
        <v>152.14499999999998</v>
      </c>
      <c r="D21" s="122" t="s">
        <v>12</v>
      </c>
      <c r="F21" s="122"/>
      <c r="G21" s="198" t="s">
        <v>179</v>
      </c>
      <c r="H21" s="143">
        <f>J3*I4</f>
        <v>559.31399999999996</v>
      </c>
      <c r="I21" s="122" t="s">
        <v>12</v>
      </c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</row>
    <row r="22" spans="1:28" ht="15.75" customHeight="1" x14ac:dyDescent="0.2">
      <c r="A22" s="122"/>
      <c r="B22" s="122" t="s">
        <v>22</v>
      </c>
      <c r="C22" s="143">
        <f>E3*D6</f>
        <v>152.14499999999998</v>
      </c>
      <c r="D22" s="122" t="s">
        <v>12</v>
      </c>
      <c r="F22" s="122"/>
      <c r="G22" s="122" t="s">
        <v>33</v>
      </c>
      <c r="H22" s="143">
        <f>J3*I5</f>
        <v>20.286000000000001</v>
      </c>
      <c r="I22" s="122" t="s">
        <v>12</v>
      </c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</row>
    <row r="23" spans="1:28" ht="15.75" customHeight="1" x14ac:dyDescent="0.2">
      <c r="A23" s="122"/>
      <c r="B23" s="122" t="s">
        <v>23</v>
      </c>
      <c r="C23" s="143">
        <f>E3*D8</f>
        <v>152.14499999999998</v>
      </c>
      <c r="D23" s="122" t="s">
        <v>12</v>
      </c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 spans="1:28" ht="15.75" customHeight="1" x14ac:dyDescent="0.2">
      <c r="A24" s="122"/>
      <c r="B24" s="122" t="s">
        <v>24</v>
      </c>
      <c r="C24" s="143">
        <f>E3*D9</f>
        <v>152.14499999999998</v>
      </c>
      <c r="D24" s="122" t="s">
        <v>12</v>
      </c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 spans="1:28" ht="15.75" customHeight="1" x14ac:dyDescent="0.2">
      <c r="A25" s="122"/>
      <c r="B25" s="122" t="s">
        <v>13</v>
      </c>
      <c r="C25" s="143">
        <f>D7*E3</f>
        <v>35</v>
      </c>
      <c r="D25" s="122" t="s">
        <v>12</v>
      </c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 spans="1:28" ht="15.75" customHeight="1" x14ac:dyDescent="0.2">
      <c r="A26" s="122"/>
      <c r="B26" s="122" t="s">
        <v>14</v>
      </c>
      <c r="C26" s="143">
        <f>D5*E3</f>
        <v>35</v>
      </c>
      <c r="D26" s="122" t="s">
        <v>12</v>
      </c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 spans="1:28" ht="15.75" customHeight="1" x14ac:dyDescent="0.2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 spans="1:28" ht="15.75" customHeight="1" x14ac:dyDescent="0.2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 spans="1:28" ht="15.75" customHeight="1" x14ac:dyDescent="0.2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 spans="1:28" ht="15.75" customHeight="1" x14ac:dyDescent="0.2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 spans="1:28" ht="15.75" customHeight="1" x14ac:dyDescent="0.2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</row>
    <row r="32" spans="1:28" ht="15.75" customHeight="1" x14ac:dyDescent="0.2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 spans="1:28" ht="15.75" customHeight="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</row>
    <row r="34" spans="1:28" ht="15.75" customHeight="1" x14ac:dyDescent="0.2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</row>
    <row r="35" spans="1:28" ht="15.75" customHeight="1" x14ac:dyDescent="0.2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</row>
    <row r="36" spans="1:28" ht="15.75" customHeight="1" x14ac:dyDescent="0.2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</row>
    <row r="37" spans="1:28" ht="15.75" customHeight="1" x14ac:dyDescent="0.2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</row>
    <row r="38" spans="1:28" ht="15.75" customHeight="1" x14ac:dyDescent="0.2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</row>
    <row r="39" spans="1:28" ht="15.75" customHeight="1" x14ac:dyDescent="0.2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</row>
    <row r="40" spans="1:28" ht="15.75" customHeight="1" x14ac:dyDescent="0.2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</row>
    <row r="41" spans="1:28" ht="15.75" customHeight="1" x14ac:dyDescent="0.2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</row>
    <row r="42" spans="1:28" ht="15.75" customHeight="1" x14ac:dyDescent="0.2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</row>
    <row r="43" spans="1:28" ht="15.75" customHeight="1" x14ac:dyDescent="0.2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</row>
    <row r="44" spans="1:28" ht="15.75" customHeight="1" x14ac:dyDescent="0.2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</row>
    <row r="45" spans="1:28" ht="15.75" customHeight="1" x14ac:dyDescent="0.2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</row>
    <row r="46" spans="1:28" ht="15.75" customHeight="1" x14ac:dyDescent="0.2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</row>
    <row r="47" spans="1:28" ht="15.75" customHeight="1" x14ac:dyDescent="0.2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</row>
    <row r="48" spans="1:28" ht="15.75" customHeight="1" x14ac:dyDescent="0.2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</row>
    <row r="49" spans="1:28" ht="15.75" customHeight="1" x14ac:dyDescent="0.2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</row>
    <row r="50" spans="1:28" ht="15.75" customHeight="1" x14ac:dyDescent="0.2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</row>
    <row r="51" spans="1:28" ht="15.75" customHeight="1" x14ac:dyDescent="0.2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</row>
    <row r="52" spans="1:28" ht="15.75" customHeight="1" x14ac:dyDescent="0.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</row>
    <row r="53" spans="1:28" ht="15.75" customHeight="1" x14ac:dyDescent="0.2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</row>
    <row r="54" spans="1:28" ht="15.75" customHeight="1" x14ac:dyDescent="0.2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</row>
    <row r="55" spans="1:28" ht="15.75" customHeight="1" x14ac:dyDescent="0.2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</row>
    <row r="56" spans="1:28" ht="15.75" customHeight="1" x14ac:dyDescent="0.2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</row>
    <row r="57" spans="1:28" ht="15.75" customHeight="1" x14ac:dyDescent="0.2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</row>
    <row r="58" spans="1:28" ht="15.75" customHeight="1" x14ac:dyDescent="0.2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</row>
    <row r="59" spans="1:28" ht="15.75" customHeight="1" x14ac:dyDescent="0.2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</row>
    <row r="60" spans="1:28" ht="15.75" customHeight="1" x14ac:dyDescent="0.2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</row>
    <row r="61" spans="1:28" ht="15.75" customHeight="1" x14ac:dyDescent="0.2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</row>
    <row r="62" spans="1:28" ht="15.75" customHeight="1" x14ac:dyDescent="0.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</row>
    <row r="63" spans="1:28" ht="15.75" customHeight="1" x14ac:dyDescent="0.2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</row>
    <row r="64" spans="1:28" ht="15.75" customHeight="1" x14ac:dyDescent="0.2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</row>
    <row r="65" spans="1:28" ht="15.75" customHeight="1" x14ac:dyDescent="0.2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</row>
    <row r="66" spans="1:28" ht="15.75" customHeight="1" x14ac:dyDescent="0.2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</row>
    <row r="67" spans="1:28" ht="15.75" customHeight="1" x14ac:dyDescent="0.2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</row>
    <row r="68" spans="1:28" ht="15.75" customHeight="1" x14ac:dyDescent="0.2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</row>
    <row r="69" spans="1:28" ht="15.75" customHeight="1" x14ac:dyDescent="0.2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</row>
    <row r="70" spans="1:28" ht="15.75" customHeight="1" x14ac:dyDescent="0.2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</row>
    <row r="71" spans="1:28" ht="15.75" customHeight="1" x14ac:dyDescent="0.2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</row>
    <row r="72" spans="1:28" ht="15.75" customHeight="1" x14ac:dyDescent="0.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</row>
    <row r="73" spans="1:28" ht="15.75" customHeight="1" x14ac:dyDescent="0.2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</row>
    <row r="74" spans="1:28" ht="15.75" customHeight="1" x14ac:dyDescent="0.2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</row>
    <row r="75" spans="1:28" ht="15.75" customHeight="1" x14ac:dyDescent="0.2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</row>
    <row r="76" spans="1:28" ht="15.75" customHeight="1" x14ac:dyDescent="0.2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</row>
    <row r="77" spans="1:28" ht="15.75" customHeight="1" x14ac:dyDescent="0.2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</row>
    <row r="78" spans="1:28" ht="15.75" customHeight="1" x14ac:dyDescent="0.2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</row>
    <row r="79" spans="1:28" ht="15.75" customHeight="1" x14ac:dyDescent="0.2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</row>
    <row r="80" spans="1:28" ht="15.75" customHeight="1" x14ac:dyDescent="0.2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</row>
    <row r="81" spans="1:28" ht="15.75" customHeight="1" x14ac:dyDescent="0.2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</row>
    <row r="82" spans="1:28" ht="15.75" customHeight="1" x14ac:dyDescent="0.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</row>
    <row r="83" spans="1:28" ht="15.75" customHeight="1" x14ac:dyDescent="0.2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</row>
    <row r="84" spans="1:28" ht="15.75" customHeight="1" x14ac:dyDescent="0.2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</row>
    <row r="85" spans="1:28" ht="15.75" customHeight="1" x14ac:dyDescent="0.2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</row>
    <row r="86" spans="1:28" ht="15.75" customHeight="1" x14ac:dyDescent="0.2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</row>
    <row r="87" spans="1:28" ht="15.75" customHeight="1" x14ac:dyDescent="0.2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</row>
    <row r="88" spans="1:28" ht="15.75" customHeight="1" x14ac:dyDescent="0.2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</row>
    <row r="89" spans="1:28" ht="15.75" customHeight="1" x14ac:dyDescent="0.2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</row>
    <row r="90" spans="1:28" ht="15.75" customHeight="1" x14ac:dyDescent="0.2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</row>
    <row r="91" spans="1:28" ht="15.75" customHeight="1" x14ac:dyDescent="0.2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</row>
    <row r="92" spans="1:28" ht="15.75" customHeight="1" x14ac:dyDescent="0.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</row>
    <row r="93" spans="1:28" ht="15.75" customHeight="1" x14ac:dyDescent="0.2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</row>
    <row r="94" spans="1:28" ht="15.75" customHeight="1" x14ac:dyDescent="0.2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</row>
    <row r="95" spans="1:28" ht="15.75" customHeight="1" x14ac:dyDescent="0.2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</row>
    <row r="96" spans="1:28" ht="15.75" customHeight="1" x14ac:dyDescent="0.2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</row>
    <row r="97" spans="1:28" ht="15.75" customHeight="1" x14ac:dyDescent="0.2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</row>
    <row r="98" spans="1:28" ht="15.75" customHeight="1" x14ac:dyDescent="0.2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</row>
    <row r="99" spans="1:28" ht="15.75" customHeight="1" x14ac:dyDescent="0.2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</row>
    <row r="100" spans="1:28" ht="15.75" customHeight="1" x14ac:dyDescent="0.2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</row>
    <row r="101" spans="1:28" ht="15.75" customHeight="1" x14ac:dyDescent="0.2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</row>
    <row r="102" spans="1:28" ht="15.75" customHeight="1" x14ac:dyDescent="0.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</row>
    <row r="103" spans="1:28" ht="15.75" customHeight="1" x14ac:dyDescent="0.2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</row>
    <row r="104" spans="1:28" ht="15.75" customHeight="1" x14ac:dyDescent="0.2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</row>
    <row r="105" spans="1:28" ht="15.75" customHeight="1" x14ac:dyDescent="0.2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</row>
    <row r="106" spans="1:28" ht="15.75" customHeight="1" x14ac:dyDescent="0.2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</row>
    <row r="107" spans="1:28" ht="15.75" customHeight="1" x14ac:dyDescent="0.2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</row>
    <row r="108" spans="1:28" ht="15.75" customHeight="1" x14ac:dyDescent="0.2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</row>
    <row r="109" spans="1:28" ht="15.75" customHeight="1" x14ac:dyDescent="0.2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</row>
    <row r="110" spans="1:28" ht="15.75" customHeight="1" x14ac:dyDescent="0.2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</row>
    <row r="111" spans="1:28" ht="15.75" customHeight="1" x14ac:dyDescent="0.2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</row>
    <row r="112" spans="1:28" ht="15.75" customHeight="1" x14ac:dyDescent="0.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</row>
    <row r="113" spans="1:28" ht="15.75" customHeight="1" x14ac:dyDescent="0.2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</row>
    <row r="114" spans="1:28" ht="15.75" customHeight="1" x14ac:dyDescent="0.2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</row>
    <row r="115" spans="1:28" ht="15.75" customHeight="1" x14ac:dyDescent="0.2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</row>
    <row r="116" spans="1:28" ht="15.75" customHeight="1" x14ac:dyDescent="0.2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</row>
    <row r="117" spans="1:28" ht="15.75" customHeight="1" x14ac:dyDescent="0.2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</row>
    <row r="118" spans="1:28" ht="15.75" customHeight="1" x14ac:dyDescent="0.2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</row>
    <row r="119" spans="1:28" ht="15.75" customHeight="1" x14ac:dyDescent="0.2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</row>
    <row r="120" spans="1:28" ht="15.75" customHeight="1" x14ac:dyDescent="0.2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</row>
    <row r="121" spans="1:28" ht="15.75" customHeight="1" x14ac:dyDescent="0.2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</row>
    <row r="122" spans="1:28" ht="15.75" customHeight="1" x14ac:dyDescent="0.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</row>
    <row r="123" spans="1:28" ht="15.75" customHeight="1" x14ac:dyDescent="0.2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</row>
    <row r="124" spans="1:28" ht="15.75" customHeight="1" x14ac:dyDescent="0.2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</row>
    <row r="125" spans="1:28" ht="15.75" customHeight="1" x14ac:dyDescent="0.2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</row>
    <row r="126" spans="1:28" ht="15.75" customHeight="1" x14ac:dyDescent="0.2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</row>
    <row r="127" spans="1:28" ht="15.75" customHeight="1" x14ac:dyDescent="0.2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</row>
    <row r="128" spans="1:28" ht="15.75" customHeight="1" x14ac:dyDescent="0.2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</row>
    <row r="129" spans="1:28" ht="15.75" customHeight="1" x14ac:dyDescent="0.2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</row>
    <row r="130" spans="1:28" ht="15.75" customHeight="1" x14ac:dyDescent="0.2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</row>
    <row r="131" spans="1:28" ht="15.75" customHeight="1" x14ac:dyDescent="0.2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</row>
    <row r="132" spans="1:28" ht="15.75" customHeight="1" x14ac:dyDescent="0.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</row>
    <row r="133" spans="1:28" ht="15.75" customHeight="1" x14ac:dyDescent="0.2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</row>
    <row r="134" spans="1:28" ht="15.75" customHeight="1" x14ac:dyDescent="0.2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</row>
    <row r="135" spans="1:28" ht="15.75" customHeight="1" x14ac:dyDescent="0.2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</row>
    <row r="136" spans="1:28" ht="15.75" customHeight="1" x14ac:dyDescent="0.2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</row>
    <row r="137" spans="1:28" ht="15.75" customHeight="1" x14ac:dyDescent="0.2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</row>
    <row r="138" spans="1:28" ht="15.75" customHeight="1" x14ac:dyDescent="0.2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</row>
    <row r="139" spans="1:28" ht="15.75" customHeight="1" x14ac:dyDescent="0.2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</row>
    <row r="140" spans="1:28" ht="15.75" customHeight="1" x14ac:dyDescent="0.2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</row>
    <row r="141" spans="1:28" ht="15.75" customHeight="1" x14ac:dyDescent="0.2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</row>
    <row r="142" spans="1:28" ht="15.75" customHeight="1" x14ac:dyDescent="0.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</row>
    <row r="143" spans="1:28" ht="15.75" customHeight="1" x14ac:dyDescent="0.2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</row>
    <row r="144" spans="1:28" ht="15.75" customHeight="1" x14ac:dyDescent="0.2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</row>
    <row r="145" spans="1:28" ht="15.75" customHeight="1" x14ac:dyDescent="0.2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</row>
    <row r="146" spans="1:28" ht="15.75" customHeight="1" x14ac:dyDescent="0.2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</row>
    <row r="147" spans="1:28" ht="15.75" customHeight="1" x14ac:dyDescent="0.2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</row>
    <row r="148" spans="1:28" ht="15.75" customHeight="1" x14ac:dyDescent="0.2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</row>
    <row r="149" spans="1:28" ht="15.75" customHeight="1" x14ac:dyDescent="0.2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</row>
    <row r="150" spans="1:28" ht="15.75" customHeight="1" x14ac:dyDescent="0.2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</row>
    <row r="151" spans="1:28" ht="15.75" customHeight="1" x14ac:dyDescent="0.2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</row>
    <row r="152" spans="1:28" ht="15.75" customHeight="1" x14ac:dyDescent="0.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</row>
    <row r="153" spans="1:28" ht="15.75" customHeight="1" x14ac:dyDescent="0.2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</row>
    <row r="154" spans="1:28" ht="15.75" customHeight="1" x14ac:dyDescent="0.2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</row>
    <row r="155" spans="1:28" ht="15.75" customHeight="1" x14ac:dyDescent="0.2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</row>
    <row r="156" spans="1:28" ht="15.75" customHeight="1" x14ac:dyDescent="0.2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</row>
    <row r="157" spans="1:28" ht="15.75" customHeight="1" x14ac:dyDescent="0.2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</row>
    <row r="158" spans="1:28" ht="15.75" customHeight="1" x14ac:dyDescent="0.2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</row>
    <row r="159" spans="1:28" ht="15.75" customHeight="1" x14ac:dyDescent="0.2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</row>
    <row r="160" spans="1:28" ht="15.75" customHeight="1" x14ac:dyDescent="0.2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</row>
    <row r="161" spans="1:28" ht="15.75" customHeight="1" x14ac:dyDescent="0.2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</row>
    <row r="162" spans="1:28" ht="15.75" customHeight="1" x14ac:dyDescent="0.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</row>
    <row r="163" spans="1:28" ht="15.75" customHeight="1" x14ac:dyDescent="0.2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</row>
    <row r="164" spans="1:28" ht="15.75" customHeight="1" x14ac:dyDescent="0.2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</row>
    <row r="165" spans="1:28" ht="15.75" customHeight="1" x14ac:dyDescent="0.2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</row>
    <row r="166" spans="1:28" ht="15.75" customHeight="1" x14ac:dyDescent="0.2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</row>
    <row r="167" spans="1:28" ht="15.75" customHeight="1" x14ac:dyDescent="0.2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</row>
    <row r="168" spans="1:28" ht="15.75" customHeight="1" x14ac:dyDescent="0.2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</row>
    <row r="169" spans="1:28" ht="15.75" customHeight="1" x14ac:dyDescent="0.2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</row>
    <row r="170" spans="1:28" ht="15.75" customHeight="1" x14ac:dyDescent="0.2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</row>
    <row r="171" spans="1:28" ht="15.75" customHeight="1" x14ac:dyDescent="0.2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</row>
    <row r="172" spans="1:28" ht="15.75" customHeight="1" x14ac:dyDescent="0.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</row>
    <row r="173" spans="1:28" ht="15.75" customHeight="1" x14ac:dyDescent="0.2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</row>
    <row r="174" spans="1:28" ht="15.75" customHeight="1" x14ac:dyDescent="0.2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</row>
    <row r="175" spans="1:28" ht="15.75" customHeight="1" x14ac:dyDescent="0.2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</row>
    <row r="176" spans="1:28" ht="15.75" customHeight="1" x14ac:dyDescent="0.2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</row>
    <row r="177" spans="1:28" ht="15.75" customHeight="1" x14ac:dyDescent="0.2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</row>
    <row r="178" spans="1:28" ht="15.75" customHeight="1" x14ac:dyDescent="0.2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</row>
    <row r="179" spans="1:28" ht="15.75" customHeight="1" x14ac:dyDescent="0.2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</row>
    <row r="180" spans="1:28" ht="15.75" customHeight="1" x14ac:dyDescent="0.2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</row>
    <row r="181" spans="1:28" ht="15.75" customHeight="1" x14ac:dyDescent="0.2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</row>
    <row r="182" spans="1:28" ht="15.75" customHeight="1" x14ac:dyDescent="0.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</row>
    <row r="183" spans="1:28" ht="15.75" customHeight="1" x14ac:dyDescent="0.2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</row>
    <row r="184" spans="1:28" ht="15.75" customHeight="1" x14ac:dyDescent="0.2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</row>
    <row r="185" spans="1:28" ht="15.75" customHeight="1" x14ac:dyDescent="0.2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</row>
    <row r="186" spans="1:28" ht="15.75" customHeight="1" x14ac:dyDescent="0.2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</row>
    <row r="187" spans="1:28" ht="15.75" customHeight="1" x14ac:dyDescent="0.2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</row>
    <row r="188" spans="1:28" ht="15.75" customHeight="1" x14ac:dyDescent="0.2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</row>
    <row r="189" spans="1:28" ht="15.75" customHeight="1" x14ac:dyDescent="0.2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</row>
    <row r="190" spans="1:28" ht="15.75" customHeight="1" x14ac:dyDescent="0.2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</row>
    <row r="191" spans="1:28" ht="15.75" customHeight="1" x14ac:dyDescent="0.2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</row>
    <row r="192" spans="1:28" ht="15.75" customHeight="1" x14ac:dyDescent="0.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</row>
    <row r="193" spans="1:28" ht="15.75" customHeight="1" x14ac:dyDescent="0.2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</row>
    <row r="194" spans="1:28" ht="15.75" customHeight="1" x14ac:dyDescent="0.2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</row>
    <row r="195" spans="1:28" ht="15.75" customHeight="1" x14ac:dyDescent="0.2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</row>
    <row r="196" spans="1:28" ht="15.75" customHeight="1" x14ac:dyDescent="0.2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</row>
    <row r="197" spans="1:28" ht="15.75" customHeight="1" x14ac:dyDescent="0.2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</row>
    <row r="198" spans="1:28" ht="15.75" customHeight="1" x14ac:dyDescent="0.2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</row>
    <row r="199" spans="1:28" ht="15.75" customHeight="1" x14ac:dyDescent="0.2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</row>
    <row r="200" spans="1:28" ht="15.75" customHeight="1" x14ac:dyDescent="0.2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</row>
    <row r="201" spans="1:28" ht="15.75" customHeight="1" x14ac:dyDescent="0.2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</row>
    <row r="202" spans="1:28" ht="15.75" customHeight="1" x14ac:dyDescent="0.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</row>
    <row r="203" spans="1:28" ht="15.75" customHeight="1" x14ac:dyDescent="0.2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</row>
    <row r="204" spans="1:28" ht="15.75" customHeight="1" x14ac:dyDescent="0.2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</row>
    <row r="205" spans="1:28" ht="15.75" customHeight="1" x14ac:dyDescent="0.2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</row>
    <row r="206" spans="1:28" ht="15.75" customHeight="1" x14ac:dyDescent="0.2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</row>
    <row r="207" spans="1:28" ht="15.75" customHeight="1" x14ac:dyDescent="0.2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</row>
    <row r="208" spans="1:28" ht="15.75" customHeight="1" x14ac:dyDescent="0.2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</row>
    <row r="209" spans="1:28" ht="15.75" customHeight="1" x14ac:dyDescent="0.2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</row>
    <row r="210" spans="1:28" ht="15.75" customHeight="1" x14ac:dyDescent="0.2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</row>
    <row r="211" spans="1:28" ht="15.75" customHeight="1" x14ac:dyDescent="0.2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</row>
    <row r="212" spans="1:28" ht="15.75" customHeight="1" x14ac:dyDescent="0.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</row>
    <row r="213" spans="1:28" ht="15.75" customHeight="1" x14ac:dyDescent="0.2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</row>
    <row r="214" spans="1:28" ht="15.75" customHeight="1" x14ac:dyDescent="0.2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</row>
    <row r="215" spans="1:28" ht="15.75" customHeight="1" x14ac:dyDescent="0.2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</row>
    <row r="216" spans="1:28" ht="15.75" customHeight="1" x14ac:dyDescent="0.2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</row>
    <row r="217" spans="1:28" ht="15.75" customHeight="1" x14ac:dyDescent="0.2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</row>
    <row r="218" spans="1:28" ht="15.75" customHeight="1" x14ac:dyDescent="0.2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</row>
    <row r="219" spans="1:28" ht="15.75" customHeight="1" x14ac:dyDescent="0.2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</row>
    <row r="220" spans="1:28" ht="15.75" customHeight="1" x14ac:dyDescent="0.2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</row>
    <row r="221" spans="1:28" ht="15.75" customHeight="1" x14ac:dyDescent="0.2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</row>
    <row r="222" spans="1:28" ht="15.75" customHeight="1" x14ac:dyDescent="0.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</row>
    <row r="223" spans="1:28" ht="15.75" customHeight="1" x14ac:dyDescent="0.2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</row>
    <row r="224" spans="1:28" ht="15.75" customHeight="1" x14ac:dyDescent="0.2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</row>
    <row r="225" spans="1:28" ht="15.75" customHeight="1" x14ac:dyDescent="0.2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</row>
    <row r="226" spans="1:28" ht="15.75" customHeight="1" x14ac:dyDescent="0.2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</row>
    <row r="227" spans="1:28" ht="15.75" customHeight="1" x14ac:dyDescent="0.2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</row>
    <row r="228" spans="1:28" ht="15.75" customHeight="1" x14ac:dyDescent="0.2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</row>
    <row r="229" spans="1:28" ht="15.75" customHeight="1" x14ac:dyDescent="0.2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</row>
    <row r="230" spans="1:28" ht="15.75" customHeight="1" x14ac:dyDescent="0.2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</row>
    <row r="231" spans="1:28" ht="15.75" customHeight="1" x14ac:dyDescent="0.2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</row>
    <row r="232" spans="1:28" ht="15.75" customHeight="1" x14ac:dyDescent="0.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</row>
    <row r="233" spans="1:28" ht="15.75" customHeight="1" x14ac:dyDescent="0.2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</row>
    <row r="234" spans="1:28" ht="15.75" customHeight="1" x14ac:dyDescent="0.2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</row>
    <row r="235" spans="1:28" ht="15.75" customHeight="1" x14ac:dyDescent="0.2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</row>
    <row r="236" spans="1:28" ht="15.75" customHeight="1" x14ac:dyDescent="0.2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</row>
    <row r="237" spans="1:28" ht="15.75" customHeight="1" x14ac:dyDescent="0.2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</row>
    <row r="238" spans="1:28" ht="15.75" customHeight="1" x14ac:dyDescent="0.2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</row>
    <row r="239" spans="1:28" ht="15.75" customHeight="1" x14ac:dyDescent="0.2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</row>
    <row r="240" spans="1:28" ht="15.75" customHeight="1" x14ac:dyDescent="0.2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</row>
    <row r="241" spans="1:28" ht="15.75" customHeight="1" x14ac:dyDescent="0.2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</row>
    <row r="242" spans="1:28" ht="15.75" customHeight="1" x14ac:dyDescent="0.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</row>
    <row r="243" spans="1:28" ht="15.75" customHeight="1" x14ac:dyDescent="0.2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</row>
    <row r="244" spans="1:28" ht="15.75" customHeight="1" x14ac:dyDescent="0.2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</row>
    <row r="245" spans="1:28" ht="15.75" customHeight="1" x14ac:dyDescent="0.2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</row>
    <row r="246" spans="1:28" ht="15.75" customHeight="1" x14ac:dyDescent="0.2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</row>
    <row r="247" spans="1:28" ht="15.75" customHeight="1" x14ac:dyDescent="0.2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</row>
    <row r="248" spans="1:28" ht="15.75" customHeight="1" x14ac:dyDescent="0.2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</row>
    <row r="249" spans="1:28" ht="15.75" customHeight="1" x14ac:dyDescent="0.2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</row>
    <row r="250" spans="1:28" ht="15.75" customHeight="1" x14ac:dyDescent="0.2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</row>
    <row r="251" spans="1:28" ht="15.75" customHeight="1" x14ac:dyDescent="0.2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</row>
    <row r="252" spans="1:28" ht="15.75" customHeight="1" x14ac:dyDescent="0.2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</row>
    <row r="253" spans="1:28" ht="15.75" customHeight="1" x14ac:dyDescent="0.2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</row>
    <row r="254" spans="1:28" ht="15.75" customHeight="1" x14ac:dyDescent="0.2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</row>
    <row r="255" spans="1:28" ht="15.75" customHeight="1" x14ac:dyDescent="0.2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</row>
    <row r="256" spans="1:28" ht="15.75" customHeight="1" x14ac:dyDescent="0.2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</row>
    <row r="257" spans="1:28" ht="15.75" customHeight="1" x14ac:dyDescent="0.2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</row>
    <row r="258" spans="1:28" ht="15.75" customHeight="1" x14ac:dyDescent="0.2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</row>
    <row r="259" spans="1:28" ht="15.75" customHeight="1" x14ac:dyDescent="0.2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</row>
    <row r="260" spans="1:28" ht="15.75" customHeight="1" x14ac:dyDescent="0.2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</row>
    <row r="261" spans="1:28" ht="15.75" customHeight="1" x14ac:dyDescent="0.2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</row>
    <row r="262" spans="1:28" ht="15.75" customHeight="1" x14ac:dyDescent="0.2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</row>
    <row r="263" spans="1:28" ht="15.75" customHeight="1" x14ac:dyDescent="0.2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</row>
    <row r="264" spans="1:28" ht="15.75" customHeight="1" x14ac:dyDescent="0.2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</row>
    <row r="265" spans="1:28" ht="15.75" customHeight="1" x14ac:dyDescent="0.2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</row>
    <row r="266" spans="1:28" ht="15.75" customHeight="1" x14ac:dyDescent="0.2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</row>
    <row r="267" spans="1:28" ht="15.75" customHeight="1" x14ac:dyDescent="0.2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</row>
    <row r="268" spans="1:28" ht="15.75" customHeight="1" x14ac:dyDescent="0.2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</row>
    <row r="269" spans="1:28" ht="15.75" customHeight="1" x14ac:dyDescent="0.2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</row>
    <row r="270" spans="1:28" ht="15.75" customHeight="1" x14ac:dyDescent="0.2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</row>
    <row r="271" spans="1:28" ht="15.75" customHeight="1" x14ac:dyDescent="0.2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</row>
    <row r="272" spans="1:28" ht="15.75" customHeight="1" x14ac:dyDescent="0.2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</row>
    <row r="273" spans="1:28" ht="15.75" customHeight="1" x14ac:dyDescent="0.2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</row>
    <row r="274" spans="1:28" ht="15.75" customHeight="1" x14ac:dyDescent="0.2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</row>
    <row r="275" spans="1:28" ht="15.75" customHeight="1" x14ac:dyDescent="0.2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</row>
    <row r="276" spans="1:28" ht="15.75" customHeight="1" x14ac:dyDescent="0.2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</row>
    <row r="277" spans="1:28" ht="15.75" customHeight="1" x14ac:dyDescent="0.2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</row>
    <row r="278" spans="1:28" ht="15.75" customHeight="1" x14ac:dyDescent="0.2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</row>
    <row r="279" spans="1:28" ht="15.75" customHeight="1" x14ac:dyDescent="0.2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</row>
    <row r="280" spans="1:28" ht="15.75" customHeight="1" x14ac:dyDescent="0.2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</row>
    <row r="281" spans="1:28" ht="15.75" customHeight="1" x14ac:dyDescent="0.2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</row>
    <row r="282" spans="1:28" ht="15.75" customHeight="1" x14ac:dyDescent="0.2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</row>
    <row r="283" spans="1:28" ht="15.75" customHeight="1" x14ac:dyDescent="0.2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</row>
    <row r="284" spans="1:28" ht="15.75" customHeight="1" x14ac:dyDescent="0.2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</row>
    <row r="285" spans="1:28" ht="15.75" customHeight="1" x14ac:dyDescent="0.2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</row>
    <row r="286" spans="1:28" ht="15.75" customHeight="1" x14ac:dyDescent="0.2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</row>
    <row r="287" spans="1:28" ht="15.75" customHeight="1" x14ac:dyDescent="0.2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</row>
    <row r="288" spans="1:28" ht="15.75" customHeight="1" x14ac:dyDescent="0.2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</row>
    <row r="289" spans="1:28" ht="15.75" customHeight="1" x14ac:dyDescent="0.2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</row>
    <row r="290" spans="1:28" ht="15.75" customHeight="1" x14ac:dyDescent="0.2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</row>
    <row r="291" spans="1:28" ht="15.75" customHeight="1" x14ac:dyDescent="0.2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</row>
    <row r="292" spans="1:28" ht="15.75" customHeight="1" x14ac:dyDescent="0.2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</row>
    <row r="293" spans="1:28" ht="15.75" customHeight="1" x14ac:dyDescent="0.2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</row>
    <row r="294" spans="1:28" ht="15.75" customHeight="1" x14ac:dyDescent="0.2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</row>
    <row r="295" spans="1:28" ht="15.75" customHeight="1" x14ac:dyDescent="0.2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</row>
    <row r="296" spans="1:28" ht="15.75" customHeight="1" x14ac:dyDescent="0.2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</row>
    <row r="297" spans="1:28" ht="15.75" customHeight="1" x14ac:dyDescent="0.2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</row>
    <row r="298" spans="1:28" ht="15.75" customHeight="1" x14ac:dyDescent="0.2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</row>
    <row r="299" spans="1:28" ht="15.75" customHeight="1" x14ac:dyDescent="0.2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</row>
    <row r="300" spans="1:28" ht="15.75" customHeight="1" x14ac:dyDescent="0.2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</row>
    <row r="301" spans="1:28" ht="15.75" customHeight="1" x14ac:dyDescent="0.2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</row>
    <row r="302" spans="1:28" ht="15.75" customHeight="1" x14ac:dyDescent="0.2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</row>
    <row r="303" spans="1:28" ht="15.75" customHeight="1" x14ac:dyDescent="0.2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</row>
    <row r="304" spans="1:28" ht="15.75" customHeight="1" x14ac:dyDescent="0.2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</row>
    <row r="305" spans="1:28" ht="15.75" customHeight="1" x14ac:dyDescent="0.2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</row>
    <row r="306" spans="1:28" ht="15.75" customHeight="1" x14ac:dyDescent="0.2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</row>
    <row r="307" spans="1:28" ht="15.75" customHeight="1" x14ac:dyDescent="0.2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</row>
    <row r="308" spans="1:28" ht="15.75" customHeight="1" x14ac:dyDescent="0.2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</row>
    <row r="309" spans="1:28" ht="15.75" customHeight="1" x14ac:dyDescent="0.2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</row>
    <row r="310" spans="1:28" ht="15.75" customHeight="1" x14ac:dyDescent="0.2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</row>
    <row r="311" spans="1:28" ht="15.75" customHeight="1" x14ac:dyDescent="0.2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</row>
    <row r="312" spans="1:28" ht="15.75" customHeight="1" x14ac:dyDescent="0.2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</row>
    <row r="313" spans="1:28" ht="15.75" customHeight="1" x14ac:dyDescent="0.2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</row>
    <row r="314" spans="1:28" ht="15.75" customHeight="1" x14ac:dyDescent="0.2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</row>
    <row r="315" spans="1:28" ht="15.75" customHeight="1" x14ac:dyDescent="0.2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</row>
    <row r="316" spans="1:28" ht="15.75" customHeight="1" x14ac:dyDescent="0.2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</row>
    <row r="317" spans="1:28" ht="15.75" customHeight="1" x14ac:dyDescent="0.2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</row>
    <row r="318" spans="1:28" ht="15.75" customHeight="1" x14ac:dyDescent="0.2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</row>
    <row r="319" spans="1:28" ht="15.75" customHeight="1" x14ac:dyDescent="0.2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</row>
    <row r="320" spans="1:28" ht="15.75" customHeight="1" x14ac:dyDescent="0.2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</row>
    <row r="321" spans="1:28" ht="15.75" customHeight="1" x14ac:dyDescent="0.2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</row>
    <row r="322" spans="1:28" ht="15.75" customHeight="1" x14ac:dyDescent="0.2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</row>
    <row r="323" spans="1:28" ht="15.75" customHeight="1" x14ac:dyDescent="0.2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</row>
    <row r="324" spans="1:28" ht="15.75" customHeight="1" x14ac:dyDescent="0.2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</row>
    <row r="325" spans="1:28" ht="15.75" customHeight="1" x14ac:dyDescent="0.2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</row>
    <row r="326" spans="1:28" ht="15.75" customHeight="1" x14ac:dyDescent="0.2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</row>
    <row r="327" spans="1:28" ht="15.75" customHeight="1" x14ac:dyDescent="0.2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</row>
    <row r="328" spans="1:28" ht="15.75" customHeight="1" x14ac:dyDescent="0.2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</row>
    <row r="329" spans="1:28" ht="15.75" customHeight="1" x14ac:dyDescent="0.2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</row>
    <row r="330" spans="1:28" ht="15.75" customHeight="1" x14ac:dyDescent="0.2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</row>
    <row r="331" spans="1:28" ht="15.75" customHeight="1" x14ac:dyDescent="0.2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</row>
    <row r="332" spans="1:28" ht="15.75" customHeight="1" x14ac:dyDescent="0.2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</row>
    <row r="333" spans="1:28" ht="15.75" customHeight="1" x14ac:dyDescent="0.2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</row>
    <row r="334" spans="1:28" ht="15.75" customHeight="1" x14ac:dyDescent="0.2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</row>
    <row r="335" spans="1:28" ht="15.75" customHeight="1" x14ac:dyDescent="0.2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</row>
    <row r="336" spans="1:28" ht="15.75" customHeight="1" x14ac:dyDescent="0.2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</row>
    <row r="337" spans="1:28" ht="15.75" customHeight="1" x14ac:dyDescent="0.2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</row>
    <row r="338" spans="1:28" ht="15.75" customHeight="1" x14ac:dyDescent="0.2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</row>
    <row r="339" spans="1:28" ht="15.75" customHeight="1" x14ac:dyDescent="0.2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</row>
    <row r="340" spans="1:28" ht="15.75" customHeight="1" x14ac:dyDescent="0.2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</row>
    <row r="341" spans="1:28" ht="15.75" customHeight="1" x14ac:dyDescent="0.2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</row>
    <row r="342" spans="1:28" ht="15.75" customHeight="1" x14ac:dyDescent="0.2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</row>
    <row r="343" spans="1:28" ht="15.75" customHeight="1" x14ac:dyDescent="0.2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</row>
    <row r="344" spans="1:28" ht="15.75" customHeight="1" x14ac:dyDescent="0.2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</row>
    <row r="345" spans="1:28" ht="15.75" customHeight="1" x14ac:dyDescent="0.2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</row>
    <row r="346" spans="1:28" ht="15.75" customHeight="1" x14ac:dyDescent="0.2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</row>
    <row r="347" spans="1:28" ht="15.75" customHeight="1" x14ac:dyDescent="0.2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</row>
    <row r="348" spans="1:28" ht="15.75" customHeight="1" x14ac:dyDescent="0.2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</row>
    <row r="349" spans="1:28" ht="15.75" customHeight="1" x14ac:dyDescent="0.2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</row>
    <row r="350" spans="1:28" ht="15.75" customHeight="1" x14ac:dyDescent="0.2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</row>
    <row r="351" spans="1:28" ht="15.75" customHeight="1" x14ac:dyDescent="0.2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</row>
    <row r="352" spans="1:28" ht="15.75" customHeight="1" x14ac:dyDescent="0.2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</row>
    <row r="353" spans="1:28" ht="15.75" customHeight="1" x14ac:dyDescent="0.2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</row>
    <row r="354" spans="1:28" ht="15.75" customHeight="1" x14ac:dyDescent="0.2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</row>
    <row r="355" spans="1:28" ht="15.75" customHeight="1" x14ac:dyDescent="0.2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</row>
    <row r="356" spans="1:28" ht="15.75" customHeight="1" x14ac:dyDescent="0.2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</row>
    <row r="357" spans="1:28" ht="15.75" customHeight="1" x14ac:dyDescent="0.2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</row>
    <row r="358" spans="1:28" ht="15.75" customHeight="1" x14ac:dyDescent="0.2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</row>
    <row r="359" spans="1:28" ht="15.75" customHeight="1" x14ac:dyDescent="0.2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</row>
    <row r="360" spans="1:28" ht="15.75" customHeight="1" x14ac:dyDescent="0.2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</row>
    <row r="361" spans="1:28" ht="15.75" customHeight="1" x14ac:dyDescent="0.2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</row>
    <row r="362" spans="1:28" ht="15.75" customHeight="1" x14ac:dyDescent="0.2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</row>
    <row r="363" spans="1:28" ht="15.75" customHeight="1" x14ac:dyDescent="0.2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</row>
    <row r="364" spans="1:28" ht="15.75" customHeight="1" x14ac:dyDescent="0.2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</row>
    <row r="365" spans="1:28" ht="15.75" customHeight="1" x14ac:dyDescent="0.2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</row>
    <row r="366" spans="1:28" ht="15.75" customHeight="1" x14ac:dyDescent="0.2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</row>
    <row r="367" spans="1:28" ht="15.75" customHeight="1" x14ac:dyDescent="0.2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</row>
    <row r="368" spans="1:28" ht="15.75" customHeight="1" x14ac:dyDescent="0.2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</row>
    <row r="369" spans="1:28" ht="15.75" customHeight="1" x14ac:dyDescent="0.2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</row>
    <row r="370" spans="1:28" ht="15.75" customHeight="1" x14ac:dyDescent="0.2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</row>
    <row r="371" spans="1:28" ht="15.75" customHeight="1" x14ac:dyDescent="0.2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</row>
    <row r="372" spans="1:28" ht="15.75" customHeight="1" x14ac:dyDescent="0.2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</row>
    <row r="373" spans="1:28" ht="15.75" customHeight="1" x14ac:dyDescent="0.2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</row>
    <row r="374" spans="1:28" ht="15.75" customHeight="1" x14ac:dyDescent="0.2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</row>
    <row r="375" spans="1:28" ht="15.75" customHeight="1" x14ac:dyDescent="0.2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</row>
    <row r="376" spans="1:28" ht="15.75" customHeight="1" x14ac:dyDescent="0.2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</row>
    <row r="377" spans="1:28" ht="15.75" customHeight="1" x14ac:dyDescent="0.2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</row>
    <row r="378" spans="1:28" ht="15.75" customHeight="1" x14ac:dyDescent="0.2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</row>
    <row r="379" spans="1:28" ht="15.75" customHeight="1" x14ac:dyDescent="0.2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</row>
    <row r="380" spans="1:28" ht="15.75" customHeight="1" x14ac:dyDescent="0.2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</row>
    <row r="381" spans="1:28" ht="15.75" customHeight="1" x14ac:dyDescent="0.2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</row>
    <row r="382" spans="1:28" ht="15.75" customHeight="1" x14ac:dyDescent="0.2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</row>
    <row r="383" spans="1:28" ht="15.75" customHeight="1" x14ac:dyDescent="0.2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</row>
    <row r="384" spans="1:28" ht="15.75" customHeight="1" x14ac:dyDescent="0.2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</row>
    <row r="385" spans="1:28" ht="15.75" customHeight="1" x14ac:dyDescent="0.2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</row>
    <row r="386" spans="1:28" ht="15.75" customHeight="1" x14ac:dyDescent="0.2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</row>
    <row r="387" spans="1:28" ht="15.75" customHeight="1" x14ac:dyDescent="0.2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</row>
    <row r="388" spans="1:28" ht="15.75" customHeight="1" x14ac:dyDescent="0.2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</row>
    <row r="389" spans="1:28" ht="15.75" customHeight="1" x14ac:dyDescent="0.2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</row>
    <row r="390" spans="1:28" ht="15.75" customHeight="1" x14ac:dyDescent="0.2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</row>
    <row r="391" spans="1:28" ht="15.75" customHeight="1" x14ac:dyDescent="0.2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</row>
    <row r="392" spans="1:28" ht="15.75" customHeight="1" x14ac:dyDescent="0.2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</row>
    <row r="393" spans="1:28" ht="15.75" customHeight="1" x14ac:dyDescent="0.2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</row>
    <row r="394" spans="1:28" ht="15.75" customHeight="1" x14ac:dyDescent="0.2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</row>
    <row r="395" spans="1:28" ht="15.75" customHeight="1" x14ac:dyDescent="0.2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</row>
    <row r="396" spans="1:28" ht="15.75" customHeight="1" x14ac:dyDescent="0.2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</row>
    <row r="397" spans="1:28" ht="15.75" customHeight="1" x14ac:dyDescent="0.2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</row>
    <row r="398" spans="1:28" ht="15.75" customHeight="1" x14ac:dyDescent="0.2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</row>
    <row r="399" spans="1:28" ht="15.75" customHeight="1" x14ac:dyDescent="0.2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</row>
    <row r="400" spans="1:28" ht="15.75" customHeight="1" x14ac:dyDescent="0.2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</row>
    <row r="401" spans="1:28" ht="15.75" customHeight="1" x14ac:dyDescent="0.2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</row>
    <row r="402" spans="1:28" ht="15.75" customHeight="1" x14ac:dyDescent="0.2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</row>
    <row r="403" spans="1:28" ht="15.75" customHeight="1" x14ac:dyDescent="0.2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</row>
    <row r="404" spans="1:28" ht="15.75" customHeight="1" x14ac:dyDescent="0.2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</row>
    <row r="405" spans="1:28" ht="15.75" customHeight="1" x14ac:dyDescent="0.2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</row>
    <row r="406" spans="1:28" ht="15.75" customHeight="1" x14ac:dyDescent="0.2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</row>
    <row r="407" spans="1:28" ht="15.75" customHeight="1" x14ac:dyDescent="0.2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</row>
    <row r="408" spans="1:28" ht="15.75" customHeight="1" x14ac:dyDescent="0.2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</row>
    <row r="409" spans="1:28" ht="15.75" customHeight="1" x14ac:dyDescent="0.2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</row>
    <row r="410" spans="1:28" ht="15.75" customHeight="1" x14ac:dyDescent="0.2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</row>
    <row r="411" spans="1:28" ht="15.75" customHeight="1" x14ac:dyDescent="0.2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</row>
    <row r="412" spans="1:28" ht="15.75" customHeight="1" x14ac:dyDescent="0.2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</row>
    <row r="413" spans="1:28" ht="15.75" customHeight="1" x14ac:dyDescent="0.2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</row>
    <row r="414" spans="1:28" ht="15.75" customHeight="1" x14ac:dyDescent="0.2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</row>
    <row r="415" spans="1:28" ht="15.75" customHeight="1" x14ac:dyDescent="0.2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</row>
    <row r="416" spans="1:28" ht="15.75" customHeight="1" x14ac:dyDescent="0.2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</row>
    <row r="417" spans="1:28" ht="15.75" customHeight="1" x14ac:dyDescent="0.2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</row>
    <row r="418" spans="1:28" ht="15.75" customHeight="1" x14ac:dyDescent="0.2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</row>
    <row r="419" spans="1:28" ht="15.75" customHeight="1" x14ac:dyDescent="0.2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</row>
    <row r="420" spans="1:28" ht="15.75" customHeight="1" x14ac:dyDescent="0.2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</row>
    <row r="421" spans="1:28" ht="15.75" customHeight="1" x14ac:dyDescent="0.2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</row>
    <row r="422" spans="1:28" ht="15.75" customHeight="1" x14ac:dyDescent="0.2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</row>
    <row r="423" spans="1:28" ht="15.75" customHeight="1" x14ac:dyDescent="0.2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</row>
    <row r="424" spans="1:28" ht="15.75" customHeight="1" x14ac:dyDescent="0.2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</row>
    <row r="425" spans="1:28" ht="15.75" customHeight="1" x14ac:dyDescent="0.2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</row>
    <row r="426" spans="1:28" ht="15.75" customHeight="1" x14ac:dyDescent="0.2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</row>
    <row r="427" spans="1:28" ht="15.75" customHeight="1" x14ac:dyDescent="0.2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</row>
    <row r="428" spans="1:28" ht="15.75" customHeight="1" x14ac:dyDescent="0.2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</row>
    <row r="429" spans="1:28" ht="15.75" customHeight="1" x14ac:dyDescent="0.2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</row>
    <row r="430" spans="1:28" ht="15.75" customHeight="1" x14ac:dyDescent="0.2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</row>
    <row r="431" spans="1:28" ht="15.75" customHeight="1" x14ac:dyDescent="0.2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</row>
    <row r="432" spans="1:28" ht="15.75" customHeight="1" x14ac:dyDescent="0.2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</row>
    <row r="433" spans="1:28" ht="15.75" customHeight="1" x14ac:dyDescent="0.2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</row>
    <row r="434" spans="1:28" ht="15.75" customHeight="1" x14ac:dyDescent="0.2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</row>
    <row r="435" spans="1:28" ht="15.75" customHeight="1" x14ac:dyDescent="0.2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</row>
    <row r="436" spans="1:28" ht="15.75" customHeight="1" x14ac:dyDescent="0.2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</row>
    <row r="437" spans="1:28" ht="15.75" customHeight="1" x14ac:dyDescent="0.2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</row>
    <row r="438" spans="1:28" ht="15.75" customHeight="1" x14ac:dyDescent="0.2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</row>
    <row r="439" spans="1:28" ht="15.75" customHeight="1" x14ac:dyDescent="0.2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</row>
    <row r="440" spans="1:28" ht="15.75" customHeight="1" x14ac:dyDescent="0.2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</row>
    <row r="441" spans="1:28" ht="15.75" customHeight="1" x14ac:dyDescent="0.2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</row>
    <row r="442" spans="1:28" ht="15.75" customHeight="1" x14ac:dyDescent="0.2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</row>
    <row r="443" spans="1:28" ht="15.75" customHeight="1" x14ac:dyDescent="0.2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</row>
    <row r="444" spans="1:28" ht="15.75" customHeight="1" x14ac:dyDescent="0.2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</row>
    <row r="445" spans="1:28" ht="15.75" customHeight="1" x14ac:dyDescent="0.2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</row>
    <row r="446" spans="1:28" ht="15.75" customHeight="1" x14ac:dyDescent="0.2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</row>
    <row r="447" spans="1:28" ht="15.75" customHeight="1" x14ac:dyDescent="0.2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</row>
    <row r="448" spans="1:28" ht="15.75" customHeight="1" x14ac:dyDescent="0.2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</row>
    <row r="449" spans="1:28" ht="15.75" customHeight="1" x14ac:dyDescent="0.2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</row>
    <row r="450" spans="1:28" ht="15.75" customHeight="1" x14ac:dyDescent="0.2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</row>
    <row r="451" spans="1:28" ht="15.75" customHeight="1" x14ac:dyDescent="0.2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</row>
    <row r="452" spans="1:28" ht="15.75" customHeight="1" x14ac:dyDescent="0.2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</row>
    <row r="453" spans="1:28" ht="15.75" customHeight="1" x14ac:dyDescent="0.2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</row>
    <row r="454" spans="1:28" ht="15.75" customHeight="1" x14ac:dyDescent="0.2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</row>
    <row r="455" spans="1:28" ht="15.75" customHeight="1" x14ac:dyDescent="0.2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</row>
    <row r="456" spans="1:28" ht="15.75" customHeight="1" x14ac:dyDescent="0.2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</row>
    <row r="457" spans="1:28" ht="15.75" customHeight="1" x14ac:dyDescent="0.2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</row>
    <row r="458" spans="1:28" ht="15.75" customHeight="1" x14ac:dyDescent="0.2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</row>
    <row r="459" spans="1:28" ht="15.75" customHeight="1" x14ac:dyDescent="0.2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</row>
    <row r="460" spans="1:28" ht="15.75" customHeight="1" x14ac:dyDescent="0.2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</row>
    <row r="461" spans="1:28" ht="15.75" customHeight="1" x14ac:dyDescent="0.2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</row>
    <row r="462" spans="1:28" ht="15.75" customHeight="1" x14ac:dyDescent="0.2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</row>
    <row r="463" spans="1:28" ht="15.75" customHeight="1" x14ac:dyDescent="0.2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</row>
    <row r="464" spans="1:28" ht="15.75" customHeight="1" x14ac:dyDescent="0.2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</row>
    <row r="465" spans="1:28" ht="15.75" customHeight="1" x14ac:dyDescent="0.2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</row>
    <row r="466" spans="1:28" ht="15.75" customHeight="1" x14ac:dyDescent="0.2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</row>
    <row r="467" spans="1:28" ht="15.75" customHeight="1" x14ac:dyDescent="0.2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</row>
    <row r="468" spans="1:28" ht="15.75" customHeight="1" x14ac:dyDescent="0.2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</row>
    <row r="469" spans="1:28" ht="15.75" customHeight="1" x14ac:dyDescent="0.2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</row>
    <row r="470" spans="1:28" ht="15.75" customHeight="1" x14ac:dyDescent="0.2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</row>
    <row r="471" spans="1:28" ht="15.75" customHeight="1" x14ac:dyDescent="0.2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</row>
    <row r="472" spans="1:28" ht="15.75" customHeight="1" x14ac:dyDescent="0.2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</row>
    <row r="473" spans="1:28" ht="15.75" customHeight="1" x14ac:dyDescent="0.2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</row>
    <row r="474" spans="1:28" ht="15.75" customHeight="1" x14ac:dyDescent="0.2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</row>
    <row r="475" spans="1:28" ht="15.75" customHeight="1" x14ac:dyDescent="0.2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</row>
    <row r="476" spans="1:28" ht="15.75" customHeight="1" x14ac:dyDescent="0.2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</row>
    <row r="477" spans="1:28" ht="15.75" customHeight="1" x14ac:dyDescent="0.2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</row>
    <row r="478" spans="1:28" ht="15.75" customHeight="1" x14ac:dyDescent="0.2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</row>
    <row r="479" spans="1:28" ht="15.75" customHeight="1" x14ac:dyDescent="0.2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</row>
    <row r="480" spans="1:28" ht="15.75" customHeight="1" x14ac:dyDescent="0.2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</row>
    <row r="481" spans="1:28" ht="15.75" customHeight="1" x14ac:dyDescent="0.2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</row>
    <row r="482" spans="1:28" ht="15.75" customHeight="1" x14ac:dyDescent="0.2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</row>
    <row r="483" spans="1:28" ht="15.75" customHeight="1" x14ac:dyDescent="0.2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</row>
    <row r="484" spans="1:28" ht="15.75" customHeight="1" x14ac:dyDescent="0.2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</row>
    <row r="485" spans="1:28" ht="15.75" customHeight="1" x14ac:dyDescent="0.2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</row>
    <row r="486" spans="1:28" ht="15.75" customHeight="1" x14ac:dyDescent="0.2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</row>
    <row r="487" spans="1:28" ht="15.75" customHeight="1" x14ac:dyDescent="0.2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</row>
    <row r="488" spans="1:28" ht="15.75" customHeight="1" x14ac:dyDescent="0.2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</row>
    <row r="489" spans="1:28" ht="15.75" customHeight="1" x14ac:dyDescent="0.2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</row>
    <row r="490" spans="1:28" ht="15.75" customHeight="1" x14ac:dyDescent="0.2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</row>
    <row r="491" spans="1:28" ht="15.75" customHeight="1" x14ac:dyDescent="0.2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</row>
    <row r="492" spans="1:28" ht="15.75" customHeight="1" x14ac:dyDescent="0.2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</row>
    <row r="493" spans="1:28" ht="15.75" customHeight="1" x14ac:dyDescent="0.2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</row>
    <row r="494" spans="1:28" ht="15.75" customHeight="1" x14ac:dyDescent="0.2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</row>
    <row r="495" spans="1:28" ht="15.75" customHeight="1" x14ac:dyDescent="0.2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</row>
    <row r="496" spans="1:28" ht="15.75" customHeight="1" x14ac:dyDescent="0.2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</row>
    <row r="497" spans="1:28" ht="15.75" customHeight="1" x14ac:dyDescent="0.2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</row>
    <row r="498" spans="1:28" ht="15.75" customHeight="1" x14ac:dyDescent="0.2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</row>
    <row r="499" spans="1:28" ht="15.75" customHeight="1" x14ac:dyDescent="0.2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</row>
    <row r="500" spans="1:28" ht="15.75" customHeight="1" x14ac:dyDescent="0.2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</row>
    <row r="501" spans="1:28" ht="15.75" customHeight="1" x14ac:dyDescent="0.2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</row>
    <row r="502" spans="1:28" ht="15.75" customHeight="1" x14ac:dyDescent="0.2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</row>
    <row r="503" spans="1:28" ht="15.75" customHeight="1" x14ac:dyDescent="0.2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</row>
    <row r="504" spans="1:28" ht="15.75" customHeight="1" x14ac:dyDescent="0.2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</row>
    <row r="505" spans="1:28" ht="15.75" customHeight="1" x14ac:dyDescent="0.2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</row>
    <row r="506" spans="1:28" ht="15.75" customHeight="1" x14ac:dyDescent="0.2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</row>
    <row r="507" spans="1:28" ht="15.75" customHeight="1" x14ac:dyDescent="0.2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</row>
    <row r="508" spans="1:28" ht="15.75" customHeight="1" x14ac:dyDescent="0.2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</row>
    <row r="509" spans="1:28" ht="15.75" customHeight="1" x14ac:dyDescent="0.2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</row>
    <row r="510" spans="1:28" ht="15.75" customHeight="1" x14ac:dyDescent="0.2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</row>
    <row r="511" spans="1:28" ht="15.75" customHeight="1" x14ac:dyDescent="0.2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</row>
    <row r="512" spans="1:28" ht="15.75" customHeight="1" x14ac:dyDescent="0.2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</row>
    <row r="513" spans="1:28" ht="15.75" customHeight="1" x14ac:dyDescent="0.2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</row>
    <row r="514" spans="1:28" ht="15.75" customHeight="1" x14ac:dyDescent="0.2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</row>
    <row r="515" spans="1:28" ht="15.75" customHeight="1" x14ac:dyDescent="0.2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</row>
    <row r="516" spans="1:28" ht="15.75" customHeight="1" x14ac:dyDescent="0.2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</row>
    <row r="517" spans="1:28" ht="15.75" customHeight="1" x14ac:dyDescent="0.2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</row>
    <row r="518" spans="1:28" ht="15.75" customHeight="1" x14ac:dyDescent="0.2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</row>
    <row r="519" spans="1:28" ht="15.75" customHeight="1" x14ac:dyDescent="0.2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</row>
    <row r="520" spans="1:28" ht="15.75" customHeight="1" x14ac:dyDescent="0.2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</row>
    <row r="521" spans="1:28" ht="15.75" customHeight="1" x14ac:dyDescent="0.2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</row>
    <row r="522" spans="1:28" ht="15.75" customHeight="1" x14ac:dyDescent="0.2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</row>
    <row r="523" spans="1:28" ht="15.75" customHeight="1" x14ac:dyDescent="0.2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</row>
    <row r="524" spans="1:28" ht="15.75" customHeight="1" x14ac:dyDescent="0.2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</row>
    <row r="525" spans="1:28" ht="15.75" customHeight="1" x14ac:dyDescent="0.2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</row>
    <row r="526" spans="1:28" ht="15.75" customHeight="1" x14ac:dyDescent="0.2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</row>
    <row r="527" spans="1:28" ht="15.75" customHeight="1" x14ac:dyDescent="0.2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</row>
    <row r="528" spans="1:28" ht="15.75" customHeight="1" x14ac:dyDescent="0.2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</row>
    <row r="529" spans="1:28" ht="15.75" customHeight="1" x14ac:dyDescent="0.2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</row>
    <row r="530" spans="1:28" ht="15.75" customHeight="1" x14ac:dyDescent="0.2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</row>
    <row r="531" spans="1:28" ht="15.75" customHeight="1" x14ac:dyDescent="0.2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</row>
    <row r="532" spans="1:28" ht="15.75" customHeight="1" x14ac:dyDescent="0.2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</row>
    <row r="533" spans="1:28" ht="15.75" customHeight="1" x14ac:dyDescent="0.2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</row>
    <row r="534" spans="1:28" ht="15.75" customHeight="1" x14ac:dyDescent="0.2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</row>
    <row r="535" spans="1:28" ht="15.75" customHeight="1" x14ac:dyDescent="0.2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</row>
    <row r="536" spans="1:28" ht="15.75" customHeight="1" x14ac:dyDescent="0.2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</row>
    <row r="537" spans="1:28" ht="15.75" customHeight="1" x14ac:dyDescent="0.2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</row>
    <row r="538" spans="1:28" ht="15.75" customHeight="1" x14ac:dyDescent="0.2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</row>
    <row r="539" spans="1:28" ht="15.75" customHeight="1" x14ac:dyDescent="0.2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</row>
    <row r="540" spans="1:28" ht="15.75" customHeight="1" x14ac:dyDescent="0.2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</row>
    <row r="541" spans="1:28" ht="15.75" customHeight="1" x14ac:dyDescent="0.2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</row>
    <row r="542" spans="1:28" ht="15.75" customHeight="1" x14ac:dyDescent="0.2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</row>
    <row r="543" spans="1:28" ht="15.75" customHeight="1" x14ac:dyDescent="0.2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</row>
    <row r="544" spans="1:28" ht="15.75" customHeight="1" x14ac:dyDescent="0.2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</row>
    <row r="545" spans="1:28" ht="15.75" customHeight="1" x14ac:dyDescent="0.2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</row>
    <row r="546" spans="1:28" ht="15.75" customHeight="1" x14ac:dyDescent="0.2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</row>
    <row r="547" spans="1:28" ht="15.75" customHeight="1" x14ac:dyDescent="0.2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</row>
    <row r="548" spans="1:28" ht="15.75" customHeight="1" x14ac:dyDescent="0.2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</row>
    <row r="549" spans="1:28" ht="15.75" customHeight="1" x14ac:dyDescent="0.2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</row>
    <row r="550" spans="1:28" ht="15.75" customHeight="1" x14ac:dyDescent="0.2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</row>
    <row r="551" spans="1:28" ht="15.75" customHeight="1" x14ac:dyDescent="0.2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</row>
    <row r="552" spans="1:28" ht="15.75" customHeight="1" x14ac:dyDescent="0.2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</row>
    <row r="553" spans="1:28" ht="15.75" customHeight="1" x14ac:dyDescent="0.2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</row>
    <row r="554" spans="1:28" ht="15.75" customHeight="1" x14ac:dyDescent="0.2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</row>
    <row r="555" spans="1:28" ht="15.75" customHeight="1" x14ac:dyDescent="0.2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</row>
    <row r="556" spans="1:28" ht="15.75" customHeight="1" x14ac:dyDescent="0.2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</row>
    <row r="557" spans="1:28" ht="15.75" customHeight="1" x14ac:dyDescent="0.2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</row>
    <row r="558" spans="1:28" ht="15.75" customHeight="1" x14ac:dyDescent="0.2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</row>
    <row r="559" spans="1:28" ht="15.75" customHeight="1" x14ac:dyDescent="0.2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</row>
    <row r="560" spans="1:28" ht="15.75" customHeight="1" x14ac:dyDescent="0.2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</row>
    <row r="561" spans="1:28" ht="15.75" customHeight="1" x14ac:dyDescent="0.2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</row>
    <row r="562" spans="1:28" ht="15.75" customHeight="1" x14ac:dyDescent="0.2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</row>
    <row r="563" spans="1:28" ht="15.75" customHeight="1" x14ac:dyDescent="0.2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</row>
    <row r="564" spans="1:28" ht="15.75" customHeight="1" x14ac:dyDescent="0.2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</row>
    <row r="565" spans="1:28" ht="15.75" customHeight="1" x14ac:dyDescent="0.2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</row>
    <row r="566" spans="1:28" ht="15.75" customHeight="1" x14ac:dyDescent="0.2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</row>
    <row r="567" spans="1:28" ht="15.75" customHeight="1" x14ac:dyDescent="0.2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</row>
    <row r="568" spans="1:28" ht="15.75" customHeight="1" x14ac:dyDescent="0.2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</row>
    <row r="569" spans="1:28" ht="15.75" customHeight="1" x14ac:dyDescent="0.2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</row>
    <row r="570" spans="1:28" ht="15.75" customHeight="1" x14ac:dyDescent="0.2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</row>
    <row r="571" spans="1:28" ht="15.75" customHeight="1" x14ac:dyDescent="0.2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</row>
    <row r="572" spans="1:28" ht="15.75" customHeight="1" x14ac:dyDescent="0.2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</row>
    <row r="573" spans="1:28" ht="15.75" customHeight="1" x14ac:dyDescent="0.2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</row>
    <row r="574" spans="1:28" ht="15.75" customHeight="1" x14ac:dyDescent="0.2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</row>
    <row r="575" spans="1:28" ht="15.75" customHeight="1" x14ac:dyDescent="0.2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</row>
    <row r="576" spans="1:28" ht="15.75" customHeight="1" x14ac:dyDescent="0.2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</row>
    <row r="577" spans="1:28" ht="15.75" customHeight="1" x14ac:dyDescent="0.2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</row>
    <row r="578" spans="1:28" ht="15.75" customHeight="1" x14ac:dyDescent="0.2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</row>
    <row r="579" spans="1:28" ht="15.75" customHeight="1" x14ac:dyDescent="0.2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</row>
    <row r="580" spans="1:28" ht="15.75" customHeight="1" x14ac:dyDescent="0.2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</row>
    <row r="581" spans="1:28" ht="15.75" customHeight="1" x14ac:dyDescent="0.2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</row>
    <row r="582" spans="1:28" ht="15.75" customHeight="1" x14ac:dyDescent="0.2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</row>
    <row r="583" spans="1:28" ht="15.75" customHeight="1" x14ac:dyDescent="0.2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</row>
    <row r="584" spans="1:28" ht="15.75" customHeight="1" x14ac:dyDescent="0.2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</row>
    <row r="585" spans="1:28" ht="15.75" customHeight="1" x14ac:dyDescent="0.2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</row>
    <row r="586" spans="1:28" ht="15.75" customHeight="1" x14ac:dyDescent="0.2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</row>
    <row r="587" spans="1:28" ht="15.75" customHeight="1" x14ac:dyDescent="0.2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</row>
    <row r="588" spans="1:28" ht="15.75" customHeight="1" x14ac:dyDescent="0.2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</row>
    <row r="589" spans="1:28" ht="15.75" customHeight="1" x14ac:dyDescent="0.2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</row>
    <row r="590" spans="1:28" ht="15.75" customHeight="1" x14ac:dyDescent="0.2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</row>
    <row r="591" spans="1:28" ht="15.75" customHeight="1" x14ac:dyDescent="0.2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</row>
    <row r="592" spans="1:28" ht="15.75" customHeight="1" x14ac:dyDescent="0.2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</row>
    <row r="593" spans="1:28" ht="15.75" customHeight="1" x14ac:dyDescent="0.2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</row>
    <row r="594" spans="1:28" ht="15.75" customHeight="1" x14ac:dyDescent="0.2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</row>
    <row r="595" spans="1:28" ht="15.75" customHeight="1" x14ac:dyDescent="0.2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</row>
    <row r="596" spans="1:28" ht="15.75" customHeight="1" x14ac:dyDescent="0.2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</row>
    <row r="597" spans="1:28" ht="15.75" customHeight="1" x14ac:dyDescent="0.2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</row>
    <row r="598" spans="1:28" ht="15.75" customHeight="1" x14ac:dyDescent="0.2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</row>
    <row r="599" spans="1:28" ht="15.75" customHeight="1" x14ac:dyDescent="0.2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</row>
    <row r="600" spans="1:28" ht="15.75" customHeight="1" x14ac:dyDescent="0.2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</row>
    <row r="601" spans="1:28" ht="15.75" customHeight="1" x14ac:dyDescent="0.2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</row>
    <row r="602" spans="1:28" ht="15.75" customHeight="1" x14ac:dyDescent="0.2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</row>
    <row r="603" spans="1:28" ht="15.75" customHeight="1" x14ac:dyDescent="0.2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</row>
    <row r="604" spans="1:28" ht="15.75" customHeight="1" x14ac:dyDescent="0.2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</row>
    <row r="605" spans="1:28" ht="15.75" customHeight="1" x14ac:dyDescent="0.2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</row>
    <row r="606" spans="1:28" ht="15.75" customHeight="1" x14ac:dyDescent="0.2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</row>
    <row r="607" spans="1:28" ht="15.75" customHeight="1" x14ac:dyDescent="0.2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</row>
    <row r="608" spans="1:28" ht="15.75" customHeight="1" x14ac:dyDescent="0.2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</row>
    <row r="609" spans="1:28" ht="15.75" customHeight="1" x14ac:dyDescent="0.2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</row>
    <row r="610" spans="1:28" ht="15.75" customHeight="1" x14ac:dyDescent="0.2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</row>
    <row r="611" spans="1:28" ht="15.75" customHeight="1" x14ac:dyDescent="0.2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</row>
    <row r="612" spans="1:28" ht="15.75" customHeight="1" x14ac:dyDescent="0.2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</row>
    <row r="613" spans="1:28" ht="15.75" customHeight="1" x14ac:dyDescent="0.2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</row>
    <row r="614" spans="1:28" ht="15.75" customHeight="1" x14ac:dyDescent="0.2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</row>
    <row r="615" spans="1:28" ht="15.75" customHeight="1" x14ac:dyDescent="0.2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</row>
    <row r="616" spans="1:28" ht="15.75" customHeight="1" x14ac:dyDescent="0.2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</row>
    <row r="617" spans="1:28" ht="15.75" customHeight="1" x14ac:dyDescent="0.2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</row>
    <row r="618" spans="1:28" ht="15.75" customHeight="1" x14ac:dyDescent="0.2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</row>
    <row r="619" spans="1:28" ht="15.75" customHeight="1" x14ac:dyDescent="0.2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</row>
    <row r="620" spans="1:28" ht="15.75" customHeight="1" x14ac:dyDescent="0.2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</row>
    <row r="621" spans="1:28" ht="15.75" customHeight="1" x14ac:dyDescent="0.2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</row>
    <row r="622" spans="1:28" ht="15.75" customHeight="1" x14ac:dyDescent="0.2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</row>
    <row r="623" spans="1:28" ht="15.75" customHeight="1" x14ac:dyDescent="0.2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</row>
    <row r="624" spans="1:28" ht="15.75" customHeight="1" x14ac:dyDescent="0.2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</row>
    <row r="625" spans="1:28" ht="15.75" customHeight="1" x14ac:dyDescent="0.2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</row>
    <row r="626" spans="1:28" ht="15.75" customHeight="1" x14ac:dyDescent="0.2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</row>
    <row r="627" spans="1:28" ht="15.75" customHeight="1" x14ac:dyDescent="0.2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</row>
    <row r="628" spans="1:28" ht="15.75" customHeight="1" x14ac:dyDescent="0.2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</row>
    <row r="629" spans="1:28" ht="15.75" customHeight="1" x14ac:dyDescent="0.2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</row>
    <row r="630" spans="1:28" ht="15.75" customHeight="1" x14ac:dyDescent="0.2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</row>
    <row r="631" spans="1:28" ht="15.75" customHeight="1" x14ac:dyDescent="0.2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</row>
    <row r="632" spans="1:28" ht="15.75" customHeight="1" x14ac:dyDescent="0.2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</row>
    <row r="633" spans="1:28" ht="15.75" customHeight="1" x14ac:dyDescent="0.2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</row>
    <row r="634" spans="1:28" ht="15.75" customHeight="1" x14ac:dyDescent="0.2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</row>
    <row r="635" spans="1:28" ht="15.75" customHeight="1" x14ac:dyDescent="0.2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</row>
    <row r="636" spans="1:28" ht="15.75" customHeight="1" x14ac:dyDescent="0.2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</row>
    <row r="637" spans="1:28" ht="15.75" customHeight="1" x14ac:dyDescent="0.2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</row>
    <row r="638" spans="1:28" ht="15.75" customHeight="1" x14ac:dyDescent="0.2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</row>
    <row r="639" spans="1:28" ht="15.75" customHeight="1" x14ac:dyDescent="0.2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</row>
    <row r="640" spans="1:28" ht="15.75" customHeight="1" x14ac:dyDescent="0.2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</row>
    <row r="641" spans="1:28" ht="15.75" customHeight="1" x14ac:dyDescent="0.2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</row>
    <row r="642" spans="1:28" ht="15.75" customHeight="1" x14ac:dyDescent="0.2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</row>
    <row r="643" spans="1:28" ht="15.75" customHeight="1" x14ac:dyDescent="0.2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</row>
    <row r="644" spans="1:28" ht="15.75" customHeight="1" x14ac:dyDescent="0.2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</row>
    <row r="645" spans="1:28" ht="15.75" customHeight="1" x14ac:dyDescent="0.2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</row>
    <row r="646" spans="1:28" ht="15.75" customHeight="1" x14ac:dyDescent="0.2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</row>
    <row r="647" spans="1:28" ht="15.75" customHeight="1" x14ac:dyDescent="0.2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</row>
    <row r="648" spans="1:28" ht="15.75" customHeight="1" x14ac:dyDescent="0.2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</row>
    <row r="649" spans="1:28" ht="15.75" customHeight="1" x14ac:dyDescent="0.2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</row>
    <row r="650" spans="1:28" ht="15.75" customHeight="1" x14ac:dyDescent="0.2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</row>
    <row r="651" spans="1:28" ht="15.75" customHeight="1" x14ac:dyDescent="0.2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</row>
    <row r="652" spans="1:28" ht="15.75" customHeight="1" x14ac:dyDescent="0.2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</row>
    <row r="653" spans="1:28" ht="15.75" customHeight="1" x14ac:dyDescent="0.2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</row>
    <row r="654" spans="1:28" ht="15.75" customHeight="1" x14ac:dyDescent="0.2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</row>
    <row r="655" spans="1:28" ht="15.75" customHeight="1" x14ac:dyDescent="0.2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</row>
    <row r="656" spans="1:28" ht="15.75" customHeight="1" x14ac:dyDescent="0.2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</row>
    <row r="657" spans="1:28" ht="15.75" customHeight="1" x14ac:dyDescent="0.2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</row>
    <row r="658" spans="1:28" ht="15.75" customHeight="1" x14ac:dyDescent="0.2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</row>
    <row r="659" spans="1:28" ht="15.75" customHeight="1" x14ac:dyDescent="0.2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</row>
    <row r="660" spans="1:28" ht="15.75" customHeight="1" x14ac:dyDescent="0.2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</row>
    <row r="661" spans="1:28" ht="15.75" customHeight="1" x14ac:dyDescent="0.2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</row>
    <row r="662" spans="1:28" ht="15.75" customHeight="1" x14ac:dyDescent="0.2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</row>
    <row r="663" spans="1:28" ht="15.75" customHeight="1" x14ac:dyDescent="0.2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</row>
    <row r="664" spans="1:28" ht="15.75" customHeight="1" x14ac:dyDescent="0.2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</row>
    <row r="665" spans="1:28" ht="15.75" customHeight="1" x14ac:dyDescent="0.2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</row>
    <row r="666" spans="1:28" ht="15.75" customHeight="1" x14ac:dyDescent="0.2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</row>
    <row r="667" spans="1:28" ht="15.75" customHeight="1" x14ac:dyDescent="0.2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</row>
    <row r="668" spans="1:28" ht="15.75" customHeight="1" x14ac:dyDescent="0.2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</row>
    <row r="669" spans="1:28" ht="15.75" customHeight="1" x14ac:dyDescent="0.2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</row>
    <row r="670" spans="1:28" ht="15.75" customHeight="1" x14ac:dyDescent="0.2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</row>
    <row r="671" spans="1:28" ht="15.75" customHeight="1" x14ac:dyDescent="0.2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</row>
    <row r="672" spans="1:28" ht="15.75" customHeight="1" x14ac:dyDescent="0.2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</row>
    <row r="673" spans="1:28" ht="15.75" customHeight="1" x14ac:dyDescent="0.2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</row>
    <row r="674" spans="1:28" ht="15.75" customHeight="1" x14ac:dyDescent="0.2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</row>
    <row r="675" spans="1:28" ht="15.75" customHeight="1" x14ac:dyDescent="0.2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</row>
    <row r="676" spans="1:28" ht="15.75" customHeight="1" x14ac:dyDescent="0.2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</row>
    <row r="677" spans="1:28" ht="15.75" customHeight="1" x14ac:dyDescent="0.2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</row>
    <row r="678" spans="1:28" ht="15.75" customHeight="1" x14ac:dyDescent="0.2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</row>
    <row r="679" spans="1:28" ht="15.75" customHeight="1" x14ac:dyDescent="0.2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</row>
    <row r="680" spans="1:28" ht="15.75" customHeight="1" x14ac:dyDescent="0.2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</row>
    <row r="681" spans="1:28" ht="15.75" customHeight="1" x14ac:dyDescent="0.2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</row>
    <row r="682" spans="1:28" ht="15.75" customHeight="1" x14ac:dyDescent="0.2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</row>
    <row r="683" spans="1:28" ht="15.75" customHeight="1" x14ac:dyDescent="0.2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</row>
    <row r="684" spans="1:28" ht="15.75" customHeight="1" x14ac:dyDescent="0.2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</row>
    <row r="685" spans="1:28" ht="15.75" customHeight="1" x14ac:dyDescent="0.2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</row>
    <row r="686" spans="1:28" ht="15.75" customHeight="1" x14ac:dyDescent="0.2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</row>
    <row r="687" spans="1:28" ht="15.75" customHeight="1" x14ac:dyDescent="0.2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</row>
    <row r="688" spans="1:28" ht="15.75" customHeight="1" x14ac:dyDescent="0.2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</row>
    <row r="689" spans="1:28" ht="15.75" customHeight="1" x14ac:dyDescent="0.2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</row>
    <row r="690" spans="1:28" ht="15.75" customHeight="1" x14ac:dyDescent="0.2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</row>
    <row r="691" spans="1:28" ht="15.75" customHeight="1" x14ac:dyDescent="0.2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</row>
    <row r="692" spans="1:28" ht="15.75" customHeight="1" x14ac:dyDescent="0.2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</row>
    <row r="693" spans="1:28" ht="15.75" customHeight="1" x14ac:dyDescent="0.2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</row>
    <row r="694" spans="1:28" ht="15.75" customHeight="1" x14ac:dyDescent="0.2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</row>
    <row r="695" spans="1:28" ht="15.75" customHeight="1" x14ac:dyDescent="0.2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</row>
    <row r="696" spans="1:28" ht="15.75" customHeight="1" x14ac:dyDescent="0.2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</row>
    <row r="697" spans="1:28" ht="15.75" customHeight="1" x14ac:dyDescent="0.2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</row>
    <row r="698" spans="1:28" ht="15.75" customHeight="1" x14ac:dyDescent="0.2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</row>
    <row r="699" spans="1:28" ht="15.75" customHeight="1" x14ac:dyDescent="0.2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</row>
    <row r="700" spans="1:28" ht="15.75" customHeight="1" x14ac:dyDescent="0.2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</row>
    <row r="701" spans="1:28" ht="15.75" customHeight="1" x14ac:dyDescent="0.2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</row>
    <row r="702" spans="1:28" ht="15.75" customHeight="1" x14ac:dyDescent="0.2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</row>
    <row r="703" spans="1:28" ht="15.75" customHeight="1" x14ac:dyDescent="0.2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</row>
    <row r="704" spans="1:28" ht="15.75" customHeight="1" x14ac:dyDescent="0.2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</row>
    <row r="705" spans="1:28" ht="15.75" customHeight="1" x14ac:dyDescent="0.2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</row>
    <row r="706" spans="1:28" ht="15.75" customHeight="1" x14ac:dyDescent="0.2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</row>
    <row r="707" spans="1:28" ht="15.75" customHeight="1" x14ac:dyDescent="0.2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</row>
    <row r="708" spans="1:28" ht="15.75" customHeight="1" x14ac:dyDescent="0.2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</row>
    <row r="709" spans="1:28" ht="15.75" customHeight="1" x14ac:dyDescent="0.2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</row>
    <row r="710" spans="1:28" ht="15.75" customHeight="1" x14ac:dyDescent="0.2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</row>
    <row r="711" spans="1:28" ht="15.75" customHeight="1" x14ac:dyDescent="0.2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</row>
    <row r="712" spans="1:28" ht="15.75" customHeight="1" x14ac:dyDescent="0.2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</row>
    <row r="713" spans="1:28" ht="15.75" customHeight="1" x14ac:dyDescent="0.2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</row>
    <row r="714" spans="1:28" ht="15.75" customHeight="1" x14ac:dyDescent="0.2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</row>
    <row r="715" spans="1:28" ht="15.75" customHeight="1" x14ac:dyDescent="0.2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</row>
    <row r="716" spans="1:28" ht="15.75" customHeight="1" x14ac:dyDescent="0.2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</row>
    <row r="717" spans="1:28" ht="15.75" customHeight="1" x14ac:dyDescent="0.2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</row>
    <row r="718" spans="1:28" ht="15.75" customHeight="1" x14ac:dyDescent="0.2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</row>
    <row r="719" spans="1:28" ht="15.75" customHeight="1" x14ac:dyDescent="0.2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</row>
    <row r="720" spans="1:28" ht="15.75" customHeight="1" x14ac:dyDescent="0.2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</row>
    <row r="721" spans="1:28" ht="15.75" customHeight="1" x14ac:dyDescent="0.2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</row>
    <row r="722" spans="1:28" ht="15.75" customHeight="1" x14ac:dyDescent="0.2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</row>
    <row r="723" spans="1:28" ht="15.75" customHeight="1" x14ac:dyDescent="0.2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</row>
    <row r="724" spans="1:28" ht="15.75" customHeight="1" x14ac:dyDescent="0.2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</row>
    <row r="725" spans="1:28" ht="15.75" customHeight="1" x14ac:dyDescent="0.2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</row>
    <row r="726" spans="1:28" ht="15.75" customHeight="1" x14ac:dyDescent="0.2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</row>
    <row r="727" spans="1:28" ht="15.75" customHeight="1" x14ac:dyDescent="0.2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</row>
    <row r="728" spans="1:28" ht="15.75" customHeight="1" x14ac:dyDescent="0.2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</row>
    <row r="729" spans="1:28" ht="15.75" customHeight="1" x14ac:dyDescent="0.2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</row>
    <row r="730" spans="1:28" ht="15.75" customHeight="1" x14ac:dyDescent="0.2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</row>
    <row r="731" spans="1:28" ht="15.75" customHeight="1" x14ac:dyDescent="0.2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</row>
    <row r="732" spans="1:28" ht="15.75" customHeight="1" x14ac:dyDescent="0.2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</row>
    <row r="733" spans="1:28" ht="15.75" customHeight="1" x14ac:dyDescent="0.2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</row>
    <row r="734" spans="1:28" ht="15.75" customHeight="1" x14ac:dyDescent="0.2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</row>
    <row r="735" spans="1:28" ht="15.75" customHeight="1" x14ac:dyDescent="0.2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</row>
    <row r="736" spans="1:28" ht="15.75" customHeight="1" x14ac:dyDescent="0.2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</row>
    <row r="737" spans="1:28" ht="15.75" customHeight="1" x14ac:dyDescent="0.2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</row>
    <row r="738" spans="1:28" ht="15.75" customHeight="1" x14ac:dyDescent="0.2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</row>
    <row r="739" spans="1:28" ht="15.75" customHeight="1" x14ac:dyDescent="0.2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</row>
    <row r="740" spans="1:28" ht="15.75" customHeight="1" x14ac:dyDescent="0.2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</row>
    <row r="741" spans="1:28" ht="15.75" customHeight="1" x14ac:dyDescent="0.2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</row>
    <row r="742" spans="1:28" ht="15.75" customHeight="1" x14ac:dyDescent="0.2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</row>
    <row r="743" spans="1:28" ht="15.75" customHeight="1" x14ac:dyDescent="0.2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</row>
    <row r="744" spans="1:28" ht="15.75" customHeight="1" x14ac:dyDescent="0.2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</row>
    <row r="745" spans="1:28" ht="15.75" customHeight="1" x14ac:dyDescent="0.2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</row>
    <row r="746" spans="1:28" ht="15.75" customHeight="1" x14ac:dyDescent="0.2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</row>
    <row r="747" spans="1:28" ht="15.75" customHeight="1" x14ac:dyDescent="0.2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</row>
    <row r="748" spans="1:28" ht="15.75" customHeight="1" x14ac:dyDescent="0.2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</row>
    <row r="749" spans="1:28" ht="15.75" customHeight="1" x14ac:dyDescent="0.2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</row>
    <row r="750" spans="1:28" ht="15.75" customHeight="1" x14ac:dyDescent="0.2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</row>
    <row r="751" spans="1:28" ht="15.75" customHeight="1" x14ac:dyDescent="0.2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</row>
    <row r="752" spans="1:28" ht="15.75" customHeight="1" x14ac:dyDescent="0.2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</row>
    <row r="753" spans="1:28" ht="15.75" customHeight="1" x14ac:dyDescent="0.2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</row>
    <row r="754" spans="1:28" ht="15.75" customHeight="1" x14ac:dyDescent="0.2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</row>
    <row r="755" spans="1:28" ht="15.75" customHeight="1" x14ac:dyDescent="0.2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</row>
    <row r="756" spans="1:28" ht="15.75" customHeight="1" x14ac:dyDescent="0.2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</row>
    <row r="757" spans="1:28" ht="15.75" customHeight="1" x14ac:dyDescent="0.2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</row>
    <row r="758" spans="1:28" ht="15.75" customHeight="1" x14ac:dyDescent="0.2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</row>
    <row r="759" spans="1:28" ht="15.75" customHeight="1" x14ac:dyDescent="0.2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</row>
    <row r="760" spans="1:28" ht="15.75" customHeight="1" x14ac:dyDescent="0.2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</row>
    <row r="761" spans="1:28" ht="15.75" customHeight="1" x14ac:dyDescent="0.2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</row>
    <row r="762" spans="1:28" ht="15.75" customHeight="1" x14ac:dyDescent="0.2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</row>
    <row r="763" spans="1:28" ht="15.75" customHeight="1" x14ac:dyDescent="0.2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</row>
    <row r="764" spans="1:28" ht="15.75" customHeight="1" x14ac:dyDescent="0.2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</row>
    <row r="765" spans="1:28" ht="15.75" customHeight="1" x14ac:dyDescent="0.2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</row>
    <row r="766" spans="1:28" ht="15.75" customHeight="1" x14ac:dyDescent="0.2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</row>
    <row r="767" spans="1:28" ht="15.75" customHeight="1" x14ac:dyDescent="0.2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</row>
    <row r="768" spans="1:28" ht="15.75" customHeight="1" x14ac:dyDescent="0.2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</row>
    <row r="769" spans="1:28" ht="15.75" customHeight="1" x14ac:dyDescent="0.2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</row>
    <row r="770" spans="1:28" ht="15.75" customHeight="1" x14ac:dyDescent="0.2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</row>
    <row r="771" spans="1:28" ht="15.75" customHeight="1" x14ac:dyDescent="0.2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</row>
    <row r="772" spans="1:28" ht="15.75" customHeight="1" x14ac:dyDescent="0.2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</row>
    <row r="773" spans="1:28" ht="15.75" customHeight="1" x14ac:dyDescent="0.2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</row>
    <row r="774" spans="1:28" ht="15.75" customHeight="1" x14ac:dyDescent="0.2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</row>
    <row r="775" spans="1:28" ht="15.75" customHeight="1" x14ac:dyDescent="0.2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</row>
    <row r="776" spans="1:28" ht="15.75" customHeight="1" x14ac:dyDescent="0.2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</row>
    <row r="777" spans="1:28" ht="15.75" customHeight="1" x14ac:dyDescent="0.2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</row>
    <row r="778" spans="1:28" ht="15.75" customHeight="1" x14ac:dyDescent="0.2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</row>
    <row r="779" spans="1:28" ht="15.75" customHeight="1" x14ac:dyDescent="0.2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</row>
    <row r="780" spans="1:28" ht="15.75" customHeight="1" x14ac:dyDescent="0.2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</row>
    <row r="781" spans="1:28" ht="15.75" customHeight="1" x14ac:dyDescent="0.2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</row>
    <row r="782" spans="1:28" ht="15.75" customHeight="1" x14ac:dyDescent="0.2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</row>
    <row r="783" spans="1:28" ht="15.75" customHeight="1" x14ac:dyDescent="0.2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</row>
    <row r="784" spans="1:28" ht="15.75" customHeight="1" x14ac:dyDescent="0.2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</row>
    <row r="785" spans="1:28" ht="15.75" customHeight="1" x14ac:dyDescent="0.2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</row>
    <row r="786" spans="1:28" ht="15.75" customHeight="1" x14ac:dyDescent="0.2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</row>
    <row r="787" spans="1:28" ht="15.75" customHeight="1" x14ac:dyDescent="0.2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</row>
    <row r="788" spans="1:28" ht="15.75" customHeight="1" x14ac:dyDescent="0.2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</row>
    <row r="789" spans="1:28" ht="15.75" customHeight="1" x14ac:dyDescent="0.2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</row>
    <row r="790" spans="1:28" ht="15.75" customHeight="1" x14ac:dyDescent="0.2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</row>
    <row r="791" spans="1:28" ht="15.75" customHeight="1" x14ac:dyDescent="0.2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</row>
    <row r="792" spans="1:28" ht="15.75" customHeight="1" x14ac:dyDescent="0.2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</row>
    <row r="793" spans="1:28" ht="15.75" customHeight="1" x14ac:dyDescent="0.2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</row>
    <row r="794" spans="1:28" ht="15.75" customHeight="1" x14ac:dyDescent="0.2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</row>
    <row r="795" spans="1:28" ht="15.75" customHeight="1" x14ac:dyDescent="0.2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</row>
    <row r="796" spans="1:28" ht="15.75" customHeight="1" x14ac:dyDescent="0.2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</row>
    <row r="797" spans="1:28" ht="15.75" customHeight="1" x14ac:dyDescent="0.2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</row>
    <row r="798" spans="1:28" ht="15.75" customHeight="1" x14ac:dyDescent="0.2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</row>
    <row r="799" spans="1:28" ht="15.75" customHeight="1" x14ac:dyDescent="0.2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</row>
    <row r="800" spans="1:28" ht="15.75" customHeight="1" x14ac:dyDescent="0.2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</row>
    <row r="801" spans="1:28" ht="15.75" customHeight="1" x14ac:dyDescent="0.2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</row>
    <row r="802" spans="1:28" ht="15.75" customHeight="1" x14ac:dyDescent="0.2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</row>
    <row r="803" spans="1:28" ht="15.75" customHeight="1" x14ac:dyDescent="0.2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</row>
    <row r="804" spans="1:28" ht="15.75" customHeight="1" x14ac:dyDescent="0.2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</row>
    <row r="805" spans="1:28" ht="15.75" customHeight="1" x14ac:dyDescent="0.2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</row>
    <row r="806" spans="1:28" ht="15.75" customHeight="1" x14ac:dyDescent="0.2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</row>
    <row r="807" spans="1:28" ht="15.75" customHeight="1" x14ac:dyDescent="0.2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</row>
    <row r="808" spans="1:28" ht="15.75" customHeight="1" x14ac:dyDescent="0.2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</row>
    <row r="809" spans="1:28" ht="15.75" customHeight="1" x14ac:dyDescent="0.2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</row>
    <row r="810" spans="1:28" ht="15.75" customHeight="1" x14ac:dyDescent="0.2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</row>
    <row r="811" spans="1:28" ht="15.75" customHeight="1" x14ac:dyDescent="0.2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</row>
    <row r="812" spans="1:28" ht="15.75" customHeight="1" x14ac:dyDescent="0.2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</row>
    <row r="813" spans="1:28" ht="15.75" customHeight="1" x14ac:dyDescent="0.2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</row>
    <row r="814" spans="1:28" ht="15.75" customHeight="1" x14ac:dyDescent="0.2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</row>
    <row r="815" spans="1:28" ht="15.75" customHeight="1" x14ac:dyDescent="0.2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</row>
    <row r="816" spans="1:28" ht="15.75" customHeight="1" x14ac:dyDescent="0.2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</row>
    <row r="817" spans="1:28" ht="15.75" customHeight="1" x14ac:dyDescent="0.2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</row>
    <row r="818" spans="1:28" ht="15.75" customHeight="1" x14ac:dyDescent="0.2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</row>
    <row r="819" spans="1:28" ht="15.75" customHeight="1" x14ac:dyDescent="0.2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</row>
    <row r="820" spans="1:28" ht="15.75" customHeight="1" x14ac:dyDescent="0.2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</row>
    <row r="821" spans="1:28" ht="15.75" customHeight="1" x14ac:dyDescent="0.2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</row>
    <row r="822" spans="1:28" ht="15.75" customHeight="1" x14ac:dyDescent="0.2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</row>
    <row r="823" spans="1:28" ht="15.75" customHeight="1" x14ac:dyDescent="0.2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</row>
    <row r="824" spans="1:28" ht="15.75" customHeight="1" x14ac:dyDescent="0.2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</row>
    <row r="825" spans="1:28" ht="15.75" customHeight="1" x14ac:dyDescent="0.2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</row>
    <row r="826" spans="1:28" ht="15.75" customHeight="1" x14ac:dyDescent="0.2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</row>
    <row r="827" spans="1:28" ht="15.75" customHeight="1" x14ac:dyDescent="0.2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</row>
    <row r="828" spans="1:28" ht="15.75" customHeight="1" x14ac:dyDescent="0.2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</row>
    <row r="829" spans="1:28" ht="15.75" customHeight="1" x14ac:dyDescent="0.2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</row>
    <row r="830" spans="1:28" ht="15.75" customHeight="1" x14ac:dyDescent="0.2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</row>
    <row r="831" spans="1:28" ht="15.75" customHeight="1" x14ac:dyDescent="0.2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</row>
    <row r="832" spans="1:28" ht="15.75" customHeight="1" x14ac:dyDescent="0.2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</row>
    <row r="833" spans="1:28" ht="15.75" customHeight="1" x14ac:dyDescent="0.2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</row>
    <row r="834" spans="1:28" ht="15.75" customHeight="1" x14ac:dyDescent="0.2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</row>
    <row r="835" spans="1:28" ht="15.75" customHeight="1" x14ac:dyDescent="0.2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</row>
    <row r="836" spans="1:28" ht="15.75" customHeight="1" x14ac:dyDescent="0.2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</row>
    <row r="837" spans="1:28" ht="15.75" customHeight="1" x14ac:dyDescent="0.2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</row>
    <row r="838" spans="1:28" ht="15.75" customHeight="1" x14ac:dyDescent="0.2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</row>
    <row r="839" spans="1:28" ht="15.75" customHeight="1" x14ac:dyDescent="0.2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</row>
    <row r="840" spans="1:28" ht="15.75" customHeight="1" x14ac:dyDescent="0.2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</row>
    <row r="841" spans="1:28" ht="15.75" customHeight="1" x14ac:dyDescent="0.2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</row>
    <row r="842" spans="1:28" ht="15.75" customHeight="1" x14ac:dyDescent="0.2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</row>
    <row r="843" spans="1:28" ht="15.75" customHeight="1" x14ac:dyDescent="0.2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</row>
    <row r="844" spans="1:28" ht="15.75" customHeight="1" x14ac:dyDescent="0.2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</row>
    <row r="845" spans="1:28" ht="15.75" customHeight="1" x14ac:dyDescent="0.2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</row>
    <row r="846" spans="1:28" ht="15.75" customHeight="1" x14ac:dyDescent="0.2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</row>
    <row r="847" spans="1:28" ht="15.75" customHeight="1" x14ac:dyDescent="0.2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</row>
    <row r="848" spans="1:28" ht="15.75" customHeight="1" x14ac:dyDescent="0.2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</row>
    <row r="849" spans="1:28" ht="15.75" customHeight="1" x14ac:dyDescent="0.2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</row>
    <row r="850" spans="1:28" ht="15.75" customHeight="1" x14ac:dyDescent="0.2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</row>
    <row r="851" spans="1:28" ht="15.75" customHeight="1" x14ac:dyDescent="0.2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</row>
    <row r="852" spans="1:28" ht="15.75" customHeight="1" x14ac:dyDescent="0.2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</row>
    <row r="853" spans="1:28" ht="15.75" customHeight="1" x14ac:dyDescent="0.2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</row>
    <row r="854" spans="1:28" ht="15.75" customHeight="1" x14ac:dyDescent="0.2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</row>
    <row r="855" spans="1:28" ht="15.75" customHeight="1" x14ac:dyDescent="0.2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</row>
    <row r="856" spans="1:28" ht="15.75" customHeight="1" x14ac:dyDescent="0.2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</row>
    <row r="857" spans="1:28" ht="15.75" customHeight="1" x14ac:dyDescent="0.2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</row>
    <row r="858" spans="1:28" ht="15.75" customHeight="1" x14ac:dyDescent="0.2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</row>
    <row r="859" spans="1:28" ht="15.75" customHeight="1" x14ac:dyDescent="0.2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</row>
    <row r="860" spans="1:28" ht="15.75" customHeight="1" x14ac:dyDescent="0.2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</row>
    <row r="861" spans="1:28" ht="15.75" customHeight="1" x14ac:dyDescent="0.2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</row>
    <row r="862" spans="1:28" ht="15.75" customHeight="1" x14ac:dyDescent="0.2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</row>
    <row r="863" spans="1:28" ht="15.75" customHeight="1" x14ac:dyDescent="0.2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</row>
    <row r="864" spans="1:28" ht="15.75" customHeight="1" x14ac:dyDescent="0.2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</row>
    <row r="865" spans="1:28" ht="15.75" customHeight="1" x14ac:dyDescent="0.2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</row>
    <row r="866" spans="1:28" ht="15.75" customHeight="1" x14ac:dyDescent="0.2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</row>
    <row r="867" spans="1:28" ht="15.75" customHeight="1" x14ac:dyDescent="0.2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</row>
    <row r="868" spans="1:28" ht="15.75" customHeight="1" x14ac:dyDescent="0.2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</row>
    <row r="869" spans="1:28" ht="15.75" customHeight="1" x14ac:dyDescent="0.2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</row>
    <row r="870" spans="1:28" ht="15.75" customHeight="1" x14ac:dyDescent="0.2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</row>
    <row r="871" spans="1:28" ht="15.75" customHeight="1" x14ac:dyDescent="0.2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</row>
    <row r="872" spans="1:28" ht="15.75" customHeight="1" x14ac:dyDescent="0.2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</row>
    <row r="873" spans="1:28" ht="15.75" customHeight="1" x14ac:dyDescent="0.2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</row>
    <row r="874" spans="1:28" ht="15.75" customHeight="1" x14ac:dyDescent="0.2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</row>
    <row r="875" spans="1:28" ht="15.75" customHeight="1" x14ac:dyDescent="0.2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</row>
    <row r="876" spans="1:28" ht="15.75" customHeight="1" x14ac:dyDescent="0.2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</row>
    <row r="877" spans="1:28" ht="15.75" customHeight="1" x14ac:dyDescent="0.2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</row>
    <row r="878" spans="1:28" ht="15.75" customHeight="1" x14ac:dyDescent="0.2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</row>
    <row r="879" spans="1:28" ht="15.75" customHeight="1" x14ac:dyDescent="0.2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</row>
    <row r="880" spans="1:28" ht="15.75" customHeight="1" x14ac:dyDescent="0.2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</row>
    <row r="881" spans="1:28" ht="15.75" customHeight="1" x14ac:dyDescent="0.2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</row>
    <row r="882" spans="1:28" ht="15.75" customHeight="1" x14ac:dyDescent="0.2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</row>
    <row r="883" spans="1:28" ht="15.75" customHeight="1" x14ac:dyDescent="0.2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</row>
    <row r="884" spans="1:28" ht="15.75" customHeight="1" x14ac:dyDescent="0.2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</row>
    <row r="885" spans="1:28" ht="15.75" customHeight="1" x14ac:dyDescent="0.2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</row>
    <row r="886" spans="1:28" ht="15.75" customHeight="1" x14ac:dyDescent="0.2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</row>
    <row r="887" spans="1:28" ht="15.75" customHeight="1" x14ac:dyDescent="0.2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</row>
    <row r="888" spans="1:28" ht="15.75" customHeight="1" x14ac:dyDescent="0.2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</row>
    <row r="889" spans="1:28" ht="15.75" customHeight="1" x14ac:dyDescent="0.2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</row>
    <row r="890" spans="1:28" ht="15.75" customHeight="1" x14ac:dyDescent="0.2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</row>
    <row r="891" spans="1:28" ht="15.75" customHeight="1" x14ac:dyDescent="0.2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</row>
    <row r="892" spans="1:28" ht="15.75" customHeight="1" x14ac:dyDescent="0.2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</row>
    <row r="893" spans="1:28" ht="15.75" customHeight="1" x14ac:dyDescent="0.2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</row>
    <row r="894" spans="1:28" ht="15.75" customHeight="1" x14ac:dyDescent="0.2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</row>
    <row r="895" spans="1:28" ht="15.75" customHeight="1" x14ac:dyDescent="0.2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</row>
    <row r="896" spans="1:28" ht="15.75" customHeight="1" x14ac:dyDescent="0.2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</row>
    <row r="897" spans="1:28" ht="15.75" customHeight="1" x14ac:dyDescent="0.2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</row>
    <row r="898" spans="1:28" ht="15.75" customHeight="1" x14ac:dyDescent="0.2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</row>
    <row r="899" spans="1:28" ht="15.75" customHeight="1" x14ac:dyDescent="0.2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</row>
    <row r="900" spans="1:28" ht="15.75" customHeight="1" x14ac:dyDescent="0.2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</row>
    <row r="901" spans="1:28" ht="15.75" customHeight="1" x14ac:dyDescent="0.2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</row>
    <row r="902" spans="1:28" ht="15.75" customHeight="1" x14ac:dyDescent="0.2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</row>
    <row r="903" spans="1:28" ht="15.75" customHeight="1" x14ac:dyDescent="0.2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</row>
    <row r="904" spans="1:28" ht="15.75" customHeight="1" x14ac:dyDescent="0.2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</row>
    <row r="905" spans="1:28" ht="15.75" customHeight="1" x14ac:dyDescent="0.2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</row>
    <row r="906" spans="1:28" ht="15.75" customHeight="1" x14ac:dyDescent="0.2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</row>
    <row r="907" spans="1:28" ht="15.75" customHeight="1" x14ac:dyDescent="0.2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</row>
    <row r="908" spans="1:28" ht="15.75" customHeight="1" x14ac:dyDescent="0.2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</row>
    <row r="909" spans="1:28" ht="15.75" customHeight="1" x14ac:dyDescent="0.2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</row>
    <row r="910" spans="1:28" ht="15.75" customHeight="1" x14ac:dyDescent="0.2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</row>
    <row r="911" spans="1:28" ht="15.75" customHeight="1" x14ac:dyDescent="0.2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</row>
    <row r="912" spans="1:28" ht="15.75" customHeight="1" x14ac:dyDescent="0.2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</row>
    <row r="913" spans="1:28" ht="15.75" customHeight="1" x14ac:dyDescent="0.2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</row>
    <row r="914" spans="1:28" ht="15.75" customHeight="1" x14ac:dyDescent="0.2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</row>
    <row r="915" spans="1:28" ht="15.75" customHeight="1" x14ac:dyDescent="0.2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</row>
    <row r="916" spans="1:28" ht="15.75" customHeight="1" x14ac:dyDescent="0.2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</row>
    <row r="917" spans="1:28" ht="15.75" customHeight="1" x14ac:dyDescent="0.2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</row>
    <row r="918" spans="1:28" ht="15.75" customHeight="1" x14ac:dyDescent="0.2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</row>
    <row r="919" spans="1:28" ht="15.75" customHeight="1" x14ac:dyDescent="0.2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</row>
    <row r="920" spans="1:28" ht="15.75" customHeight="1" x14ac:dyDescent="0.2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</row>
    <row r="921" spans="1:28" ht="15.75" customHeight="1" x14ac:dyDescent="0.2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</row>
    <row r="922" spans="1:28" ht="15.75" customHeight="1" x14ac:dyDescent="0.2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</row>
    <row r="923" spans="1:28" ht="15.75" customHeight="1" x14ac:dyDescent="0.2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</row>
    <row r="924" spans="1:28" ht="15.75" customHeight="1" x14ac:dyDescent="0.2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</row>
    <row r="925" spans="1:28" ht="15.75" customHeight="1" x14ac:dyDescent="0.2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</row>
    <row r="926" spans="1:28" ht="15.75" customHeight="1" x14ac:dyDescent="0.2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</row>
    <row r="927" spans="1:28" ht="15.75" customHeight="1" x14ac:dyDescent="0.2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</row>
    <row r="928" spans="1:28" ht="15.75" customHeight="1" x14ac:dyDescent="0.2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</row>
    <row r="929" spans="1:28" ht="15.75" customHeight="1" x14ac:dyDescent="0.2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</row>
    <row r="930" spans="1:28" ht="15.75" customHeight="1" x14ac:dyDescent="0.2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</row>
    <row r="931" spans="1:28" ht="15.75" customHeight="1" x14ac:dyDescent="0.2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</row>
    <row r="932" spans="1:28" ht="15.75" customHeight="1" x14ac:dyDescent="0.2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</row>
    <row r="933" spans="1:28" ht="15.75" customHeight="1" x14ac:dyDescent="0.2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</row>
    <row r="934" spans="1:28" ht="15.75" customHeight="1" x14ac:dyDescent="0.2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</row>
    <row r="935" spans="1:28" ht="15.75" customHeight="1" x14ac:dyDescent="0.2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</row>
    <row r="936" spans="1:28" ht="15.75" customHeight="1" x14ac:dyDescent="0.2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</row>
    <row r="937" spans="1:28" ht="15.75" customHeight="1" x14ac:dyDescent="0.2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</row>
    <row r="938" spans="1:28" ht="15.75" customHeight="1" x14ac:dyDescent="0.2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</row>
    <row r="939" spans="1:28" ht="15.75" customHeight="1" x14ac:dyDescent="0.2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</row>
    <row r="940" spans="1:28" ht="15.75" customHeight="1" x14ac:dyDescent="0.2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</row>
    <row r="941" spans="1:28" ht="15.75" customHeight="1" x14ac:dyDescent="0.2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</row>
    <row r="942" spans="1:28" ht="15.75" customHeight="1" x14ac:dyDescent="0.2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</row>
    <row r="943" spans="1:28" ht="15.75" customHeight="1" x14ac:dyDescent="0.2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</row>
    <row r="944" spans="1:28" ht="15.75" customHeight="1" x14ac:dyDescent="0.2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</row>
    <row r="945" spans="1:28" ht="15.75" customHeight="1" x14ac:dyDescent="0.2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</row>
    <row r="946" spans="1:28" ht="15.75" customHeight="1" x14ac:dyDescent="0.2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</row>
    <row r="947" spans="1:28" ht="15.75" customHeight="1" x14ac:dyDescent="0.2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</row>
    <row r="948" spans="1:28" ht="15.75" customHeight="1" x14ac:dyDescent="0.2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</row>
    <row r="949" spans="1:28" ht="15.75" customHeight="1" x14ac:dyDescent="0.2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</row>
    <row r="950" spans="1:28" ht="15.75" customHeight="1" x14ac:dyDescent="0.2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</row>
    <row r="951" spans="1:28" ht="15.75" customHeight="1" x14ac:dyDescent="0.2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</row>
    <row r="952" spans="1:28" ht="15.75" customHeight="1" x14ac:dyDescent="0.2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</row>
    <row r="953" spans="1:28" ht="15.75" customHeight="1" x14ac:dyDescent="0.2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</row>
    <row r="954" spans="1:28" ht="15.75" customHeight="1" x14ac:dyDescent="0.2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</row>
    <row r="955" spans="1:28" ht="15.75" customHeight="1" x14ac:dyDescent="0.2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</row>
    <row r="956" spans="1:28" ht="15.75" customHeight="1" x14ac:dyDescent="0.2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</row>
    <row r="957" spans="1:28" ht="15.75" customHeight="1" x14ac:dyDescent="0.2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</row>
    <row r="958" spans="1:28" ht="15.75" customHeight="1" x14ac:dyDescent="0.2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</row>
    <row r="959" spans="1:28" ht="15.75" customHeight="1" x14ac:dyDescent="0.2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</row>
    <row r="960" spans="1:28" ht="15.75" customHeight="1" x14ac:dyDescent="0.2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</row>
    <row r="961" spans="1:28" ht="15.75" customHeight="1" x14ac:dyDescent="0.2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</row>
    <row r="962" spans="1:28" ht="15.75" customHeight="1" x14ac:dyDescent="0.2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</row>
    <row r="963" spans="1:28" ht="15.75" customHeight="1" x14ac:dyDescent="0.2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</row>
    <row r="964" spans="1:28" ht="15.75" customHeight="1" x14ac:dyDescent="0.2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</row>
    <row r="965" spans="1:28" ht="15.75" customHeight="1" x14ac:dyDescent="0.2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</row>
    <row r="966" spans="1:28" ht="15.75" customHeight="1" x14ac:dyDescent="0.2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</row>
    <row r="967" spans="1:28" ht="15.75" customHeight="1" x14ac:dyDescent="0.2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</row>
    <row r="968" spans="1:28" ht="15.75" customHeight="1" x14ac:dyDescent="0.2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</row>
    <row r="969" spans="1:28" ht="15.75" customHeight="1" x14ac:dyDescent="0.2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</row>
    <row r="970" spans="1:28" ht="15.75" customHeight="1" x14ac:dyDescent="0.2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</row>
    <row r="971" spans="1:28" ht="15.75" customHeight="1" x14ac:dyDescent="0.2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</row>
    <row r="972" spans="1:28" ht="15.75" customHeight="1" x14ac:dyDescent="0.2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</row>
    <row r="973" spans="1:28" ht="15.75" customHeight="1" x14ac:dyDescent="0.2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</row>
    <row r="974" spans="1:28" ht="15.75" customHeight="1" x14ac:dyDescent="0.2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</row>
    <row r="975" spans="1:28" ht="15.75" customHeight="1" x14ac:dyDescent="0.2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</row>
    <row r="976" spans="1:28" ht="15.75" customHeight="1" x14ac:dyDescent="0.2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</row>
    <row r="977" spans="1:28" ht="15.75" customHeight="1" x14ac:dyDescent="0.2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</row>
    <row r="978" spans="1:28" ht="15.75" customHeight="1" x14ac:dyDescent="0.2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</row>
    <row r="979" spans="1:28" ht="15.75" customHeight="1" x14ac:dyDescent="0.2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</row>
    <row r="980" spans="1:28" ht="15.75" customHeight="1" x14ac:dyDescent="0.2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</row>
    <row r="981" spans="1:28" ht="15.75" customHeight="1" x14ac:dyDescent="0.2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</row>
    <row r="982" spans="1:28" ht="15.75" customHeight="1" x14ac:dyDescent="0.2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</row>
    <row r="983" spans="1:28" ht="15.75" customHeight="1" x14ac:dyDescent="0.2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</row>
    <row r="984" spans="1:28" ht="15.75" customHeight="1" x14ac:dyDescent="0.2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</row>
    <row r="985" spans="1:28" ht="15.75" customHeight="1" x14ac:dyDescent="0.2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</row>
    <row r="986" spans="1:28" ht="15.75" customHeight="1" x14ac:dyDescent="0.2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</row>
    <row r="987" spans="1:28" ht="15.75" customHeight="1" x14ac:dyDescent="0.2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</row>
    <row r="988" spans="1:28" ht="15.75" customHeight="1" x14ac:dyDescent="0.2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</row>
    <row r="989" spans="1:28" ht="15.75" customHeight="1" x14ac:dyDescent="0.2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</row>
    <row r="990" spans="1:28" ht="15.75" customHeight="1" x14ac:dyDescent="0.2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</row>
    <row r="991" spans="1:28" ht="15.75" customHeight="1" x14ac:dyDescent="0.2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</row>
    <row r="992" spans="1:28" ht="15.75" customHeight="1" x14ac:dyDescent="0.2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</row>
    <row r="993" spans="1:28" ht="15.75" customHeight="1" x14ac:dyDescent="0.2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</row>
    <row r="994" spans="1:28" ht="15.75" customHeight="1" x14ac:dyDescent="0.2">
      <c r="A994" s="122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  <c r="AB994" s="122"/>
    </row>
    <row r="995" spans="1:28" ht="15.75" customHeight="1" x14ac:dyDescent="0.2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  <c r="AB995" s="122"/>
    </row>
    <row r="996" spans="1:28" ht="15.75" customHeight="1" x14ac:dyDescent="0.2">
      <c r="A996" s="122"/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  <c r="AA996" s="122"/>
      <c r="AB996" s="122"/>
    </row>
    <row r="997" spans="1:28" ht="15.75" customHeight="1" x14ac:dyDescent="0.2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  <c r="AA997" s="122"/>
      <c r="AB997" s="122"/>
    </row>
    <row r="998" spans="1:28" ht="15.75" customHeight="1" x14ac:dyDescent="0.2">
      <c r="A998" s="122"/>
      <c r="B998" s="122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  <c r="AA998" s="122"/>
      <c r="AB998" s="122"/>
    </row>
    <row r="999" spans="1:28" ht="15.75" customHeight="1" x14ac:dyDescent="0.2">
      <c r="A999" s="122"/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  <c r="AA999" s="122"/>
      <c r="AB999" s="122"/>
    </row>
    <row r="1000" spans="1:28" ht="15.75" customHeight="1" x14ac:dyDescent="0.2">
      <c r="A1000" s="122"/>
      <c r="B1000" s="122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  <c r="AA1000" s="122"/>
      <c r="AB1000" s="122"/>
    </row>
    <row r="1001" spans="1:28" ht="15.75" customHeight="1" x14ac:dyDescent="0.2">
      <c r="A1001" s="122"/>
      <c r="F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  <c r="AA1001" s="122"/>
      <c r="AB1001" s="122"/>
    </row>
  </sheetData>
  <sheetProtection sheet="1" objects="1" scenarios="1" selectLockedCells="1"/>
  <mergeCells count="6">
    <mergeCell ref="B12:C12"/>
    <mergeCell ref="B2:D2"/>
    <mergeCell ref="G2:I2"/>
    <mergeCell ref="E3:E10"/>
    <mergeCell ref="J3:J6"/>
    <mergeCell ref="G8:H8"/>
  </mergeCells>
  <pageMargins left="0" right="0" top="0" bottom="0" header="0.3" footer="0.3"/>
  <pageSetup orientation="landscape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B8BB-9716-4186-98B2-82923738DA8C}">
  <dimension ref="B1:G11"/>
  <sheetViews>
    <sheetView workbookViewId="0">
      <selection activeCell="C6" sqref="C6"/>
    </sheetView>
  </sheetViews>
  <sheetFormatPr defaultColWidth="9.14453125" defaultRowHeight="15" x14ac:dyDescent="0.2"/>
  <cols>
    <col min="1" max="1" width="9.14453125" style="9"/>
    <col min="2" max="2" width="24.48046875" style="9" bestFit="1" customWidth="1"/>
    <col min="3" max="3" width="8.875" style="9" bestFit="1" customWidth="1"/>
    <col min="4" max="4" width="8.609375" style="9" bestFit="1" customWidth="1"/>
    <col min="5" max="5" width="13.1796875" style="9" bestFit="1" customWidth="1"/>
    <col min="6" max="6" width="12.10546875" style="9" bestFit="1" customWidth="1"/>
    <col min="7" max="7" width="8.875" style="9" bestFit="1" customWidth="1"/>
    <col min="8" max="8" width="8.203125" style="9" bestFit="1" customWidth="1"/>
    <col min="9" max="9" width="13.1796875" style="9" bestFit="1" customWidth="1"/>
    <col min="10" max="16384" width="9.14453125" style="9"/>
  </cols>
  <sheetData>
    <row r="1" spans="2:7" ht="15.75" thickBot="1" x14ac:dyDescent="0.25"/>
    <row r="2" spans="2:7" ht="15.75" thickBot="1" x14ac:dyDescent="0.25">
      <c r="B2" s="302" t="s">
        <v>142</v>
      </c>
      <c r="C2" s="303"/>
      <c r="D2" s="303"/>
      <c r="E2" s="304"/>
    </row>
    <row r="3" spans="2:7" ht="15.75" thickBot="1" x14ac:dyDescent="0.25">
      <c r="B3" s="220"/>
      <c r="C3" s="221" t="s">
        <v>92</v>
      </c>
      <c r="D3" s="222" t="s">
        <v>96</v>
      </c>
      <c r="E3" s="12" t="s">
        <v>171</v>
      </c>
    </row>
    <row r="4" spans="2:7" ht="15.75" thickBot="1" x14ac:dyDescent="0.25">
      <c r="B4" s="12" t="s">
        <v>146</v>
      </c>
      <c r="C4" s="150">
        <v>0.25</v>
      </c>
      <c r="D4" s="218">
        <f>48*12/16*C4*1.15</f>
        <v>10.35</v>
      </c>
      <c r="E4" s="12" t="str">
        <f>ROUNDUP(((((C6*12*C4/16)*1.25))/20),0)&amp; " Boxes"</f>
        <v>5 Boxes</v>
      </c>
    </row>
    <row r="6" spans="2:7" x14ac:dyDescent="0.2">
      <c r="B6" s="9" t="s">
        <v>20</v>
      </c>
      <c r="C6" s="78">
        <v>384</v>
      </c>
    </row>
    <row r="8" spans="2:7" x14ac:dyDescent="0.2">
      <c r="C8" s="78"/>
      <c r="G8" s="78"/>
    </row>
    <row r="11" spans="2:7" x14ac:dyDescent="0.2">
      <c r="C11" s="94"/>
      <c r="G11" s="94"/>
    </row>
  </sheetData>
  <sheetProtection sheet="1" objects="1" scenarios="1" selectLockedCells="1"/>
  <mergeCells count="1">
    <mergeCell ref="B2:E2"/>
  </mergeCells>
  <pageMargins left="0" right="0" top="0" bottom="0" header="0.3" footer="0.3"/>
  <pageSetup orientation="landscape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492A-2308-4BF3-8EF9-DA3DEE6A745B}">
  <dimension ref="B1:D11"/>
  <sheetViews>
    <sheetView workbookViewId="0">
      <selection activeCell="C6" sqref="C6"/>
    </sheetView>
  </sheetViews>
  <sheetFormatPr defaultColWidth="14.390625" defaultRowHeight="15" x14ac:dyDescent="0.2"/>
  <cols>
    <col min="1" max="1" width="3.765625" style="9" customWidth="1"/>
    <col min="2" max="2" width="27.7109375" style="9" bestFit="1" customWidth="1"/>
    <col min="3" max="3" width="8.875" style="9" bestFit="1" customWidth="1"/>
    <col min="4" max="4" width="17.21875" style="9" bestFit="1" customWidth="1"/>
    <col min="5" max="26" width="9.14453125" style="9" customWidth="1"/>
    <col min="27" max="16384" width="14.390625" style="9"/>
  </cols>
  <sheetData>
    <row r="1" spans="2:4" ht="15.75" thickBot="1" x14ac:dyDescent="0.25"/>
    <row r="2" spans="2:4" ht="15.75" thickBot="1" x14ac:dyDescent="0.25">
      <c r="B2" s="268" t="s">
        <v>197</v>
      </c>
      <c r="C2" s="269"/>
      <c r="D2" s="270"/>
    </row>
    <row r="3" spans="2:4" ht="15.75" thickBot="1" x14ac:dyDescent="0.25">
      <c r="B3" s="36"/>
      <c r="C3" s="37" t="s">
        <v>92</v>
      </c>
      <c r="D3" s="105" t="s">
        <v>96</v>
      </c>
    </row>
    <row r="4" spans="2:4" ht="15.75" thickBot="1" x14ac:dyDescent="0.25">
      <c r="B4" s="35" t="s">
        <v>19</v>
      </c>
      <c r="C4" s="35">
        <v>1</v>
      </c>
      <c r="D4" s="109">
        <f>48*12/16*C4*1.15</f>
        <v>41.4</v>
      </c>
    </row>
    <row r="6" spans="2:4" x14ac:dyDescent="0.2">
      <c r="B6" s="9" t="s">
        <v>20</v>
      </c>
      <c r="C6" s="78">
        <v>48</v>
      </c>
    </row>
    <row r="8" spans="2:4" x14ac:dyDescent="0.2">
      <c r="B8" s="9" t="s">
        <v>9</v>
      </c>
      <c r="C8" s="78">
        <v>0</v>
      </c>
    </row>
    <row r="10" spans="2:4" x14ac:dyDescent="0.2">
      <c r="B10" s="9" t="s">
        <v>11</v>
      </c>
    </row>
    <row r="11" spans="2:4" x14ac:dyDescent="0.2">
      <c r="B11" s="9" t="s">
        <v>19</v>
      </c>
      <c r="C11" s="94">
        <f>((C6*12*C4/16)*1.25)-C8</f>
        <v>45</v>
      </c>
      <c r="D11" s="9" t="s">
        <v>12</v>
      </c>
    </row>
  </sheetData>
  <sheetProtection sheet="1" objects="1" scenarios="1" selectLockedCells="1"/>
  <mergeCells count="1">
    <mergeCell ref="B2:D2"/>
  </mergeCells>
  <pageMargins left="0" right="0" top="0" bottom="0" header="0.3" footer="0.3"/>
  <pageSetup orientation="landscape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6878-C62D-44BB-800F-B7FDA74AAC47}">
  <dimension ref="B1:E998"/>
  <sheetViews>
    <sheetView workbookViewId="0">
      <selection activeCell="C14" sqref="C14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305" t="s">
        <v>84</v>
      </c>
      <c r="C2" s="294"/>
      <c r="D2" s="294"/>
      <c r="E2" s="38" t="s">
        <v>0</v>
      </c>
    </row>
    <row r="3" spans="2:5" ht="15.75" customHeight="1" thickBot="1" x14ac:dyDescent="0.25">
      <c r="B3" s="47"/>
      <c r="C3" s="47" t="s">
        <v>92</v>
      </c>
      <c r="D3" s="237" t="s">
        <v>132</v>
      </c>
      <c r="E3" s="296">
        <f>ROUNDUP(C16/D10,1)</f>
        <v>1</v>
      </c>
    </row>
    <row r="4" spans="2:5" ht="15" customHeight="1" x14ac:dyDescent="0.2">
      <c r="B4" s="23" t="s">
        <v>62</v>
      </c>
      <c r="C4" s="112">
        <v>0.74</v>
      </c>
      <c r="D4" s="112">
        <f t="shared" ref="D4:D9" si="0">54*12*C4/16*1.15</f>
        <v>34.465499999999999</v>
      </c>
      <c r="E4" s="297"/>
    </row>
    <row r="5" spans="2:5" ht="15" customHeight="1" x14ac:dyDescent="0.2">
      <c r="B5" s="251" t="s">
        <v>162</v>
      </c>
      <c r="C5" s="113">
        <v>0.71</v>
      </c>
      <c r="D5" s="112">
        <f t="shared" si="0"/>
        <v>33.068249999999999</v>
      </c>
      <c r="E5" s="297"/>
    </row>
    <row r="6" spans="2:5" ht="15" customHeight="1" x14ac:dyDescent="0.2">
      <c r="B6" s="45" t="s">
        <v>1</v>
      </c>
      <c r="C6" s="113">
        <v>0.71</v>
      </c>
      <c r="D6" s="112">
        <f t="shared" si="0"/>
        <v>33.068249999999999</v>
      </c>
      <c r="E6" s="297"/>
    </row>
    <row r="7" spans="2:5" ht="15" customHeight="1" x14ac:dyDescent="0.2">
      <c r="B7" s="45" t="s">
        <v>63</v>
      </c>
      <c r="C7" s="113">
        <v>0.63</v>
      </c>
      <c r="D7" s="112">
        <f t="shared" si="0"/>
        <v>29.34225</v>
      </c>
      <c r="E7" s="297"/>
    </row>
    <row r="8" spans="2:5" ht="15" customHeight="1" x14ac:dyDescent="0.2">
      <c r="B8" s="251" t="s">
        <v>129</v>
      </c>
      <c r="C8" s="113">
        <v>0.46</v>
      </c>
      <c r="D8" s="112">
        <f t="shared" si="0"/>
        <v>21.424500000000002</v>
      </c>
      <c r="E8" s="297"/>
    </row>
    <row r="9" spans="2:5" ht="15" customHeight="1" thickBot="1" x14ac:dyDescent="0.25">
      <c r="B9" s="26" t="s">
        <v>64</v>
      </c>
      <c r="C9" s="250">
        <v>0.11</v>
      </c>
      <c r="D9" s="112">
        <f t="shared" si="0"/>
        <v>5.1232499999999996</v>
      </c>
      <c r="E9" s="297"/>
    </row>
    <row r="10" spans="2:5" ht="16.5" customHeight="1" thickBot="1" x14ac:dyDescent="0.25">
      <c r="B10" s="41" t="s">
        <v>17</v>
      </c>
      <c r="C10" s="115">
        <f>SUM(C4:C9)</f>
        <v>3.36</v>
      </c>
      <c r="D10" s="115">
        <f>SUM(D4:D6,D7:D9)</f>
        <v>156.49200000000002</v>
      </c>
      <c r="E10" s="298"/>
    </row>
    <row r="11" spans="2:5" ht="15.75" customHeight="1" x14ac:dyDescent="0.2"/>
    <row r="12" spans="2:5" ht="15.75" customHeight="1" x14ac:dyDescent="0.2">
      <c r="B12" s="258" t="s">
        <v>133</v>
      </c>
      <c r="C12" s="258"/>
      <c r="D12" s="94">
        <f>ROUNDDOWN(250/D10,2)</f>
        <v>1.59</v>
      </c>
    </row>
    <row r="13" spans="2:5" ht="15.75" customHeight="1" x14ac:dyDescent="0.2"/>
    <row r="14" spans="2:5" x14ac:dyDescent="0.2">
      <c r="B14" s="18" t="s">
        <v>29</v>
      </c>
      <c r="C14" s="64">
        <v>54</v>
      </c>
    </row>
    <row r="16" spans="2:5" x14ac:dyDescent="0.2">
      <c r="B16" s="18" t="s">
        <v>8</v>
      </c>
      <c r="C16" s="99">
        <f>((C14*12*C10/16)*1.15)-C17</f>
        <v>156.49199999999996</v>
      </c>
    </row>
    <row r="17" spans="2:4" x14ac:dyDescent="0.2">
      <c r="B17" s="18" t="s">
        <v>9</v>
      </c>
      <c r="C17" s="64">
        <v>0</v>
      </c>
    </row>
    <row r="18" spans="2:4" x14ac:dyDescent="0.2">
      <c r="B18" s="18" t="s">
        <v>10</v>
      </c>
      <c r="C18" s="99">
        <f>E3*D10</f>
        <v>156.49200000000002</v>
      </c>
    </row>
    <row r="20" spans="2:4" ht="15.75" customHeight="1" x14ac:dyDescent="0.2">
      <c r="B20" s="18" t="s">
        <v>11</v>
      </c>
    </row>
    <row r="21" spans="2:4" ht="15.75" customHeight="1" x14ac:dyDescent="0.2">
      <c r="B21" s="18" t="s">
        <v>62</v>
      </c>
      <c r="C21" s="99">
        <f>D4*E3</f>
        <v>34.465499999999999</v>
      </c>
      <c r="D21" s="18" t="s">
        <v>12</v>
      </c>
    </row>
    <row r="22" spans="2:4" ht="15.75" customHeight="1" x14ac:dyDescent="0.2">
      <c r="B22" s="216" t="s">
        <v>162</v>
      </c>
      <c r="C22" s="99">
        <f>D5*E3</f>
        <v>33.068249999999999</v>
      </c>
      <c r="D22" s="18" t="s">
        <v>12</v>
      </c>
    </row>
    <row r="23" spans="2:4" ht="15.75" customHeight="1" x14ac:dyDescent="0.2">
      <c r="B23" s="18" t="s">
        <v>1</v>
      </c>
      <c r="C23" s="99">
        <f>D6*E3</f>
        <v>33.068249999999999</v>
      </c>
      <c r="D23" s="18" t="s">
        <v>12</v>
      </c>
    </row>
    <row r="24" spans="2:4" ht="15.75" customHeight="1" x14ac:dyDescent="0.2">
      <c r="B24" s="18" t="s">
        <v>63</v>
      </c>
      <c r="C24" s="99">
        <f>D7*E3</f>
        <v>29.34225</v>
      </c>
      <c r="D24" s="18" t="s">
        <v>12</v>
      </c>
    </row>
    <row r="25" spans="2:4" ht="15.75" customHeight="1" x14ac:dyDescent="0.2">
      <c r="B25" s="18" t="s">
        <v>129</v>
      </c>
      <c r="C25" s="99">
        <f>D8*E3</f>
        <v>21.424500000000002</v>
      </c>
      <c r="D25" s="18" t="s">
        <v>12</v>
      </c>
    </row>
    <row r="26" spans="2:4" ht="15.75" customHeight="1" x14ac:dyDescent="0.2">
      <c r="B26" s="18" t="s">
        <v>64</v>
      </c>
      <c r="C26" s="99">
        <f>D9*E3</f>
        <v>5.1232499999999996</v>
      </c>
      <c r="D26" s="18" t="s">
        <v>12</v>
      </c>
    </row>
    <row r="27" spans="2:4" ht="15.75" customHeight="1" x14ac:dyDescent="0.2"/>
    <row r="28" spans="2:4" ht="15.75" customHeight="1" x14ac:dyDescent="0.2"/>
    <row r="29" spans="2:4" ht="15.75" customHeight="1" x14ac:dyDescent="0.2"/>
    <row r="30" spans="2:4" ht="15.75" customHeight="1" x14ac:dyDescent="0.2"/>
    <row r="31" spans="2:4" ht="15.75" customHeight="1" x14ac:dyDescent="0.2"/>
    <row r="32" spans="2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sheetProtection sheet="1" objects="1" scenarios="1" selectLockedCells="1"/>
  <mergeCells count="3">
    <mergeCell ref="B2:D2"/>
    <mergeCell ref="E3:E10"/>
    <mergeCell ref="B12:C12"/>
  </mergeCells>
  <pageMargins left="0" right="0" top="0" bottom="0" header="0" footer="0"/>
  <pageSetup orientation="landscape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8D6B-9EA4-4616-92E1-512C38A64984}">
  <dimension ref="B1:E18"/>
  <sheetViews>
    <sheetView workbookViewId="0">
      <selection activeCell="C10" sqref="C10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299" t="s">
        <v>122</v>
      </c>
      <c r="C2" s="300"/>
      <c r="D2" s="301"/>
      <c r="E2" s="38" t="s">
        <v>0</v>
      </c>
    </row>
    <row r="3" spans="2:5" ht="15.75" thickBot="1" x14ac:dyDescent="0.25">
      <c r="B3" s="43"/>
      <c r="C3" s="57" t="s">
        <v>92</v>
      </c>
      <c r="D3" s="217" t="s">
        <v>132</v>
      </c>
      <c r="E3" s="274">
        <f>ROUNDUP(C12/D6,1)</f>
        <v>1</v>
      </c>
    </row>
    <row r="4" spans="2:5" x14ac:dyDescent="0.2">
      <c r="B4" s="245" t="s">
        <v>182</v>
      </c>
      <c r="C4" s="168">
        <v>1.25</v>
      </c>
      <c r="D4" s="168">
        <f>54*12*C4/16*1.15</f>
        <v>58.218749999999993</v>
      </c>
      <c r="E4" s="275"/>
    </row>
    <row r="5" spans="2:5" ht="42" thickBot="1" x14ac:dyDescent="0.25">
      <c r="B5" s="246" t="s">
        <v>178</v>
      </c>
      <c r="C5" s="170">
        <v>0.5</v>
      </c>
      <c r="D5" s="170">
        <f>54*12*C5/16*1.15</f>
        <v>23.287499999999998</v>
      </c>
      <c r="E5" s="275"/>
    </row>
    <row r="6" spans="2:5" ht="15.75" thickBot="1" x14ac:dyDescent="0.25">
      <c r="B6" s="19" t="s">
        <v>17</v>
      </c>
      <c r="C6" s="171">
        <f>SUM(C4:C5)</f>
        <v>1.75</v>
      </c>
      <c r="D6" s="171">
        <f>SUM(D4:D5)</f>
        <v>81.506249999999994</v>
      </c>
      <c r="E6" s="276"/>
    </row>
    <row r="8" spans="2:5" x14ac:dyDescent="0.2">
      <c r="B8" s="258" t="s">
        <v>133</v>
      </c>
      <c r="C8" s="258"/>
      <c r="D8" s="94">
        <f>ROUNDDOWN(250/D6,2)</f>
        <v>3.06</v>
      </c>
    </row>
    <row r="10" spans="2:5" x14ac:dyDescent="0.2">
      <c r="B10" s="18" t="s">
        <v>29</v>
      </c>
      <c r="C10" s="64">
        <v>54</v>
      </c>
    </row>
    <row r="12" spans="2:5" x14ac:dyDescent="0.2">
      <c r="B12" s="18" t="s">
        <v>8</v>
      </c>
      <c r="C12" s="99">
        <f>((C10*12*C6/16)*1.15)-C13</f>
        <v>81.506249999999994</v>
      </c>
    </row>
    <row r="13" spans="2:5" x14ac:dyDescent="0.2">
      <c r="B13" s="18" t="s">
        <v>9</v>
      </c>
      <c r="C13" s="64">
        <v>0</v>
      </c>
    </row>
    <row r="14" spans="2:5" x14ac:dyDescent="0.2">
      <c r="B14" s="18" t="s">
        <v>10</v>
      </c>
      <c r="C14" s="99">
        <f>E3*D6</f>
        <v>81.506249999999994</v>
      </c>
    </row>
    <row r="16" spans="2:5" x14ac:dyDescent="0.2">
      <c r="B16" s="18" t="s">
        <v>11</v>
      </c>
    </row>
    <row r="17" spans="2:4" x14ac:dyDescent="0.2">
      <c r="B17" s="216" t="s">
        <v>182</v>
      </c>
      <c r="C17" s="99">
        <f>D4*E3</f>
        <v>58.218749999999993</v>
      </c>
      <c r="D17" s="18" t="s">
        <v>12</v>
      </c>
    </row>
    <row r="18" spans="2:4" ht="41.25" x14ac:dyDescent="0.2">
      <c r="B18" s="239" t="s">
        <v>178</v>
      </c>
      <c r="C18" s="99">
        <f>D5*E3</f>
        <v>23.287499999999998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FC98-0658-47F4-9D52-0009E0B285EC}">
  <dimension ref="B1:E20"/>
  <sheetViews>
    <sheetView workbookViewId="0">
      <selection activeCell="C11" sqref="C11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4" width="9.0117187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305" t="s">
        <v>82</v>
      </c>
      <c r="C2" s="294"/>
      <c r="D2" s="295"/>
      <c r="E2" s="47" t="s">
        <v>0</v>
      </c>
    </row>
    <row r="3" spans="2:5" ht="15.75" thickBot="1" x14ac:dyDescent="0.25">
      <c r="B3" s="47"/>
      <c r="C3" s="47" t="s">
        <v>96</v>
      </c>
      <c r="D3" s="237" t="s">
        <v>132</v>
      </c>
      <c r="E3" s="296">
        <f>ROUNDUP(C13/D7,1)</f>
        <v>1</v>
      </c>
    </row>
    <row r="4" spans="2:5" x14ac:dyDescent="0.2">
      <c r="B4" s="252" t="s">
        <v>162</v>
      </c>
      <c r="C4" s="120">
        <v>1</v>
      </c>
      <c r="D4" s="120">
        <f>54*12*C4/16*1.15</f>
        <v>46.574999999999996</v>
      </c>
      <c r="E4" s="297"/>
    </row>
    <row r="5" spans="2:5" ht="41.25" x14ac:dyDescent="0.2">
      <c r="B5" s="238" t="s">
        <v>178</v>
      </c>
      <c r="C5" s="113">
        <v>0.7</v>
      </c>
      <c r="D5" s="113">
        <f>54*12*C5/16*1.15</f>
        <v>32.602499999999992</v>
      </c>
      <c r="E5" s="297"/>
    </row>
    <row r="6" spans="2:5" ht="15.75" thickBot="1" x14ac:dyDescent="0.25">
      <c r="B6" s="52" t="s">
        <v>32</v>
      </c>
      <c r="C6" s="114">
        <v>0.15</v>
      </c>
      <c r="D6" s="114">
        <f>54*12*C6/16*1.15</f>
        <v>6.9862500000000001</v>
      </c>
      <c r="E6" s="297"/>
    </row>
    <row r="7" spans="2:5" ht="15.75" thickBot="1" x14ac:dyDescent="0.25">
      <c r="B7" s="41" t="s">
        <v>17</v>
      </c>
      <c r="C7" s="121">
        <f>SUM(C4:C6)</f>
        <v>1.8499999999999999</v>
      </c>
      <c r="D7" s="121">
        <f>SUM(D4:D6)</f>
        <v>86.163749999999979</v>
      </c>
      <c r="E7" s="298"/>
    </row>
    <row r="9" spans="2:5" x14ac:dyDescent="0.2">
      <c r="B9" s="258" t="s">
        <v>133</v>
      </c>
      <c r="C9" s="258"/>
      <c r="D9" s="94">
        <f>ROUNDDOWN(250/D7,2)</f>
        <v>2.9</v>
      </c>
    </row>
    <row r="11" spans="2:5" x14ac:dyDescent="0.2">
      <c r="B11" s="18" t="s">
        <v>29</v>
      </c>
      <c r="C11" s="64">
        <v>54</v>
      </c>
    </row>
    <row r="13" spans="2:5" x14ac:dyDescent="0.2">
      <c r="B13" s="18" t="s">
        <v>8</v>
      </c>
      <c r="C13" s="99">
        <f>((C11*12*C7/16)*1.15)-C14</f>
        <v>86.163749999999993</v>
      </c>
    </row>
    <row r="14" spans="2:5" x14ac:dyDescent="0.2">
      <c r="B14" s="18" t="s">
        <v>9</v>
      </c>
      <c r="C14" s="64">
        <v>0</v>
      </c>
    </row>
    <row r="15" spans="2:5" x14ac:dyDescent="0.2">
      <c r="B15" s="18" t="s">
        <v>83</v>
      </c>
      <c r="C15" s="99">
        <f>E3*D7</f>
        <v>86.163749999999979</v>
      </c>
    </row>
    <row r="17" spans="2:4" x14ac:dyDescent="0.2">
      <c r="B17" s="18" t="s">
        <v>11</v>
      </c>
    </row>
    <row r="18" spans="2:4" x14ac:dyDescent="0.2">
      <c r="B18" s="216" t="s">
        <v>162</v>
      </c>
      <c r="C18" s="99">
        <f>D4*E3</f>
        <v>46.574999999999996</v>
      </c>
      <c r="D18" s="18" t="s">
        <v>12</v>
      </c>
    </row>
    <row r="19" spans="2:4" ht="41.25" x14ac:dyDescent="0.2">
      <c r="B19" s="239" t="s">
        <v>178</v>
      </c>
      <c r="C19" s="99">
        <f>D5*E3</f>
        <v>32.602499999999992</v>
      </c>
      <c r="D19" s="18" t="s">
        <v>12</v>
      </c>
    </row>
    <row r="20" spans="2:4" x14ac:dyDescent="0.2">
      <c r="B20" s="18" t="s">
        <v>32</v>
      </c>
      <c r="C20" s="99">
        <f>D6*E3</f>
        <v>6.9862500000000001</v>
      </c>
      <c r="D20" s="18" t="s">
        <v>12</v>
      </c>
    </row>
  </sheetData>
  <sheetProtection sheet="1" objects="1" scenarios="1" selectLockedCells="1"/>
  <mergeCells count="3">
    <mergeCell ref="B2:D2"/>
    <mergeCell ref="E3:E7"/>
    <mergeCell ref="B9:C9"/>
  </mergeCells>
  <pageMargins left="0" right="0" top="0" bottom="0" header="0" footer="0"/>
  <pageSetup orientation="landscape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C1B5-115F-4C5F-9971-7314D84805EA}">
  <dimension ref="B1:J20"/>
  <sheetViews>
    <sheetView workbookViewId="0">
      <selection activeCell="C10" sqref="C10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9.01171875" style="18" bestFit="1" customWidth="1"/>
    <col min="4" max="4" width="9.953125" style="18" bestFit="1" customWidth="1"/>
    <col min="5" max="5" width="10.76171875" style="18" bestFit="1" customWidth="1"/>
    <col min="6" max="6" width="9.14453125" style="18" customWidth="1"/>
    <col min="7" max="7" width="21.5234375" style="18" bestFit="1" customWidth="1"/>
    <col min="8" max="8" width="8.875" style="18" bestFit="1" customWidth="1"/>
    <col min="9" max="9" width="9.28125" style="18" bestFit="1" customWidth="1"/>
    <col min="10" max="10" width="13.1796875" style="18" bestFit="1" customWidth="1"/>
    <col min="11" max="28" width="9.14453125" style="18" customWidth="1"/>
    <col min="29" max="16384" width="14.390625" style="18"/>
  </cols>
  <sheetData>
    <row r="1" spans="2:10" ht="15.75" thickBot="1" x14ac:dyDescent="0.25"/>
    <row r="2" spans="2:10" ht="15.75" thickBot="1" x14ac:dyDescent="0.25">
      <c r="B2" s="299" t="s">
        <v>37</v>
      </c>
      <c r="C2" s="300"/>
      <c r="D2" s="301"/>
      <c r="E2" s="47" t="s">
        <v>0</v>
      </c>
      <c r="G2" s="299" t="s">
        <v>38</v>
      </c>
      <c r="H2" s="300"/>
      <c r="I2" s="301"/>
      <c r="J2" s="47" t="s">
        <v>0</v>
      </c>
    </row>
    <row r="3" spans="2:10" ht="15.75" thickBot="1" x14ac:dyDescent="0.25">
      <c r="B3" s="43"/>
      <c r="C3" s="57" t="s">
        <v>92</v>
      </c>
      <c r="D3" s="240" t="s">
        <v>132</v>
      </c>
      <c r="E3" s="274">
        <f>ROUNDUP(C12/D6,1)</f>
        <v>1</v>
      </c>
      <c r="G3" s="181"/>
      <c r="H3" s="55" t="s">
        <v>92</v>
      </c>
      <c r="I3" s="242" t="s">
        <v>132</v>
      </c>
      <c r="J3" s="274">
        <f>ROUNDUP(H12/I6,1)</f>
        <v>1.5</v>
      </c>
    </row>
    <row r="4" spans="2:10" x14ac:dyDescent="0.2">
      <c r="B4" s="24" t="s">
        <v>39</v>
      </c>
      <c r="C4" s="168">
        <v>7.0000000000000007E-2</v>
      </c>
      <c r="D4" s="185">
        <f>54*12*C4/16*1.15</f>
        <v>3.2602500000000001</v>
      </c>
      <c r="E4" s="275"/>
      <c r="G4" s="25" t="s">
        <v>36</v>
      </c>
      <c r="H4" s="96">
        <v>0.25</v>
      </c>
      <c r="I4" s="96">
        <f>54*12*H4/16*1.15</f>
        <v>11.643749999999999</v>
      </c>
      <c r="J4" s="275"/>
    </row>
    <row r="5" spans="2:10" ht="42" thickBot="1" x14ac:dyDescent="0.25">
      <c r="B5" s="241" t="s">
        <v>179</v>
      </c>
      <c r="C5" s="183">
        <v>2.4300000000000002</v>
      </c>
      <c r="D5" s="186">
        <f>54*12*C5/16*1.15</f>
        <v>113.17725</v>
      </c>
      <c r="E5" s="275"/>
      <c r="G5" s="244" t="s">
        <v>180</v>
      </c>
      <c r="H5" s="97">
        <v>0.5</v>
      </c>
      <c r="I5" s="97">
        <f>54*12*H5/16*1.15</f>
        <v>23.287499999999998</v>
      </c>
      <c r="J5" s="275"/>
    </row>
    <row r="6" spans="2:10" ht="15.75" thickBot="1" x14ac:dyDescent="0.25">
      <c r="B6" s="46" t="s">
        <v>2</v>
      </c>
      <c r="C6" s="184">
        <f>SUM(C4:C5)</f>
        <v>2.5</v>
      </c>
      <c r="D6" s="187">
        <f>SUM(D4:D5)</f>
        <v>116.4375</v>
      </c>
      <c r="E6" s="276"/>
      <c r="G6" s="42" t="s">
        <v>17</v>
      </c>
      <c r="H6" s="188">
        <f>SUM(H4:H5)</f>
        <v>0.75</v>
      </c>
      <c r="I6" s="243">
        <f>SUM(I5:I5)</f>
        <v>23.287499999999998</v>
      </c>
      <c r="J6" s="276"/>
    </row>
    <row r="8" spans="2:10" x14ac:dyDescent="0.2">
      <c r="B8" s="258" t="s">
        <v>133</v>
      </c>
      <c r="C8" s="258"/>
      <c r="D8" s="94">
        <f>ROUNDDOWN(250/D6,2)</f>
        <v>2.14</v>
      </c>
      <c r="G8" s="258" t="s">
        <v>133</v>
      </c>
      <c r="H8" s="258"/>
      <c r="I8" s="94">
        <f>ROUNDDOWN(250/I6,2)</f>
        <v>10.73</v>
      </c>
    </row>
    <row r="10" spans="2:10" x14ac:dyDescent="0.2">
      <c r="B10" s="18" t="s">
        <v>29</v>
      </c>
      <c r="C10" s="64">
        <v>54</v>
      </c>
    </row>
    <row r="12" spans="2:10" x14ac:dyDescent="0.2">
      <c r="B12" s="18" t="s">
        <v>8</v>
      </c>
      <c r="C12" s="99">
        <f>((C10*12*C6/16)*1.15)-C13</f>
        <v>116.43749999999999</v>
      </c>
      <c r="G12" s="18" t="s">
        <v>40</v>
      </c>
      <c r="H12" s="99">
        <f>((C10*12*H6/16)*1.15)-H13</f>
        <v>34.931249999999999</v>
      </c>
    </row>
    <row r="13" spans="2:10" x14ac:dyDescent="0.2">
      <c r="B13" s="18" t="s">
        <v>9</v>
      </c>
      <c r="C13" s="64">
        <v>0</v>
      </c>
      <c r="G13" s="18" t="s">
        <v>9</v>
      </c>
      <c r="H13" s="64">
        <v>0</v>
      </c>
    </row>
    <row r="14" spans="2:10" x14ac:dyDescent="0.2">
      <c r="B14" s="18" t="s">
        <v>10</v>
      </c>
      <c r="C14" s="99">
        <f>E3*D6</f>
        <v>116.4375</v>
      </c>
      <c r="G14" s="18" t="s">
        <v>41</v>
      </c>
      <c r="H14" s="99">
        <f>J3*I6</f>
        <v>34.931249999999999</v>
      </c>
    </row>
    <row r="15" spans="2:10" ht="15.75" thickBot="1" x14ac:dyDescent="0.25"/>
    <row r="16" spans="2:10" ht="15.75" thickBot="1" x14ac:dyDescent="0.25">
      <c r="B16" s="18" t="s">
        <v>11</v>
      </c>
      <c r="G16" s="302" t="s">
        <v>142</v>
      </c>
      <c r="H16" s="303"/>
      <c r="I16" s="303"/>
      <c r="J16" s="304"/>
    </row>
    <row r="17" spans="2:10" ht="15.75" thickBot="1" x14ac:dyDescent="0.25">
      <c r="B17" s="18" t="s">
        <v>36</v>
      </c>
      <c r="C17" s="99">
        <f>J3*I4</f>
        <v>17.465624999999999</v>
      </c>
      <c r="D17" s="18" t="s">
        <v>12</v>
      </c>
      <c r="G17" s="220"/>
      <c r="H17" s="223" t="s">
        <v>92</v>
      </c>
      <c r="I17" s="222" t="s">
        <v>96</v>
      </c>
      <c r="J17" s="12" t="s">
        <v>171</v>
      </c>
    </row>
    <row r="18" spans="2:10" ht="15.75" thickBot="1" x14ac:dyDescent="0.25">
      <c r="B18" s="18" t="s">
        <v>39</v>
      </c>
      <c r="C18" s="99">
        <f>D4*E3</f>
        <v>3.2602500000000001</v>
      </c>
      <c r="D18" s="18" t="s">
        <v>12</v>
      </c>
      <c r="G18" s="35" t="s">
        <v>141</v>
      </c>
      <c r="H18" s="109">
        <v>3</v>
      </c>
      <c r="I18" s="218">
        <f>54*12/16*H18*1.25</f>
        <v>151.875</v>
      </c>
      <c r="J18" s="12" t="str">
        <f>ROUNDUP(((((C10*12*H18/16)*1.25))/82),0)&amp; " Buckets"</f>
        <v>2 Buckets</v>
      </c>
    </row>
    <row r="19" spans="2:10" ht="41.25" x14ac:dyDescent="0.2">
      <c r="B19" s="239" t="s">
        <v>180</v>
      </c>
      <c r="C19" s="99">
        <f>J3*I5</f>
        <v>34.931249999999999</v>
      </c>
      <c r="D19" s="18" t="s">
        <v>12</v>
      </c>
    </row>
    <row r="20" spans="2:10" ht="41.25" x14ac:dyDescent="0.2">
      <c r="B20" s="239" t="s">
        <v>179</v>
      </c>
      <c r="C20" s="99">
        <f>D5*E3</f>
        <v>113.17725</v>
      </c>
      <c r="D20" s="18" t="s">
        <v>12</v>
      </c>
    </row>
  </sheetData>
  <sheetProtection sheet="1" objects="1" scenarios="1" selectLockedCells="1"/>
  <mergeCells count="7">
    <mergeCell ref="G16:J16"/>
    <mergeCell ref="B2:D2"/>
    <mergeCell ref="G2:I2"/>
    <mergeCell ref="E3:E6"/>
    <mergeCell ref="J3:J6"/>
    <mergeCell ref="B8:C8"/>
    <mergeCell ref="G8:H8"/>
  </mergeCells>
  <pageMargins left="0" right="0" top="0" bottom="0" header="0" footer="0"/>
  <pageSetup orientation="landscape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DB34-D13B-430C-9E28-BE8C6EC61F8C}">
  <dimension ref="B1:J27"/>
  <sheetViews>
    <sheetView workbookViewId="0">
      <selection activeCell="C12" sqref="C12"/>
    </sheetView>
  </sheetViews>
  <sheetFormatPr defaultColWidth="9.14453125" defaultRowHeight="15" x14ac:dyDescent="0.2"/>
  <cols>
    <col min="1" max="1" width="9.14453125" style="18"/>
    <col min="2" max="2" width="23.6757812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6" width="9.14453125" style="18"/>
    <col min="7" max="7" width="17.484375" style="18" bestFit="1" customWidth="1"/>
    <col min="8" max="8" width="8.875" style="18" bestFit="1" customWidth="1"/>
    <col min="9" max="9" width="8.203125" style="18" bestFit="1" customWidth="1"/>
    <col min="10" max="10" width="13.1796875" style="18" bestFit="1" customWidth="1"/>
    <col min="11" max="16384" width="9.14453125" style="18"/>
  </cols>
  <sheetData>
    <row r="1" spans="2:10" ht="15.75" thickBot="1" x14ac:dyDescent="0.25"/>
    <row r="2" spans="2:10" ht="15.75" thickBot="1" x14ac:dyDescent="0.25">
      <c r="B2" s="337" t="s">
        <v>188</v>
      </c>
      <c r="C2" s="294"/>
      <c r="D2" s="295"/>
      <c r="E2" s="38" t="s">
        <v>0</v>
      </c>
      <c r="G2" s="284" t="s">
        <v>46</v>
      </c>
      <c r="H2" s="320"/>
      <c r="I2" s="320"/>
      <c r="J2" s="321"/>
    </row>
    <row r="3" spans="2:10" ht="15.75" thickBot="1" x14ac:dyDescent="0.25">
      <c r="B3" s="38"/>
      <c r="C3" s="38" t="s">
        <v>92</v>
      </c>
      <c r="D3" s="155" t="s">
        <v>132</v>
      </c>
      <c r="E3" s="296">
        <f>ROUNDUP(C14/D8,1)</f>
        <v>1</v>
      </c>
      <c r="G3" s="220"/>
      <c r="H3" s="221" t="s">
        <v>92</v>
      </c>
      <c r="I3" s="222" t="s">
        <v>96</v>
      </c>
      <c r="J3" s="217" t="s">
        <v>171</v>
      </c>
    </row>
    <row r="4" spans="2:10" ht="15.75" thickBot="1" x14ac:dyDescent="0.25">
      <c r="B4" s="253" t="s">
        <v>189</v>
      </c>
      <c r="C4" s="194">
        <v>0.7</v>
      </c>
      <c r="D4" s="120">
        <f>54*12*C4/16*1.15</f>
        <v>32.602499999999992</v>
      </c>
      <c r="E4" s="297"/>
      <c r="G4" s="35" t="s">
        <v>173</v>
      </c>
      <c r="H4" s="109">
        <v>0.75</v>
      </c>
      <c r="I4" s="218">
        <f>48*12/16*H4*1.15</f>
        <v>31.049999999999997</v>
      </c>
      <c r="J4" s="149">
        <f>(C12*12*H4/16*1.25)+5</f>
        <v>42.96875</v>
      </c>
    </row>
    <row r="5" spans="2:10" x14ac:dyDescent="0.2">
      <c r="B5" s="44" t="s">
        <v>114</v>
      </c>
      <c r="C5" s="146">
        <v>0.6</v>
      </c>
      <c r="D5" s="113">
        <f>54*12*C5/16*1.15</f>
        <v>27.945</v>
      </c>
      <c r="E5" s="297"/>
    </row>
    <row r="6" spans="2:10" x14ac:dyDescent="0.2">
      <c r="B6" s="44" t="s">
        <v>44</v>
      </c>
      <c r="C6" s="146"/>
      <c r="D6" s="113">
        <v>5</v>
      </c>
      <c r="E6" s="297"/>
    </row>
    <row r="7" spans="2:10" ht="15.75" thickBot="1" x14ac:dyDescent="0.25">
      <c r="B7" s="51" t="s">
        <v>36</v>
      </c>
      <c r="C7" s="195">
        <v>0.2</v>
      </c>
      <c r="D7" s="114">
        <f>54*12*C7/16*1.15</f>
        <v>9.3149999999999995</v>
      </c>
      <c r="E7" s="297"/>
    </row>
    <row r="8" spans="2:10" ht="15.75" thickBot="1" x14ac:dyDescent="0.25">
      <c r="B8" s="54" t="s">
        <v>17</v>
      </c>
      <c r="C8" s="165">
        <f>SUM(C4:C7)</f>
        <v>1.4999999999999998</v>
      </c>
      <c r="D8" s="165">
        <f>SUM(D4,D5,D7)</f>
        <v>69.862499999999997</v>
      </c>
      <c r="E8" s="298"/>
    </row>
    <row r="10" spans="2:10" x14ac:dyDescent="0.2">
      <c r="B10" s="258" t="s">
        <v>133</v>
      </c>
      <c r="C10" s="258"/>
      <c r="D10" s="94">
        <f>ROUNDDOWN(250/D8,2)</f>
        <v>3.57</v>
      </c>
    </row>
    <row r="12" spans="2:10" x14ac:dyDescent="0.2">
      <c r="B12" s="18" t="s">
        <v>29</v>
      </c>
      <c r="C12" s="64">
        <v>54</v>
      </c>
    </row>
    <row r="14" spans="2:10" x14ac:dyDescent="0.2">
      <c r="B14" s="18" t="s">
        <v>45</v>
      </c>
      <c r="C14" s="99">
        <f>((C12*12*C8/16)*1.15)-C15</f>
        <v>69.862499999999983</v>
      </c>
    </row>
    <row r="15" spans="2:10" x14ac:dyDescent="0.2">
      <c r="B15" s="18" t="s">
        <v>9</v>
      </c>
      <c r="C15" s="64">
        <v>0</v>
      </c>
    </row>
    <row r="16" spans="2:10" x14ac:dyDescent="0.2">
      <c r="B16" s="18" t="s">
        <v>41</v>
      </c>
      <c r="C16" s="99">
        <f>E3*D8</f>
        <v>69.862499999999997</v>
      </c>
    </row>
    <row r="18" spans="2:5" x14ac:dyDescent="0.2">
      <c r="B18" s="18" t="s">
        <v>11</v>
      </c>
    </row>
    <row r="19" spans="2:5" x14ac:dyDescent="0.2">
      <c r="B19" s="216" t="s">
        <v>190</v>
      </c>
      <c r="C19" s="99">
        <f>D4*E3</f>
        <v>32.602499999999992</v>
      </c>
      <c r="D19" s="18" t="s">
        <v>12</v>
      </c>
    </row>
    <row r="20" spans="2:5" x14ac:dyDescent="0.2">
      <c r="B20" s="18" t="s">
        <v>114</v>
      </c>
      <c r="C20" s="99">
        <f>D5*E3</f>
        <v>27.945</v>
      </c>
      <c r="D20" s="18" t="s">
        <v>12</v>
      </c>
    </row>
    <row r="21" spans="2:5" x14ac:dyDescent="0.2">
      <c r="B21" s="18" t="s">
        <v>36</v>
      </c>
      <c r="C21" s="99">
        <f>D7*E3</f>
        <v>9.3149999999999995</v>
      </c>
      <c r="D21" s="18" t="s">
        <v>12</v>
      </c>
    </row>
    <row r="22" spans="2:5" x14ac:dyDescent="0.2">
      <c r="B22" s="18" t="s">
        <v>44</v>
      </c>
      <c r="C22" s="99">
        <f>E3*D6</f>
        <v>5</v>
      </c>
      <c r="D22" s="18" t="s">
        <v>12</v>
      </c>
    </row>
    <row r="24" spans="2:5" x14ac:dyDescent="0.2">
      <c r="B24" s="216" t="s">
        <v>46</v>
      </c>
      <c r="D24" s="216" t="s">
        <v>174</v>
      </c>
    </row>
    <row r="25" spans="2:5" x14ac:dyDescent="0.2">
      <c r="B25" s="18" t="s">
        <v>117</v>
      </c>
      <c r="C25" s="99">
        <f>J4/3.5*6</f>
        <v>73.660714285714278</v>
      </c>
      <c r="D25" s="99">
        <f>C25/6</f>
        <v>12.276785714285714</v>
      </c>
      <c r="E25" s="18" t="s">
        <v>118</v>
      </c>
    </row>
    <row r="27" spans="2:5" x14ac:dyDescent="0.2">
      <c r="B27" s="319" t="s">
        <v>116</v>
      </c>
      <c r="C27" s="319"/>
      <c r="D27" s="319"/>
      <c r="E27" s="319"/>
    </row>
  </sheetData>
  <sheetProtection sheet="1" objects="1" scenarios="1" selectLockedCells="1"/>
  <mergeCells count="5">
    <mergeCell ref="B27:E27"/>
    <mergeCell ref="B2:D2"/>
    <mergeCell ref="E3:E8"/>
    <mergeCell ref="G2:J2"/>
    <mergeCell ref="B10:C10"/>
  </mergeCells>
  <pageMargins left="0" right="0" top="0" bottom="0" header="0" footer="0"/>
  <pageSetup orientation="landscape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E18"/>
  <sheetViews>
    <sheetView workbookViewId="0">
      <selection activeCell="C10" sqref="C10"/>
    </sheetView>
  </sheetViews>
  <sheetFormatPr defaultColWidth="14.390625" defaultRowHeight="15" x14ac:dyDescent="0.2"/>
  <cols>
    <col min="1" max="1" width="9.14453125" style="18" customWidth="1"/>
    <col min="2" max="2" width="27.71093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299" t="s">
        <v>88</v>
      </c>
      <c r="C2" s="300"/>
      <c r="D2" s="301"/>
      <c r="E2" s="38" t="s">
        <v>0</v>
      </c>
    </row>
    <row r="3" spans="2:5" ht="15.75" thickBot="1" x14ac:dyDescent="0.25">
      <c r="B3" s="21"/>
      <c r="C3" s="77" t="s">
        <v>92</v>
      </c>
      <c r="D3" s="234" t="s">
        <v>132</v>
      </c>
      <c r="E3" s="274">
        <f>ROUNDUP(C12/D6,1)</f>
        <v>1</v>
      </c>
    </row>
    <row r="4" spans="2:5" ht="41.25" x14ac:dyDescent="0.2">
      <c r="B4" s="230" t="s">
        <v>191</v>
      </c>
      <c r="C4" s="112">
        <v>0.7</v>
      </c>
      <c r="D4" s="112">
        <f>48*12*C4/16*1.15</f>
        <v>28.979999999999997</v>
      </c>
      <c r="E4" s="297"/>
    </row>
    <row r="5" spans="2:5" ht="15.75" thickBot="1" x14ac:dyDescent="0.25">
      <c r="B5" s="26" t="s">
        <v>32</v>
      </c>
      <c r="C5" s="250">
        <v>0.15</v>
      </c>
      <c r="D5" s="250">
        <f>48*12*C5/16*1.15</f>
        <v>6.2099999999999991</v>
      </c>
      <c r="E5" s="297"/>
    </row>
    <row r="6" spans="2:5" ht="15.75" thickBot="1" x14ac:dyDescent="0.25">
      <c r="B6" s="28" t="s">
        <v>17</v>
      </c>
      <c r="C6" s="254">
        <f>SUM(C4:C5)</f>
        <v>0.85</v>
      </c>
      <c r="D6" s="232">
        <f>SUM(D4:D5)</f>
        <v>35.19</v>
      </c>
      <c r="E6" s="276"/>
    </row>
    <row r="8" spans="2:5" x14ac:dyDescent="0.2">
      <c r="B8" s="258" t="s">
        <v>133</v>
      </c>
      <c r="C8" s="258"/>
      <c r="D8" s="94">
        <f>ROUNDDOWN(250/D6,2)</f>
        <v>7.1</v>
      </c>
    </row>
    <row r="10" spans="2:5" x14ac:dyDescent="0.2">
      <c r="B10" s="18" t="s">
        <v>29</v>
      </c>
      <c r="C10" s="64">
        <v>48</v>
      </c>
    </row>
    <row r="12" spans="2:5" x14ac:dyDescent="0.2">
      <c r="B12" s="18" t="s">
        <v>8</v>
      </c>
      <c r="C12" s="99">
        <f>((C10*12*C6/16)*1.15)-C13</f>
        <v>35.19</v>
      </c>
    </row>
    <row r="13" spans="2:5" x14ac:dyDescent="0.2">
      <c r="B13" s="18" t="s">
        <v>9</v>
      </c>
      <c r="C13" s="64">
        <v>0</v>
      </c>
    </row>
    <row r="14" spans="2:5" x14ac:dyDescent="0.2">
      <c r="B14" s="18" t="s">
        <v>10</v>
      </c>
      <c r="C14" s="99">
        <f>D6*E3</f>
        <v>35.19</v>
      </c>
    </row>
    <row r="16" spans="2:5" x14ac:dyDescent="0.2">
      <c r="B16" s="18" t="s">
        <v>11</v>
      </c>
    </row>
    <row r="17" spans="2:4" ht="41.25" x14ac:dyDescent="0.2">
      <c r="B17" s="239" t="s">
        <v>191</v>
      </c>
      <c r="C17" s="99">
        <f>E3*D4</f>
        <v>28.979999999999997</v>
      </c>
      <c r="D17" s="18" t="s">
        <v>12</v>
      </c>
    </row>
    <row r="18" spans="2:4" x14ac:dyDescent="0.2">
      <c r="B18" s="18" t="s">
        <v>32</v>
      </c>
      <c r="C18" s="99">
        <f>E3*D5</f>
        <v>6.2099999999999991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1:E29"/>
  <sheetViews>
    <sheetView workbookViewId="0">
      <selection activeCell="C15" sqref="C15"/>
    </sheetView>
  </sheetViews>
  <sheetFormatPr defaultColWidth="14.390625" defaultRowHeight="15" x14ac:dyDescent="0.2"/>
  <cols>
    <col min="1" max="1" width="9.14453125" style="18" customWidth="1"/>
    <col min="2" max="2" width="29.0546875" style="18" bestFit="1" customWidth="1"/>
    <col min="3" max="3" width="8.875" style="18" bestFit="1" customWidth="1"/>
    <col min="4" max="4" width="9.28125" style="18" bestFit="1" customWidth="1"/>
    <col min="5" max="5" width="10.76171875" style="18" bestFit="1" customWidth="1"/>
    <col min="6" max="27" width="9.14453125" style="18" customWidth="1"/>
    <col min="28" max="16384" width="14.390625" style="18"/>
  </cols>
  <sheetData>
    <row r="1" spans="2:5" ht="15.75" thickBot="1" x14ac:dyDescent="0.25"/>
    <row r="2" spans="2:5" ht="15.75" thickBot="1" x14ac:dyDescent="0.25">
      <c r="B2" s="299" t="s">
        <v>89</v>
      </c>
      <c r="C2" s="300"/>
      <c r="D2" s="300"/>
      <c r="E2" s="38" t="s">
        <v>0</v>
      </c>
    </row>
    <row r="3" spans="2:5" ht="15.75" thickBot="1" x14ac:dyDescent="0.25">
      <c r="B3" s="21"/>
      <c r="C3" s="77" t="s">
        <v>92</v>
      </c>
      <c r="D3" s="255" t="s">
        <v>132</v>
      </c>
      <c r="E3" s="316">
        <f>ROUNDUP(C17/D11,1)</f>
        <v>1</v>
      </c>
    </row>
    <row r="4" spans="2:5" x14ac:dyDescent="0.2">
      <c r="B4" s="24" t="s">
        <v>21</v>
      </c>
      <c r="C4" s="145">
        <v>0.35</v>
      </c>
      <c r="D4" s="96">
        <f>48*16*C4/16*1.15</f>
        <v>19.319999999999997</v>
      </c>
      <c r="E4" s="317"/>
    </row>
    <row r="5" spans="2:5" x14ac:dyDescent="0.2">
      <c r="B5" s="44" t="s">
        <v>14</v>
      </c>
      <c r="C5" s="146"/>
      <c r="D5" s="235">
        <v>10</v>
      </c>
      <c r="E5" s="317"/>
    </row>
    <row r="6" spans="2:5" x14ac:dyDescent="0.2">
      <c r="B6" s="44" t="s">
        <v>22</v>
      </c>
      <c r="C6" s="146">
        <v>0.35</v>
      </c>
      <c r="D6" s="235">
        <f>48*16*C6/16*1.15</f>
        <v>19.319999999999997</v>
      </c>
      <c r="E6" s="317"/>
    </row>
    <row r="7" spans="2:5" x14ac:dyDescent="0.2">
      <c r="B7" s="44" t="s">
        <v>5</v>
      </c>
      <c r="C7" s="146"/>
      <c r="D7" s="235">
        <v>10</v>
      </c>
      <c r="E7" s="317"/>
    </row>
    <row r="8" spans="2:5" x14ac:dyDescent="0.2">
      <c r="B8" s="44" t="s">
        <v>23</v>
      </c>
      <c r="C8" s="146">
        <v>0.35</v>
      </c>
      <c r="D8" s="235">
        <f>48*16*C8/16*1.15</f>
        <v>19.319999999999997</v>
      </c>
      <c r="E8" s="317"/>
    </row>
    <row r="9" spans="2:5" x14ac:dyDescent="0.2">
      <c r="B9" s="44" t="s">
        <v>24</v>
      </c>
      <c r="C9" s="146">
        <v>0.35</v>
      </c>
      <c r="D9" s="235">
        <f>48*16*C9/16*1.15</f>
        <v>19.319999999999997</v>
      </c>
      <c r="E9" s="317"/>
    </row>
    <row r="10" spans="2:5" ht="15.75" thickBot="1" x14ac:dyDescent="0.25">
      <c r="B10" s="52" t="s">
        <v>90</v>
      </c>
      <c r="C10" s="195">
        <v>0.5</v>
      </c>
      <c r="D10" s="97">
        <f>48*16*C10/16*1.15</f>
        <v>27.599999999999998</v>
      </c>
      <c r="E10" s="317"/>
    </row>
    <row r="11" spans="2:5" ht="15.75" thickBot="1" x14ac:dyDescent="0.25">
      <c r="B11" s="54" t="s">
        <v>17</v>
      </c>
      <c r="C11" s="165">
        <f>SUM(C4:C10)</f>
        <v>1.9</v>
      </c>
      <c r="D11" s="171">
        <f>SUM(D4,D6,D8,D9,D10)</f>
        <v>104.87999999999998</v>
      </c>
      <c r="E11" s="318"/>
    </row>
    <row r="13" spans="2:5" x14ac:dyDescent="0.2">
      <c r="B13" s="258" t="s">
        <v>133</v>
      </c>
      <c r="C13" s="258"/>
      <c r="D13" s="94">
        <f>ROUNDDOWN(250/D11,2)</f>
        <v>2.38</v>
      </c>
    </row>
    <row r="15" spans="2:5" x14ac:dyDescent="0.2">
      <c r="B15" s="18" t="s">
        <v>29</v>
      </c>
      <c r="C15" s="64">
        <v>48</v>
      </c>
    </row>
    <row r="17" spans="2:4" x14ac:dyDescent="0.2">
      <c r="B17" s="18" t="s">
        <v>8</v>
      </c>
      <c r="C17" s="99">
        <f>((C15*16*C11/16)*1.15)-C18</f>
        <v>104.87999999999998</v>
      </c>
    </row>
    <row r="18" spans="2:4" x14ac:dyDescent="0.2">
      <c r="B18" s="18" t="s">
        <v>9</v>
      </c>
      <c r="C18" s="64">
        <v>0</v>
      </c>
    </row>
    <row r="19" spans="2:4" x14ac:dyDescent="0.2">
      <c r="B19" s="18" t="s">
        <v>10</v>
      </c>
      <c r="C19" s="99">
        <f>D11*E3</f>
        <v>104.87999999999998</v>
      </c>
    </row>
    <row r="22" spans="2:4" x14ac:dyDescent="0.2">
      <c r="B22" s="18" t="s">
        <v>11</v>
      </c>
    </row>
    <row r="23" spans="2:4" x14ac:dyDescent="0.2">
      <c r="B23" s="18" t="s">
        <v>21</v>
      </c>
      <c r="C23" s="99">
        <f>E3*D4</f>
        <v>19.319999999999997</v>
      </c>
      <c r="D23" s="18" t="s">
        <v>12</v>
      </c>
    </row>
    <row r="24" spans="2:4" x14ac:dyDescent="0.2">
      <c r="B24" s="18" t="s">
        <v>22</v>
      </c>
      <c r="C24" s="99">
        <f>E3*D6</f>
        <v>19.319999999999997</v>
      </c>
      <c r="D24" s="18" t="s">
        <v>12</v>
      </c>
    </row>
    <row r="25" spans="2:4" x14ac:dyDescent="0.2">
      <c r="B25" s="18" t="s">
        <v>23</v>
      </c>
      <c r="C25" s="99">
        <f>E3*D8</f>
        <v>19.319999999999997</v>
      </c>
      <c r="D25" s="18" t="s">
        <v>12</v>
      </c>
    </row>
    <row r="26" spans="2:4" x14ac:dyDescent="0.2">
      <c r="B26" s="18" t="s">
        <v>24</v>
      </c>
      <c r="C26" s="99">
        <f>E3*D9</f>
        <v>19.319999999999997</v>
      </c>
      <c r="D26" s="18" t="s">
        <v>12</v>
      </c>
    </row>
    <row r="27" spans="2:4" x14ac:dyDescent="0.2">
      <c r="B27" s="18" t="s">
        <v>90</v>
      </c>
      <c r="C27" s="99">
        <f>E3*D10</f>
        <v>27.599999999999998</v>
      </c>
      <c r="D27" s="18" t="s">
        <v>12</v>
      </c>
    </row>
    <row r="28" spans="2:4" x14ac:dyDescent="0.2">
      <c r="B28" s="18" t="s">
        <v>13</v>
      </c>
      <c r="C28" s="99">
        <f>D7*E3</f>
        <v>10</v>
      </c>
      <c r="D28" s="18" t="s">
        <v>12</v>
      </c>
    </row>
    <row r="29" spans="2:4" x14ac:dyDescent="0.2">
      <c r="B29" s="18" t="s">
        <v>14</v>
      </c>
      <c r="C29" s="99">
        <f>D5*E3</f>
        <v>10</v>
      </c>
      <c r="D29" s="18" t="s">
        <v>12</v>
      </c>
    </row>
  </sheetData>
  <sheetProtection sheet="1" objects="1" scenarios="1" selectLockedCells="1"/>
  <mergeCells count="3">
    <mergeCell ref="B2:D2"/>
    <mergeCell ref="B13:C13"/>
    <mergeCell ref="E3:E11"/>
  </mergeCells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Bobos Deluxe</vt:lpstr>
      <vt:lpstr>Bobos Breakfast</vt:lpstr>
      <vt:lpstr>Basha 11' Hawaiian</vt:lpstr>
      <vt:lpstr>Basha 12' Supreme</vt:lpstr>
      <vt:lpstr>Corner Booth Chicken Alfredo </vt:lpstr>
      <vt:lpstr>Corner Booth Giardiniera</vt:lpstr>
      <vt:lpstr>Corner Booth House</vt:lpstr>
      <vt:lpstr>Corner Booth Pep &amp; Jal</vt:lpstr>
      <vt:lpstr>Corner Booth Spinach</vt:lpstr>
      <vt:lpstr>Corner Booth Supreme</vt:lpstr>
      <vt:lpstr>Hannaford Tikka Masala Mix</vt:lpstr>
      <vt:lpstr>Hannaford Spinach Goat Cheese</vt:lpstr>
      <vt:lpstr>Hannaford Club</vt:lpstr>
      <vt:lpstr>Hannaford 4Meat</vt:lpstr>
      <vt:lpstr>Lowes 7in Red Fajita</vt:lpstr>
      <vt:lpstr>Lowes 7in White Spin</vt:lpstr>
      <vt:lpstr>Lowes Bacon Cheeseburger</vt:lpstr>
      <vt:lpstr>Lowes California</vt:lpstr>
      <vt:lpstr>Lowes Carribbean</vt:lpstr>
      <vt:lpstr>Lowes Chicken Club</vt:lpstr>
      <vt:lpstr>Lowes Grilled Vegetable</vt:lpstr>
      <vt:lpstr>Lowes Red Hot</vt:lpstr>
      <vt:lpstr>Lowes Supreme</vt:lpstr>
      <vt:lpstr>Lowes Spinach</vt:lpstr>
      <vt:lpstr>Lowes 11in White Spinach</vt:lpstr>
      <vt:lpstr>Lucias Morming Melts Americano</vt:lpstr>
      <vt:lpstr>Lucias Morming Mealts Italiano</vt:lpstr>
      <vt:lpstr>Lucias Morming Melts Mexicano</vt:lpstr>
      <vt:lpstr>Lucias Morming Melts Parisian</vt:lpstr>
      <vt:lpstr>Lucias Craft Alfredo Spinach</vt:lpstr>
      <vt:lpstr>Lucias Craft Bacon Cheeseburger</vt:lpstr>
      <vt:lpstr>Lucias Craft Bratwurst</vt:lpstr>
      <vt:lpstr>Lucias Craft Carribbean Mix</vt:lpstr>
      <vt:lpstr>Lucias Craft Chicken Club</vt:lpstr>
      <vt:lpstr>Lucias Craft Red Hot</vt:lpstr>
      <vt:lpstr>Lucias Craft SOB</vt:lpstr>
      <vt:lpstr>Lucias Craft Tikka Masala</vt:lpstr>
      <vt:lpstr>Lucias Buffalo Chicken</vt:lpstr>
      <vt:lpstr>Lucias Supreme</vt:lpstr>
      <vt:lpstr>Lucias Pinsa Tikka Masala</vt:lpstr>
      <vt:lpstr>Lucias Pinsa Margherita</vt:lpstr>
      <vt:lpstr>Lucias Pinsa Spinach</vt:lpstr>
      <vt:lpstr>Nob Hill SOB</vt:lpstr>
      <vt:lpstr>Nob Hill Bacon Cheeseburger</vt:lpstr>
      <vt:lpstr>Nob Hill Club</vt:lpstr>
      <vt:lpstr>Nob Hill Red Hot</vt:lpstr>
      <vt:lpstr>Nob Hill Caribbean</vt:lpstr>
      <vt:lpstr>Price Chopper Club</vt:lpstr>
      <vt:lpstr>SMD Supreme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Berg</dc:creator>
  <cp:lastModifiedBy>Donald Berg</cp:lastModifiedBy>
  <cp:lastPrinted>2026-06-09T12:16:00Z</cp:lastPrinted>
  <dcterms:created xsi:type="dcterms:W3CDTF">2025-12-02T13:39:13Z</dcterms:created>
  <dcterms:modified xsi:type="dcterms:W3CDTF">2026-06-09T12:21:54Z</dcterms:modified>
</cp:coreProperties>
</file>