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2076E447-FA3E-45FD-805C-049D46BEF8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Z" sheetId="3" r:id="rId1"/>
    <sheet name="L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11" i="2"/>
  <c r="C10" i="2"/>
  <c r="C27" i="2" l="1"/>
  <c r="C26" i="2"/>
  <c r="C22" i="2"/>
  <c r="C21" i="2"/>
  <c r="C20" i="2"/>
  <c r="C19" i="2"/>
  <c r="C18" i="2"/>
  <c r="C13" i="2"/>
  <c r="C12" i="2"/>
  <c r="C9" i="2"/>
  <c r="C8" i="2"/>
</calcChain>
</file>

<file path=xl/sharedStrings.xml><?xml version="1.0" encoding="utf-8"?>
<sst xmlns="http://schemas.openxmlformats.org/spreadsheetml/2006/main" count="52" uniqueCount="30">
  <si>
    <t>CHEESE</t>
  </si>
  <si>
    <t>PEPPERONI</t>
  </si>
  <si>
    <t>Whole Milk Mozz</t>
  </si>
  <si>
    <t>TARGET WEIGHT</t>
  </si>
  <si>
    <t>WEIGHT SPEC RANGE</t>
  </si>
  <si>
    <t>OZ</t>
  </si>
  <si>
    <t>1.39 - 1.42</t>
  </si>
  <si>
    <t>Parbake crust (PriceSmart Recipe)</t>
  </si>
  <si>
    <t>PriceSmart Sauce</t>
  </si>
  <si>
    <r>
      <t>Pepperoni Stick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(Burke </t>
    </r>
    <r>
      <rPr>
        <sz val="11"/>
        <color rgb="FFFF0000"/>
        <rFont val="Calibri"/>
        <family val="2"/>
        <scheme val="minor"/>
      </rPr>
      <t>#1560</t>
    </r>
    <r>
      <rPr>
        <sz val="11"/>
        <color theme="1"/>
        <rFont val="Calibri"/>
        <family val="2"/>
        <scheme val="minor"/>
      </rPr>
      <t>)</t>
    </r>
  </si>
  <si>
    <t>21.25 - 21.75</t>
  </si>
  <si>
    <t>18 @ 1.50</t>
  </si>
  <si>
    <t>22.25 - 22.75</t>
  </si>
  <si>
    <t>18 @ 0.094</t>
  </si>
  <si>
    <t>1.33 - 1.36</t>
  </si>
  <si>
    <t xml:space="preserve">Member's Selection (PriceSmart)                                Artisan Crust Pizzas </t>
  </si>
  <si>
    <r>
      <rPr>
        <b/>
        <sz val="12"/>
        <rFont val="Arial"/>
        <family val="2"/>
      </rPr>
      <t>Yellow</t>
    </r>
    <r>
      <rPr>
        <sz val="12"/>
        <rFont val="Arial"/>
        <family val="2"/>
      </rPr>
      <t xml:space="preserve"> Cheddar</t>
    </r>
  </si>
  <si>
    <t>LB</t>
  </si>
  <si>
    <t>6/4/18 Revision 2</t>
  </si>
  <si>
    <t>Member's Selection (PriceSmart)                           Color Cheese Mix Total</t>
  </si>
  <si>
    <t>Member's Selection (PriceSmart)                           Color Cheese Mix Applicator One Total</t>
  </si>
  <si>
    <t>Member's Selection (PriceSmart)                           Color Cheese Mix Applicator Two Total</t>
  </si>
  <si>
    <t>Parbake crust (PriceSmart Recipe - 11" Dies)</t>
  </si>
  <si>
    <t>Sauce (PriceSmart Recipe)</t>
  </si>
  <si>
    <t>Pepperoni Stick (Cremosa)</t>
  </si>
  <si>
    <t>**NOTE: No Cellulose to be added to PriceSmart Cheese; use all blades in cheese shredder**</t>
  </si>
  <si>
    <r>
      <rPr>
        <b/>
        <sz val="12"/>
        <rFont val="Arial"/>
        <family val="2"/>
      </rPr>
      <t xml:space="preserve">Applicator One PriceSmart Color Cheese Mix </t>
    </r>
    <r>
      <rPr>
        <sz val="12"/>
        <rFont val="Arial"/>
        <family val="2"/>
      </rPr>
      <t xml:space="preserve">
(1.2 Whole Milk Mozzarella, 0.8 Yellow Cheddar)
</t>
    </r>
    <r>
      <rPr>
        <b/>
        <sz val="12"/>
        <color rgb="FFFF0000"/>
        <rFont val="Arial"/>
        <family val="2"/>
      </rPr>
      <t xml:space="preserve">NO CELLULOSE! </t>
    </r>
    <r>
      <rPr>
        <sz val="12"/>
        <rFont val="Arial"/>
        <family val="2"/>
      </rPr>
      <t xml:space="preserve">                          </t>
    </r>
  </si>
  <si>
    <r>
      <rPr>
        <b/>
        <sz val="12"/>
        <rFont val="Arial"/>
        <family val="2"/>
      </rPr>
      <t xml:space="preserve">Applicator Two PriceSmart Color Cheese Mix </t>
    </r>
    <r>
      <rPr>
        <sz val="12"/>
        <rFont val="Arial"/>
        <family val="2"/>
      </rPr>
      <t xml:space="preserve">
(1.8 Whole Milk Mozzarella, 1.2 Yellow Cheddar)     
</t>
    </r>
    <r>
      <rPr>
        <b/>
        <sz val="12"/>
        <color rgb="FFFF0000"/>
        <rFont val="Arial"/>
        <family val="2"/>
      </rPr>
      <t xml:space="preserve">NO CELLULOSE! </t>
    </r>
    <r>
      <rPr>
        <b/>
        <sz val="12"/>
        <rFont val="Arial"/>
        <family val="2"/>
      </rPr>
      <t xml:space="preserve">   </t>
    </r>
    <r>
      <rPr>
        <sz val="12"/>
        <rFont val="Arial"/>
        <family val="2"/>
      </rPr>
      <t xml:space="preserve">                </t>
    </r>
  </si>
  <si>
    <r>
      <rPr>
        <b/>
        <sz val="12"/>
        <rFont val="Arial"/>
        <family val="2"/>
      </rPr>
      <t>Applicator One PriceSmart Color Cheese Mix</t>
    </r>
    <r>
      <rPr>
        <sz val="12"/>
        <rFont val="Arial"/>
        <family val="2"/>
      </rPr>
      <t xml:space="preserve"> 
1.5 Whole Milk Mozzarella, 1.0 Yellow Cheddar
</t>
    </r>
    <r>
      <rPr>
        <b/>
        <sz val="12"/>
        <color rgb="FFFF0000"/>
        <rFont val="Arial"/>
        <family val="2"/>
      </rPr>
      <t>NO CELLULOSE!</t>
    </r>
  </si>
  <si>
    <t>05/03/24 Revision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</si>
</sst>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5" fillId="0" borderId="1" xfId="1" applyFont="1" applyBorder="1"/>
    <xf numFmtId="0" fontId="4" fillId="3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64" fontId="5" fillId="0" borderId="3" xfId="1" applyNumberFormat="1" applyFont="1" applyBorder="1" applyAlignment="1">
      <alignment horizontal="left"/>
    </xf>
    <xf numFmtId="0" fontId="2" fillId="4" borderId="1" xfId="1" applyFont="1" applyFill="1" applyBorder="1" applyAlignment="1">
      <alignment horizontal="right" wrapText="1"/>
    </xf>
    <xf numFmtId="164" fontId="0" fillId="0" borderId="0" xfId="0" applyNumberFormat="1"/>
    <xf numFmtId="164" fontId="4" fillId="0" borderId="2" xfId="1" applyNumberFormat="1" applyFont="1" applyBorder="1" applyAlignment="1">
      <alignment horizontal="center"/>
    </xf>
    <xf numFmtId="164" fontId="4" fillId="4" borderId="3" xfId="1" applyNumberFormat="1" applyFont="1" applyFill="1" applyBorder="1" applyAlignment="1">
      <alignment horizontal="right"/>
    </xf>
    <xf numFmtId="164" fontId="4" fillId="3" borderId="3" xfId="1" applyNumberFormat="1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164" fontId="4" fillId="3" borderId="5" xfId="1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164" fontId="2" fillId="0" borderId="3" xfId="1" applyNumberFormat="1" applyFont="1" applyBorder="1" applyAlignment="1">
      <alignment horizontal="left"/>
    </xf>
    <xf numFmtId="2" fontId="2" fillId="2" borderId="4" xfId="1" applyNumberFormat="1" applyFont="1" applyFill="1" applyBorder="1" applyAlignment="1">
      <alignment horizontal="left"/>
    </xf>
    <xf numFmtId="0" fontId="6" fillId="0" borderId="0" xfId="0" applyFont="1"/>
    <xf numFmtId="0" fontId="2" fillId="0" borderId="2" xfId="1" applyFont="1" applyBorder="1" applyAlignment="1">
      <alignment horizontal="center"/>
    </xf>
    <xf numFmtId="0" fontId="2" fillId="0" borderId="1" xfId="1" applyFont="1" applyBorder="1"/>
    <xf numFmtId="3" fontId="2" fillId="0" borderId="3" xfId="1" applyNumberFormat="1" applyFont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2" fontId="2" fillId="3" borderId="3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2" fontId="2" fillId="3" borderId="5" xfId="1" applyNumberFormat="1" applyFont="1" applyFill="1" applyBorder="1" applyAlignment="1">
      <alignment horizontal="left"/>
    </xf>
    <xf numFmtId="0" fontId="6" fillId="5" borderId="0" xfId="0" applyFont="1" applyFill="1"/>
    <xf numFmtId="0" fontId="2" fillId="5" borderId="0" xfId="1" applyFont="1" applyFill="1" applyAlignment="1">
      <alignment horizontal="left"/>
    </xf>
    <xf numFmtId="2" fontId="2" fillId="5" borderId="0" xfId="1" applyNumberFormat="1" applyFont="1" applyFill="1" applyAlignment="1">
      <alignment horizontal="left"/>
    </xf>
    <xf numFmtId="0" fontId="5" fillId="5" borderId="1" xfId="1" applyFont="1" applyFill="1" applyBorder="1"/>
    <xf numFmtId="2" fontId="5" fillId="5" borderId="3" xfId="1" applyNumberFormat="1" applyFont="1" applyFill="1" applyBorder="1" applyAlignment="1">
      <alignment horizontal="left"/>
    </xf>
    <xf numFmtId="0" fontId="5" fillId="5" borderId="1" xfId="1" applyFont="1" applyFill="1" applyBorder="1" applyAlignment="1">
      <alignment horizontal="left" wrapText="1"/>
    </xf>
    <xf numFmtId="0" fontId="5" fillId="5" borderId="1" xfId="1" applyFont="1" applyFill="1" applyBorder="1" applyAlignment="1">
      <alignment horizontal="left"/>
    </xf>
    <xf numFmtId="164" fontId="5" fillId="5" borderId="3" xfId="1" applyNumberFormat="1" applyFont="1" applyFill="1" applyBorder="1" applyAlignment="1">
      <alignment horizontal="left"/>
    </xf>
    <xf numFmtId="0" fontId="8" fillId="0" borderId="0" xfId="0" applyFont="1" applyAlignment="1">
      <alignment horizontal="center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FF"/>
      <color rgb="FFCC99FF"/>
      <color rgb="FFFF99FF"/>
      <color rgb="FF00FF00"/>
      <color rgb="FF66FFFF"/>
      <color rgb="FF00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27"/>
  <sheetViews>
    <sheetView tabSelected="1" workbookViewId="0">
      <selection activeCell="F15" sqref="F15"/>
    </sheetView>
  </sheetViews>
  <sheetFormatPr defaultRowHeight="15" x14ac:dyDescent="0.25"/>
  <cols>
    <col min="1" max="1" width="9.140625" style="15"/>
    <col min="2" max="2" width="51.85546875" style="15" customWidth="1"/>
    <col min="3" max="3" width="26.140625" style="15" bestFit="1" customWidth="1"/>
    <col min="4" max="16384" width="9.140625" style="15"/>
  </cols>
  <sheetData>
    <row r="3" spans="2:3" x14ac:dyDescent="0.25">
      <c r="B3" s="31" t="s">
        <v>25</v>
      </c>
      <c r="C3" s="31"/>
    </row>
    <row r="4" spans="2:3" ht="24.75" customHeight="1" x14ac:dyDescent="0.25">
      <c r="B4" s="31"/>
      <c r="C4" s="31"/>
    </row>
    <row r="5" spans="2:3" ht="15.75" thickBot="1" x14ac:dyDescent="0.3"/>
    <row r="6" spans="2:3" ht="31.5" x14ac:dyDescent="0.25">
      <c r="B6" s="12" t="s">
        <v>15</v>
      </c>
      <c r="C6" s="16" t="s">
        <v>0</v>
      </c>
    </row>
    <row r="7" spans="2:3" ht="15.75" x14ac:dyDescent="0.25">
      <c r="B7" s="17"/>
      <c r="C7" s="18" t="s">
        <v>5</v>
      </c>
    </row>
    <row r="8" spans="2:3" ht="15.75" x14ac:dyDescent="0.25">
      <c r="B8" s="26" t="s">
        <v>22</v>
      </c>
      <c r="C8" s="27">
        <v>11</v>
      </c>
    </row>
    <row r="9" spans="2:3" ht="15.75" x14ac:dyDescent="0.25">
      <c r="B9" s="26" t="s">
        <v>23</v>
      </c>
      <c r="C9" s="27">
        <v>5</v>
      </c>
    </row>
    <row r="10" spans="2:3" ht="46.5" x14ac:dyDescent="0.25">
      <c r="B10" s="28" t="s">
        <v>28</v>
      </c>
      <c r="C10" s="27">
        <v>2.5</v>
      </c>
    </row>
    <row r="11" spans="2:3" ht="46.5" x14ac:dyDescent="0.25">
      <c r="B11" s="28" t="s">
        <v>27</v>
      </c>
      <c r="C11" s="27">
        <v>3</v>
      </c>
    </row>
    <row r="12" spans="2:3" ht="15.75" x14ac:dyDescent="0.25">
      <c r="B12" s="19" t="s">
        <v>3</v>
      </c>
      <c r="C12" s="20">
        <v>21.5</v>
      </c>
    </row>
    <row r="13" spans="2:3" ht="16.5" thickBot="1" x14ac:dyDescent="0.3">
      <c r="B13" s="21" t="s">
        <v>4</v>
      </c>
      <c r="C13" s="14" t="s">
        <v>10</v>
      </c>
    </row>
    <row r="14" spans="2:3" ht="15.75" thickBot="1" x14ac:dyDescent="0.3"/>
    <row r="15" spans="2:3" ht="31.5" x14ac:dyDescent="0.25">
      <c r="B15" s="12" t="s">
        <v>15</v>
      </c>
      <c r="C15" s="16" t="s">
        <v>1</v>
      </c>
    </row>
    <row r="16" spans="2:3" ht="15.75" x14ac:dyDescent="0.25">
      <c r="B16" s="17"/>
      <c r="C16" s="18" t="s">
        <v>5</v>
      </c>
    </row>
    <row r="17" spans="2:3" ht="15.75" x14ac:dyDescent="0.25">
      <c r="B17" s="26" t="s">
        <v>22</v>
      </c>
      <c r="C17" s="27">
        <v>11</v>
      </c>
    </row>
    <row r="18" spans="2:3" ht="15.75" x14ac:dyDescent="0.25">
      <c r="B18" s="26" t="s">
        <v>23</v>
      </c>
      <c r="C18" s="27">
        <v>5</v>
      </c>
    </row>
    <row r="19" spans="2:3" ht="46.5" x14ac:dyDescent="0.25">
      <c r="B19" s="28" t="s">
        <v>26</v>
      </c>
      <c r="C19" s="27">
        <v>2</v>
      </c>
    </row>
    <row r="20" spans="2:3" ht="15.75" x14ac:dyDescent="0.25">
      <c r="B20" s="29" t="s">
        <v>24</v>
      </c>
      <c r="C20" s="30" t="s">
        <v>11</v>
      </c>
    </row>
    <row r="21" spans="2:3" ht="46.5" x14ac:dyDescent="0.25">
      <c r="B21" s="28" t="s">
        <v>27</v>
      </c>
      <c r="C21" s="27">
        <v>3</v>
      </c>
    </row>
    <row r="22" spans="2:3" ht="15.75" x14ac:dyDescent="0.25">
      <c r="B22" s="19" t="s">
        <v>3</v>
      </c>
      <c r="C22" s="22">
        <v>22.5</v>
      </c>
    </row>
    <row r="23" spans="2:3" ht="16.5" thickBot="1" x14ac:dyDescent="0.3">
      <c r="B23" s="21" t="s">
        <v>4</v>
      </c>
      <c r="C23" s="14" t="s">
        <v>12</v>
      </c>
    </row>
    <row r="24" spans="2:3" s="23" customFormat="1" ht="15.75" x14ac:dyDescent="0.25">
      <c r="B24" s="24"/>
      <c r="C24" s="25"/>
    </row>
    <row r="27" spans="2:3" x14ac:dyDescent="0.25">
      <c r="B27" s="15" t="s">
        <v>29</v>
      </c>
    </row>
  </sheetData>
  <mergeCells count="1">
    <mergeCell ref="B3:C4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C30"/>
  <sheetViews>
    <sheetView workbookViewId="0">
      <selection activeCell="G19" sqref="G19"/>
    </sheetView>
  </sheetViews>
  <sheetFormatPr defaultRowHeight="15" x14ac:dyDescent="0.25"/>
  <cols>
    <col min="2" max="2" width="50.42578125" customWidth="1"/>
    <col min="3" max="3" width="26.140625" style="6" bestFit="1" customWidth="1"/>
  </cols>
  <sheetData>
    <row r="5" spans="2:3" ht="15.75" thickBot="1" x14ac:dyDescent="0.3"/>
    <row r="6" spans="2:3" ht="31.5" x14ac:dyDescent="0.25">
      <c r="B6" s="12" t="s">
        <v>15</v>
      </c>
      <c r="C6" s="7" t="s">
        <v>0</v>
      </c>
    </row>
    <row r="7" spans="2:3" ht="15.75" x14ac:dyDescent="0.25">
      <c r="B7" s="1"/>
      <c r="C7" s="13" t="s">
        <v>17</v>
      </c>
    </row>
    <row r="8" spans="2:3" ht="15.75" x14ac:dyDescent="0.25">
      <c r="B8" s="1" t="s">
        <v>7</v>
      </c>
      <c r="C8" s="4">
        <f>11/16</f>
        <v>0.6875</v>
      </c>
    </row>
    <row r="9" spans="2:3" ht="15.75" x14ac:dyDescent="0.25">
      <c r="B9" s="1" t="s">
        <v>8</v>
      </c>
      <c r="C9" s="4">
        <f>5/16</f>
        <v>0.3125</v>
      </c>
    </row>
    <row r="10" spans="2:3" ht="15.75" x14ac:dyDescent="0.25">
      <c r="B10" s="1" t="s">
        <v>2</v>
      </c>
      <c r="C10" s="4">
        <f>3.25/16</f>
        <v>0.203125</v>
      </c>
    </row>
    <row r="11" spans="2:3" ht="15.75" x14ac:dyDescent="0.25">
      <c r="B11" s="1" t="s">
        <v>16</v>
      </c>
      <c r="C11" s="4">
        <f>2.25/16</f>
        <v>0.140625</v>
      </c>
    </row>
    <row r="12" spans="2:3" ht="31.5" x14ac:dyDescent="0.25">
      <c r="B12" s="5" t="s">
        <v>19</v>
      </c>
      <c r="C12" s="8">
        <f>5.5/16</f>
        <v>0.34375</v>
      </c>
    </row>
    <row r="13" spans="2:3" ht="15.75" x14ac:dyDescent="0.25">
      <c r="B13" s="2" t="s">
        <v>3</v>
      </c>
      <c r="C13" s="9">
        <f>21.5/16</f>
        <v>1.34375</v>
      </c>
    </row>
    <row r="14" spans="2:3" ht="16.5" thickBot="1" x14ac:dyDescent="0.3">
      <c r="B14" s="3" t="s">
        <v>4</v>
      </c>
      <c r="C14" s="10" t="s">
        <v>14</v>
      </c>
    </row>
    <row r="15" spans="2:3" ht="15.75" thickBot="1" x14ac:dyDescent="0.3"/>
    <row r="16" spans="2:3" ht="31.5" x14ac:dyDescent="0.25">
      <c r="B16" s="12" t="s">
        <v>15</v>
      </c>
      <c r="C16" s="7" t="s">
        <v>1</v>
      </c>
    </row>
    <row r="17" spans="2:3" ht="15.75" x14ac:dyDescent="0.25">
      <c r="B17" s="1"/>
      <c r="C17" s="13" t="s">
        <v>17</v>
      </c>
    </row>
    <row r="18" spans="2:3" ht="15.75" x14ac:dyDescent="0.25">
      <c r="B18" s="1" t="s">
        <v>7</v>
      </c>
      <c r="C18" s="4">
        <f>11/16</f>
        <v>0.6875</v>
      </c>
    </row>
    <row r="19" spans="2:3" ht="15.75" x14ac:dyDescent="0.25">
      <c r="B19" s="1" t="s">
        <v>8</v>
      </c>
      <c r="C19" s="4">
        <f>5/16</f>
        <v>0.3125</v>
      </c>
    </row>
    <row r="20" spans="2:3" ht="15.75" x14ac:dyDescent="0.25">
      <c r="B20" s="1" t="s">
        <v>2</v>
      </c>
      <c r="C20" s="4">
        <f>1.5/16</f>
        <v>9.375E-2</v>
      </c>
    </row>
    <row r="21" spans="2:3" ht="15.75" x14ac:dyDescent="0.25">
      <c r="B21" s="1" t="s">
        <v>16</v>
      </c>
      <c r="C21" s="4">
        <f>1.5/16</f>
        <v>9.375E-2</v>
      </c>
    </row>
    <row r="22" spans="2:3" ht="31.5" x14ac:dyDescent="0.25">
      <c r="B22" s="5" t="s">
        <v>20</v>
      </c>
      <c r="C22" s="8">
        <f>3/16</f>
        <v>0.1875</v>
      </c>
    </row>
    <row r="23" spans="2:3" ht="15.75" x14ac:dyDescent="0.25">
      <c r="B23" s="1" t="s">
        <v>9</v>
      </c>
      <c r="C23" s="4" t="s">
        <v>13</v>
      </c>
    </row>
    <row r="24" spans="2:3" ht="15.75" x14ac:dyDescent="0.25">
      <c r="B24" s="1" t="s">
        <v>2</v>
      </c>
      <c r="C24" s="4">
        <f>1.2/16</f>
        <v>7.4999999999999997E-2</v>
      </c>
    </row>
    <row r="25" spans="2:3" ht="15.75" x14ac:dyDescent="0.25">
      <c r="B25" s="1" t="s">
        <v>16</v>
      </c>
      <c r="C25" s="4">
        <f>0.8/16</f>
        <v>0.05</v>
      </c>
    </row>
    <row r="26" spans="2:3" ht="31.5" x14ac:dyDescent="0.25">
      <c r="B26" s="5" t="s">
        <v>21</v>
      </c>
      <c r="C26" s="8">
        <f>2/16</f>
        <v>0.125</v>
      </c>
    </row>
    <row r="27" spans="2:3" ht="15.75" x14ac:dyDescent="0.25">
      <c r="B27" s="2" t="s">
        <v>3</v>
      </c>
      <c r="C27" s="11">
        <f>22.5/16</f>
        <v>1.40625</v>
      </c>
    </row>
    <row r="28" spans="2:3" ht="16.5" thickBot="1" x14ac:dyDescent="0.3">
      <c r="B28" s="3" t="s">
        <v>4</v>
      </c>
      <c r="C28" s="10" t="s">
        <v>6</v>
      </c>
    </row>
    <row r="30" spans="2:3" x14ac:dyDescent="0.25">
      <c r="B30" t="s">
        <v>18</v>
      </c>
    </row>
  </sheetData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OZ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2022-12-11T01:52:49Z</cp:lastPrinted>
  <dcterms:created xsi:type="dcterms:W3CDTF">2016-04-25T14:01:26Z</dcterms:created>
  <dcterms:modified xsi:type="dcterms:W3CDTF">2024-05-03T18:28:42Z</dcterms:modified>
</cp:coreProperties>
</file>